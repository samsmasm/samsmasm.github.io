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customXml/itemProps4.xml" ContentType="application/vnd.openxmlformats-officedocument.customXmlProperties+xml"/>
  <Override PartName="/xl/worksheets/sheet5.xml" ContentType="application/vnd.openxmlformats-officedocument.spreadsheetml.worksheet+xml"/>
  <Override PartName="/customXml/itemProps2.xml" ContentType="application/vnd.openxmlformats-officedocument.customXmlProperties+xml"/>
  <Override PartName="/xl/worksheets/sheet2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5.xml" ContentType="application/vnd.openxmlformats-officedocument.spreadsheetml.worksheet+xml"/>
  <Override PartName="/xl/worksheets/sheet21.xml" ContentType="application/vnd.openxmlformats-officedocument.spreadsheetml.worksheet+xml"/>
  <Override PartName="/xl/worksheets/sheet18.xml" ContentType="application/vnd.openxmlformats-officedocument.spreadsheetml.worksheet+xml"/>
  <Override PartName="/customXml/itemProps3.xml" ContentType="application/vnd.openxmlformats-officedocument.customXmlProperties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27.xml" ContentType="application/vnd.openxmlformats-officedocument.spreadsheetml.worksheet+xml"/>
  <Override PartName="/xl/worksheets/sheet29.xml" ContentType="application/vnd.openxmlformats-officedocument.spreadsheetml.worksheet+xml"/>
  <Override PartName="/xl/worksheets/sheet15.xml" ContentType="application/vnd.openxmlformats-officedocument.spreadsheetml.worksheet+xml"/>
  <Override PartName="/xl/worksheets/sheet43.xml" ContentType="application/vnd.openxmlformats-officedocument.spreadsheetml.worksheet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xl/worksheets/sheet28.xml" ContentType="application/vnd.openxmlformats-officedocument.spreadsheetml.worksheet+xml"/>
  <Override PartName="/xl/worksheets/sheet3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2.xml" ContentType="application/vnd.openxmlformats-officedocument.spreadsheetml.worksheet+xml"/>
  <Override PartName="/xl/worksheets/sheet40.xml" ContentType="application/vnd.openxmlformats-officedocument.spreadsheetml.worksheet+xml"/>
  <Override PartName="/docProps/core.xml" ContentType="application/vnd.openxmlformats-package.core-properties+xml"/>
  <Override PartName="/xl/worksheets/sheet11.xml" ContentType="application/vnd.openxmlformats-officedocument.spreadsheetml.worksheet+xml"/>
  <Override PartName="/xl/worksheets/sheet34.xml" ContentType="application/vnd.openxmlformats-officedocument.spreadsheetml.worksheet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6.xml" ContentType="application/vnd.openxmlformats-officedocument.spreadsheetml.worksheet+xml"/>
  <Override PartName="/xl/worksheets/sheet35.xml" ContentType="application/vnd.openxmlformats-officedocument.spreadsheetml.worksheet+xml"/>
  <Override PartName="/docProps/custom.xml" ContentType="application/vnd.openxmlformats-officedocument.custom-properties+xml"/>
  <Override PartName="/xl/worksheets/sheet14.xml" ContentType="application/vnd.openxmlformats-officedocument.spreadsheetml.worksheet+xml"/>
  <Override PartName="/xl/worksheets/sheet36.xml" ContentType="application/vnd.openxmlformats-officedocument.spreadsheetml.worksheet+xml"/>
  <Override PartName="/xl/worksheets/sheet38.xml" ContentType="application/vnd.openxmlformats-officedocument.spreadsheetml.worksheet+xml"/>
  <Override PartName="/xl/worksheets/sheet12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735" yWindow="735" windowWidth="12510" windowHeight="7575" tabRatio="884"/>
  </bookViews>
  <sheets>
    <sheet name="Contents" sheetId="1" r:id="rId1"/>
    <sheet name="1.01" sheetId="2" r:id="rId2"/>
    <sheet name="1.02" sheetId="3" r:id="rId3"/>
    <sheet name="1.03" sheetId="4" r:id="rId4"/>
    <sheet name="2.01" sheetId="5" r:id="rId5"/>
    <sheet name="2.02" sheetId="6" r:id="rId6"/>
    <sheet name="2.03" sheetId="7" r:id="rId7"/>
    <sheet name="3.01" sheetId="8" r:id="rId8"/>
    <sheet name="3.02" sheetId="9" r:id="rId9"/>
    <sheet name="3.03" sheetId="10" r:id="rId10"/>
    <sheet name="4.01" sheetId="11" r:id="rId11"/>
    <sheet name="4.02" sheetId="12" r:id="rId12"/>
    <sheet name="4.03" sheetId="13" r:id="rId13"/>
    <sheet name="5.01" sheetId="14" r:id="rId14"/>
    <sheet name="5.02" sheetId="15" r:id="rId15"/>
    <sheet name="5.03" sheetId="16" r:id="rId16"/>
    <sheet name="6.01" sheetId="17" r:id="rId17"/>
    <sheet name="6.02" sheetId="18" r:id="rId18"/>
    <sheet name="6.03" sheetId="19" r:id="rId19"/>
    <sheet name="7.01" sheetId="20" r:id="rId20"/>
    <sheet name="7.02" sheetId="21" r:id="rId21"/>
    <sheet name="7.03" sheetId="22" r:id="rId22"/>
    <sheet name="8.01" sheetId="23" r:id="rId23"/>
    <sheet name="8.02" sheetId="24" r:id="rId24"/>
    <sheet name="8.03" sheetId="25" r:id="rId25"/>
    <sheet name="9.01" sheetId="26" r:id="rId26"/>
    <sheet name="9.02" sheetId="27" r:id="rId27"/>
    <sheet name="9.03" sheetId="28" r:id="rId28"/>
    <sheet name="10.01" sheetId="29" r:id="rId29"/>
    <sheet name="10.02" sheetId="30" r:id="rId30"/>
    <sheet name="10.03" sheetId="31" r:id="rId31"/>
    <sheet name="11.01" sheetId="32" r:id="rId32"/>
    <sheet name="11.02" sheetId="33" r:id="rId33"/>
    <sheet name="11.03" sheetId="34" r:id="rId34"/>
    <sheet name="12.01" sheetId="35" r:id="rId35"/>
    <sheet name="12.02" sheetId="36" r:id="rId36"/>
    <sheet name="12.03" sheetId="37" r:id="rId37"/>
    <sheet name="13.01" sheetId="38" r:id="rId38"/>
    <sheet name="13.02" sheetId="39" r:id="rId39"/>
    <sheet name="13.03" sheetId="40" r:id="rId40"/>
    <sheet name="14.01" sheetId="41" r:id="rId41"/>
    <sheet name="14.02" sheetId="42" r:id="rId42"/>
    <sheet name="14.03" sheetId="43" r:id="rId43"/>
    <sheet name="15.01" sheetId="44" r:id="rId44"/>
    <sheet name="15.02" sheetId="45" r:id="rId45"/>
    <sheet name="15.03" sheetId="46" r:id="rId46"/>
  </sheets>
  <calcPr calcId="191028"/>
</workbook>
</file>

<file path=xl/sharedStrings.xml><?xml version="1.0" encoding="utf-8"?>
<sst xmlns="http://schemas.openxmlformats.org/spreadsheetml/2006/main" count="1036" uniqueCount="1036">
  <si>
    <t xml:space="preserve">List of tables</t>
  </si>
  <si>
    <t xml:space="preserve">Access more data on Infoshare</t>
  </si>
  <si>
    <t xml:space="preserve">Use Infoshare, a free, online database to access time-series data specific to your needs:</t>
  </si>
  <si>
    <t>Infoshare</t>
  </si>
  <si>
    <t xml:space="preserve">To access the release time series on Infoshare, select the following categories from the homepage:</t>
  </si>
  <si>
    <r>
      <t xml:space="preserve">Subject category: </t>
    </r>
    <r>
      <rPr>
        <b/>
        <sz val="10"/>
        <color indexed="64"/>
        <rFont val="Arial"/>
      </rPr>
      <t xml:space="preserve">Economic indicators</t>
    </r>
  </si>
  <si>
    <t xml:space="preserve">Group: Household living-costs price indexes - HPI</t>
  </si>
  <si>
    <t xml:space="preserve">More information about Infoshare is at:</t>
  </si>
  <si>
    <t>www.stats.govt.nz/tools/stats-infoshare</t>
  </si>
  <si>
    <t xml:space="preserve">Customised data:</t>
  </si>
  <si>
    <t xml:space="preserve">For more information and price quotes:</t>
  </si>
  <si>
    <t>Email:</t>
  </si>
  <si>
    <t>info@stats.govt.nz</t>
  </si>
  <si>
    <t>Phone:</t>
  </si>
  <si>
    <t xml:space="preserve">0508 525 525 (toll-free)</t>
  </si>
  <si>
    <t xml:space="preserve">Next release:</t>
  </si>
  <si>
    <t xml:space="preserve">Published by Stats NZ</t>
  </si>
  <si>
    <t xml:space="preserve">2 February 2026</t>
  </si>
  <si>
    <t>www.stats.govt.nz</t>
  </si>
  <si>
    <t xml:space="preserve">Table 1.01</t>
  </si>
  <si>
    <t xml:space="preserve">Household living-costs price indexes</t>
  </si>
  <si>
    <t xml:space="preserve">All groups – index numbers</t>
  </si>
  <si>
    <t xml:space="preserve">Base: June 2014 quarter (=1000)</t>
  </si>
  <si>
    <t xml:space="preserve">Household group</t>
  </si>
  <si>
    <t xml:space="preserve">Series ref: HPIQ</t>
  </si>
  <si>
    <t>Quarter</t>
  </si>
  <si>
    <t>Dec-22</t>
  </si>
  <si>
    <t>Mar-23</t>
  </si>
  <si>
    <t>Jun-23</t>
  </si>
  <si>
    <t>Sep-23</t>
  </si>
  <si>
    <t>Dec-23</t>
  </si>
  <si>
    <t>Mar-24</t>
  </si>
  <si>
    <t>Jun-24</t>
  </si>
  <si>
    <t>Sep-24</t>
  </si>
  <si>
    <t>Dec-24</t>
  </si>
  <si>
    <t>Mar-25</t>
  </si>
  <si>
    <t>Jun-25</t>
  </si>
  <si>
    <t>Sep-25</t>
  </si>
  <si>
    <t>Dec-25</t>
  </si>
  <si>
    <t>All-households</t>
  </si>
  <si>
    <t>SALLA</t>
  </si>
  <si>
    <t>Beneficiary</t>
  </si>
  <si>
    <t>SBENA</t>
  </si>
  <si>
    <t>Māori</t>
  </si>
  <si>
    <t>SMAOA</t>
  </si>
  <si>
    <t>Superannuitant</t>
  </si>
  <si>
    <t>SSUPA</t>
  </si>
  <si>
    <t xml:space="preserve">Income Quintile 1 (low)</t>
  </si>
  <si>
    <t>SIQ1A</t>
  </si>
  <si>
    <t xml:space="preserve">Income Quintile 2</t>
  </si>
  <si>
    <t>SIQ2A</t>
  </si>
  <si>
    <t xml:space="preserve">Income Quintile 3</t>
  </si>
  <si>
    <t>SIQ3A</t>
  </si>
  <si>
    <t xml:space="preserve">Income Quintile 4</t>
  </si>
  <si>
    <t>SIQ4A</t>
  </si>
  <si>
    <t xml:space="preserve">Income Quintile 5 (high)</t>
  </si>
  <si>
    <t>SIQ5A</t>
  </si>
  <si>
    <t xml:space="preserve">Expenditure Quintile 1 (low)</t>
  </si>
  <si>
    <t>SEQ1A</t>
  </si>
  <si>
    <t xml:space="preserve">Expenditure Quintile 2</t>
  </si>
  <si>
    <t>SEQ2A</t>
  </si>
  <si>
    <t xml:space="preserve">Expenditure Quintile 3</t>
  </si>
  <si>
    <t>SEQ3A</t>
  </si>
  <si>
    <t xml:space="preserve">Expenditure Quintile 4</t>
  </si>
  <si>
    <t>SEQ4A</t>
  </si>
  <si>
    <t xml:space="preserve">Expenditure Quintile 5 (high)</t>
  </si>
  <si>
    <t>SEQ5A</t>
  </si>
  <si>
    <r>
      <rPr>
        <b/>
        <sz val="11"/>
        <rFont val="Calibri"/>
      </rPr>
      <t xml:space="preserve">Source: </t>
    </r>
    <r>
      <rPr>
        <sz val="11"/>
        <color indexed="64"/>
        <rFont val="Calibri"/>
        <scheme val="minor"/>
      </rPr>
      <t xml:space="preserve"> Stats NZ</t>
    </r>
  </si>
  <si>
    <t xml:space="preserve">Table 1.02</t>
  </si>
  <si>
    <t xml:space="preserve">All groups</t>
  </si>
  <si>
    <t xml:space="preserve">Percentage change from previous quarter</t>
  </si>
  <si>
    <t xml:space="preserve">Table 1.03</t>
  </si>
  <si>
    <t xml:space="preserve">Percentage change from same quarter of previous year</t>
  </si>
  <si>
    <t xml:space="preserve">Table 2.01</t>
  </si>
  <si>
    <t xml:space="preserve">All Households Group</t>
  </si>
  <si>
    <t xml:space="preserve">Groups, subgroups - index numbers</t>
  </si>
  <si>
    <t xml:space="preserve">Group, subgroup</t>
  </si>
  <si>
    <t>Food</t>
  </si>
  <si>
    <t>SALL01</t>
  </si>
  <si>
    <t xml:space="preserve">    Fruit and vegetables</t>
  </si>
  <si>
    <t>SALL011</t>
  </si>
  <si>
    <t xml:space="preserve">    Meat, poultry and fish</t>
  </si>
  <si>
    <t>SALL012</t>
  </si>
  <si>
    <t xml:space="preserve">    Grocery food</t>
  </si>
  <si>
    <t>SALL013</t>
  </si>
  <si>
    <t xml:space="preserve">    Non-alcoholic beverages</t>
  </si>
  <si>
    <t>SALL014</t>
  </si>
  <si>
    <t xml:space="preserve">    Restaurant meals and ready-to-eat food</t>
  </si>
  <si>
    <t>SALL015</t>
  </si>
  <si>
    <t xml:space="preserve">Alcoholic beverages and tobacco</t>
  </si>
  <si>
    <t>SALL02</t>
  </si>
  <si>
    <t xml:space="preserve">    Alcoholic beverages</t>
  </si>
  <si>
    <t>SALL021</t>
  </si>
  <si>
    <t xml:space="preserve">    Cigarettes and tobacco</t>
  </si>
  <si>
    <t>SALL022</t>
  </si>
  <si>
    <t xml:space="preserve">Clothing and footwear</t>
  </si>
  <si>
    <t>SALL03</t>
  </si>
  <si>
    <t xml:space="preserve">    Clothing</t>
  </si>
  <si>
    <t>SALL031</t>
  </si>
  <si>
    <t xml:space="preserve">    Footwear</t>
  </si>
  <si>
    <t>SALL032</t>
  </si>
  <si>
    <t xml:space="preserve">Housing and household utilities</t>
  </si>
  <si>
    <t>SALL04</t>
  </si>
  <si>
    <t xml:space="preserve">    Actual rentals for housing</t>
  </si>
  <si>
    <t>SALL041</t>
  </si>
  <si>
    <t xml:space="preserve">        Actual rentals for housing</t>
  </si>
  <si>
    <t>SALL04101</t>
  </si>
  <si>
    <t xml:space="preserve">    Property maintenance</t>
  </si>
  <si>
    <t>SALL043</t>
  </si>
  <si>
    <t xml:space="preserve">    Property rates and related services</t>
  </si>
  <si>
    <t>SALL044</t>
  </si>
  <si>
    <t xml:space="preserve">        Local authority rates and payments</t>
  </si>
  <si>
    <t>SALL04403</t>
  </si>
  <si>
    <t xml:space="preserve">    Household energy</t>
  </si>
  <si>
    <t>SALL045</t>
  </si>
  <si>
    <t xml:space="preserve">        Electricity</t>
  </si>
  <si>
    <t>SALL04501</t>
  </si>
  <si>
    <t xml:space="preserve">Household contents and services</t>
  </si>
  <si>
    <t>SALL05</t>
  </si>
  <si>
    <t xml:space="preserve">    Furniture, furnishings and floor coverings</t>
  </si>
  <si>
    <t>SALL051</t>
  </si>
  <si>
    <t xml:space="preserve">    Household textiles</t>
  </si>
  <si>
    <t>SALL052</t>
  </si>
  <si>
    <t xml:space="preserve">    Household appliances</t>
  </si>
  <si>
    <t>SALL053</t>
  </si>
  <si>
    <t xml:space="preserve">    Glassware, tableware and household utensils</t>
  </si>
  <si>
    <t>SALL054</t>
  </si>
  <si>
    <t xml:space="preserve">    Tools and equipment for house and garden</t>
  </si>
  <si>
    <t>SALL055</t>
  </si>
  <si>
    <t xml:space="preserve">    Other household supplies and services</t>
  </si>
  <si>
    <t>SALL056</t>
  </si>
  <si>
    <t>Health</t>
  </si>
  <si>
    <t>SALL06</t>
  </si>
  <si>
    <t xml:space="preserve">    Medical products, appliances and equipment</t>
  </si>
  <si>
    <t>SALL061</t>
  </si>
  <si>
    <t xml:space="preserve">    Out-patient services</t>
  </si>
  <si>
    <t>SALL062</t>
  </si>
  <si>
    <t xml:space="preserve">    Hospital services</t>
  </si>
  <si>
    <t>SALL063</t>
  </si>
  <si>
    <t>Transport</t>
  </si>
  <si>
    <t>SALL07</t>
  </si>
  <si>
    <t xml:space="preserve">    Purchase of vehicles</t>
  </si>
  <si>
    <t>SALL071</t>
  </si>
  <si>
    <t xml:space="preserve">    Private transport supplies and services</t>
  </si>
  <si>
    <t>SALL072</t>
  </si>
  <si>
    <t xml:space="preserve">        Petrol</t>
  </si>
  <si>
    <t>SALL07202</t>
  </si>
  <si>
    <t xml:space="preserve">    Passenger transport services</t>
  </si>
  <si>
    <t>SALL073</t>
  </si>
  <si>
    <t>Communication</t>
  </si>
  <si>
    <t>SALL08</t>
  </si>
  <si>
    <t xml:space="preserve">    Postal services</t>
  </si>
  <si>
    <t>SALL081</t>
  </si>
  <si>
    <t xml:space="preserve">    Telecommunication equipment</t>
  </si>
  <si>
    <t>SALL082</t>
  </si>
  <si>
    <t xml:space="preserve">    Telecommunication services</t>
  </si>
  <si>
    <t>SALL083</t>
  </si>
  <si>
    <t xml:space="preserve">Recreation and culture</t>
  </si>
  <si>
    <t>SALL09</t>
  </si>
  <si>
    <t xml:space="preserve">    Audio-visual and computing equipment</t>
  </si>
  <si>
    <t>SALL091</t>
  </si>
  <si>
    <t xml:space="preserve">    Major recreational and cultural equipment</t>
  </si>
  <si>
    <t>SALL092</t>
  </si>
  <si>
    <t xml:space="preserve">    Other recreational equipment and supplies</t>
  </si>
  <si>
    <t>SALL093</t>
  </si>
  <si>
    <t xml:space="preserve">    Recreational and cultural services</t>
  </si>
  <si>
    <t>SALL094</t>
  </si>
  <si>
    <t xml:space="preserve">    Newspapers, books and stationery</t>
  </si>
  <si>
    <t>SALL095</t>
  </si>
  <si>
    <t xml:space="preserve">    Accommodation services</t>
  </si>
  <si>
    <t>SALL096</t>
  </si>
  <si>
    <t>Education</t>
  </si>
  <si>
    <t>SALL10</t>
  </si>
  <si>
    <t xml:space="preserve">    Early childhood education</t>
  </si>
  <si>
    <t>SALL101</t>
  </si>
  <si>
    <t xml:space="preserve">    Primary and secondary education</t>
  </si>
  <si>
    <t>SALL102</t>
  </si>
  <si>
    <t xml:space="preserve">    Tertiary and other post school education</t>
  </si>
  <si>
    <t>SALL103</t>
  </si>
  <si>
    <t xml:space="preserve">    Other educational fees</t>
  </si>
  <si>
    <t>SALL104</t>
  </si>
  <si>
    <t xml:space="preserve">Miscellaneous goods and services</t>
  </si>
  <si>
    <t>SALL11</t>
  </si>
  <si>
    <t xml:space="preserve">    Personal care</t>
  </si>
  <si>
    <t>SALL111</t>
  </si>
  <si>
    <t xml:space="preserve">    Personal effects</t>
  </si>
  <si>
    <t>SALL113</t>
  </si>
  <si>
    <t xml:space="preserve">    Insurance</t>
  </si>
  <si>
    <t>SALL114</t>
  </si>
  <si>
    <t xml:space="preserve">    Credit services</t>
  </si>
  <si>
    <t>SALL115</t>
  </si>
  <si>
    <t xml:space="preserve">    Other miscellaneous services</t>
  </si>
  <si>
    <t>SALL116</t>
  </si>
  <si>
    <t xml:space="preserve">Interest payments</t>
  </si>
  <si>
    <t>SALL13</t>
  </si>
  <si>
    <t xml:space="preserve">    Interest payments</t>
  </si>
  <si>
    <t>SALL131</t>
  </si>
  <si>
    <t xml:space="preserve">Table 2.02</t>
  </si>
  <si>
    <t xml:space="preserve">Groups, subgroups - quarterly numbers</t>
  </si>
  <si>
    <t xml:space="preserve">Table 2.03</t>
  </si>
  <si>
    <t xml:space="preserve">Groups, subgroups - annual numbers</t>
  </si>
  <si>
    <t xml:space="preserve">Percentage change from same quarter previous year</t>
  </si>
  <si>
    <t xml:space="preserve">Table 3.01</t>
  </si>
  <si>
    <t xml:space="preserve">Beneficiary Households Group</t>
  </si>
  <si>
    <t>SBEN01</t>
  </si>
  <si>
    <t>SBEN011</t>
  </si>
  <si>
    <t>SBEN012</t>
  </si>
  <si>
    <t>SBEN013</t>
  </si>
  <si>
    <t>SBEN014</t>
  </si>
  <si>
    <t>SBEN015</t>
  </si>
  <si>
    <t>SBEN02</t>
  </si>
  <si>
    <t>SBEN021</t>
  </si>
  <si>
    <t>SBEN022</t>
  </si>
  <si>
    <t>SBEN03</t>
  </si>
  <si>
    <t>SBEN031</t>
  </si>
  <si>
    <t>SBEN032</t>
  </si>
  <si>
    <t>SBEN04</t>
  </si>
  <si>
    <t>SBEN041</t>
  </si>
  <si>
    <t>SBEN04101</t>
  </si>
  <si>
    <t>SBEN043</t>
  </si>
  <si>
    <t>SBEN044</t>
  </si>
  <si>
    <t>SBEN04403</t>
  </si>
  <si>
    <t>SBEN045</t>
  </si>
  <si>
    <t>SBEN04501</t>
  </si>
  <si>
    <t>SBEN05</t>
  </si>
  <si>
    <t>SBEN051</t>
  </si>
  <si>
    <t>SBEN052</t>
  </si>
  <si>
    <t>SBEN053</t>
  </si>
  <si>
    <t>SBEN054</t>
  </si>
  <si>
    <t>SBEN055</t>
  </si>
  <si>
    <t>SBEN056</t>
  </si>
  <si>
    <t>SBEN06</t>
  </si>
  <si>
    <t>SBEN061</t>
  </si>
  <si>
    <t>SBEN062</t>
  </si>
  <si>
    <t>SBEN063</t>
  </si>
  <si>
    <t>SBEN07</t>
  </si>
  <si>
    <t>SBEN071</t>
  </si>
  <si>
    <t>SBEN072</t>
  </si>
  <si>
    <t>SBEN07202</t>
  </si>
  <si>
    <t>SBEN073</t>
  </si>
  <si>
    <t>SBEN08</t>
  </si>
  <si>
    <t>SBEN081</t>
  </si>
  <si>
    <t>SBEN082</t>
  </si>
  <si>
    <t>SBEN083</t>
  </si>
  <si>
    <t>SBEN09</t>
  </si>
  <si>
    <t>SBEN091</t>
  </si>
  <si>
    <t>SBEN092</t>
  </si>
  <si>
    <t>SBEN093</t>
  </si>
  <si>
    <t>SBEN094</t>
  </si>
  <si>
    <t>SBEN095</t>
  </si>
  <si>
    <t>SBEN096</t>
  </si>
  <si>
    <t>SBEN10</t>
  </si>
  <si>
    <t>SBEN101</t>
  </si>
  <si>
    <t>SBEN102</t>
  </si>
  <si>
    <t>SBEN103</t>
  </si>
  <si>
    <t>SBEN104</t>
  </si>
  <si>
    <t>SBEN11</t>
  </si>
  <si>
    <t>SBEN111</t>
  </si>
  <si>
    <t>SBEN113</t>
  </si>
  <si>
    <t>SBEN114</t>
  </si>
  <si>
    <t>SBEN115</t>
  </si>
  <si>
    <t>SBEN116</t>
  </si>
  <si>
    <t>SBEN13</t>
  </si>
  <si>
    <t>SBEN131</t>
  </si>
  <si>
    <t xml:space="preserve">Table 3.02</t>
  </si>
  <si>
    <t xml:space="preserve">Table 3.03</t>
  </si>
  <si>
    <t xml:space="preserve">Table 4.01</t>
  </si>
  <si>
    <t xml:space="preserve">Māori Households Group</t>
  </si>
  <si>
    <t>SMAO01</t>
  </si>
  <si>
    <t>SMAO011</t>
  </si>
  <si>
    <t>SMAO012</t>
  </si>
  <si>
    <t>SMAO013</t>
  </si>
  <si>
    <t>SMAO014</t>
  </si>
  <si>
    <t>SMAO015</t>
  </si>
  <si>
    <t>SMAO02</t>
  </si>
  <si>
    <t>SMAO021</t>
  </si>
  <si>
    <t>SMAO022</t>
  </si>
  <si>
    <t>SMAO03</t>
  </si>
  <si>
    <t>SMAO031</t>
  </si>
  <si>
    <t>SMAO032</t>
  </si>
  <si>
    <t>SMAO04</t>
  </si>
  <si>
    <t>SMAO041</t>
  </si>
  <si>
    <t>SMAO04101</t>
  </si>
  <si>
    <t>SMAO043</t>
  </si>
  <si>
    <t>SMAO044</t>
  </si>
  <si>
    <t>SMAO04403</t>
  </si>
  <si>
    <t>SMAO045</t>
  </si>
  <si>
    <t>SMAO04501</t>
  </si>
  <si>
    <t>SMAO05</t>
  </si>
  <si>
    <t>SMAO051</t>
  </si>
  <si>
    <t>SMAO052</t>
  </si>
  <si>
    <t>SMAO053</t>
  </si>
  <si>
    <t>SMAO054</t>
  </si>
  <si>
    <t>SMAO055</t>
  </si>
  <si>
    <t>SMAO056</t>
  </si>
  <si>
    <t>SMAO06</t>
  </si>
  <si>
    <t>SMAO061</t>
  </si>
  <si>
    <t>SMAO062</t>
  </si>
  <si>
    <t>SMAO063</t>
  </si>
  <si>
    <t>SMAO07</t>
  </si>
  <si>
    <t>SMAO071</t>
  </si>
  <si>
    <t>SMAO072</t>
  </si>
  <si>
    <t>SMAO07202</t>
  </si>
  <si>
    <t>SMAO073</t>
  </si>
  <si>
    <t>SMAO08</t>
  </si>
  <si>
    <t>SMAO081</t>
  </si>
  <si>
    <t>SMAO082</t>
  </si>
  <si>
    <t>SMAO083</t>
  </si>
  <si>
    <t>SMAO09</t>
  </si>
  <si>
    <t>SMAO091</t>
  </si>
  <si>
    <t>SMAO092</t>
  </si>
  <si>
    <t>SMAO093</t>
  </si>
  <si>
    <t>SMAO094</t>
  </si>
  <si>
    <t>SMAO095</t>
  </si>
  <si>
    <t>SMAO096</t>
  </si>
  <si>
    <t>SMAO10</t>
  </si>
  <si>
    <t>SMAO101</t>
  </si>
  <si>
    <t>SMAO102</t>
  </si>
  <si>
    <t>SMAO103</t>
  </si>
  <si>
    <t>SMAO104</t>
  </si>
  <si>
    <t>SMAO11</t>
  </si>
  <si>
    <t>SMAO111</t>
  </si>
  <si>
    <t>SMAO113</t>
  </si>
  <si>
    <t>SMAO114</t>
  </si>
  <si>
    <t>SMAO115</t>
  </si>
  <si>
    <t>SMAO116</t>
  </si>
  <si>
    <t>SMAO13</t>
  </si>
  <si>
    <t>SMAO131</t>
  </si>
  <si>
    <t xml:space="preserve">Table 4.02</t>
  </si>
  <si>
    <t xml:space="preserve">Table 4.03</t>
  </si>
  <si>
    <t xml:space="preserve">Table 5.01</t>
  </si>
  <si>
    <t xml:space="preserve">Superannuitant Households Group</t>
  </si>
  <si>
    <t>SSUP01</t>
  </si>
  <si>
    <t>SSUP011</t>
  </si>
  <si>
    <t>SSUP012</t>
  </si>
  <si>
    <t>SSUP013</t>
  </si>
  <si>
    <t>SSUP014</t>
  </si>
  <si>
    <t>SSUP015</t>
  </si>
  <si>
    <t>SSUP02</t>
  </si>
  <si>
    <t>SSUP021</t>
  </si>
  <si>
    <t>SSUP022</t>
  </si>
  <si>
    <t>SSUP03</t>
  </si>
  <si>
    <t>SSUP031</t>
  </si>
  <si>
    <t>SSUP032</t>
  </si>
  <si>
    <t>SSUP04</t>
  </si>
  <si>
    <t>SSUP041</t>
  </si>
  <si>
    <t>SSUP04101</t>
  </si>
  <si>
    <t>SSUP043</t>
  </si>
  <si>
    <t>SSUP044</t>
  </si>
  <si>
    <t>SSUP04403</t>
  </si>
  <si>
    <t>SSUP045</t>
  </si>
  <si>
    <t>SSUP04501</t>
  </si>
  <si>
    <t>SSUP05</t>
  </si>
  <si>
    <t>SSUP051</t>
  </si>
  <si>
    <t>SSUP052</t>
  </si>
  <si>
    <t>SSUP053</t>
  </si>
  <si>
    <t>SSUP054</t>
  </si>
  <si>
    <t>SSUP055</t>
  </si>
  <si>
    <t>SSUP056</t>
  </si>
  <si>
    <t>SSUP06</t>
  </si>
  <si>
    <t>SSUP061</t>
  </si>
  <si>
    <t>SSUP062</t>
  </si>
  <si>
    <t>SSUP063</t>
  </si>
  <si>
    <t>SSUP07</t>
  </si>
  <si>
    <t>SSUP071</t>
  </si>
  <si>
    <t>SSUP072</t>
  </si>
  <si>
    <t>SSUP07202</t>
  </si>
  <si>
    <t>SSUP073</t>
  </si>
  <si>
    <t>SSUP08</t>
  </si>
  <si>
    <t>SSUP081</t>
  </si>
  <si>
    <t>SSUP082</t>
  </si>
  <si>
    <t>SSUP083</t>
  </si>
  <si>
    <t>SSUP09</t>
  </si>
  <si>
    <t>SSUP091</t>
  </si>
  <si>
    <t>SSUP092</t>
  </si>
  <si>
    <t>SSUP093</t>
  </si>
  <si>
    <t>SSUP094</t>
  </si>
  <si>
    <t>SSUP095</t>
  </si>
  <si>
    <t>SSUP096</t>
  </si>
  <si>
    <t>SSUP10</t>
  </si>
  <si>
    <t>SSUP101</t>
  </si>
  <si>
    <t>SSUP102</t>
  </si>
  <si>
    <t>SSUP103</t>
  </si>
  <si>
    <t>SSUP104</t>
  </si>
  <si>
    <t>SSUP11</t>
  </si>
  <si>
    <t>SSUP111</t>
  </si>
  <si>
    <t>SSUP113</t>
  </si>
  <si>
    <t>SSUP114</t>
  </si>
  <si>
    <t>SSUP115</t>
  </si>
  <si>
    <t>SSUP116</t>
  </si>
  <si>
    <t>SSUP13</t>
  </si>
  <si>
    <t>SSUP131</t>
  </si>
  <si>
    <t xml:space="preserve">Table 5.02</t>
  </si>
  <si>
    <t xml:space="preserve">Table 5.03</t>
  </si>
  <si>
    <t xml:space="preserve">Table 6.01</t>
  </si>
  <si>
    <t xml:space="preserve">Income Quintile 1 (low) Households Group</t>
  </si>
  <si>
    <t>SIQ101</t>
  </si>
  <si>
    <t>SIQ1011</t>
  </si>
  <si>
    <t>SIQ1012</t>
  </si>
  <si>
    <t>SIQ1013</t>
  </si>
  <si>
    <t>SIQ1014</t>
  </si>
  <si>
    <t>SIQ1015</t>
  </si>
  <si>
    <t>SIQ102</t>
  </si>
  <si>
    <t>SIQ1021</t>
  </si>
  <si>
    <t>SIQ1022</t>
  </si>
  <si>
    <t>SIQ103</t>
  </si>
  <si>
    <t>SIQ1031</t>
  </si>
  <si>
    <t>SIQ1032</t>
  </si>
  <si>
    <t>SIQ104</t>
  </si>
  <si>
    <t>SIQ1041</t>
  </si>
  <si>
    <t>SIQ104101</t>
  </si>
  <si>
    <t>SIQ1043</t>
  </si>
  <si>
    <t>SIQ1044</t>
  </si>
  <si>
    <t>SIQ104403</t>
  </si>
  <si>
    <t>SIQ1045</t>
  </si>
  <si>
    <t>SIQ104501</t>
  </si>
  <si>
    <t>SIQ105</t>
  </si>
  <si>
    <t>SIQ1051</t>
  </si>
  <si>
    <t>SIQ1052</t>
  </si>
  <si>
    <t>SIQ1053</t>
  </si>
  <si>
    <t>SIQ1054</t>
  </si>
  <si>
    <t>SIQ1055</t>
  </si>
  <si>
    <t>SIQ1056</t>
  </si>
  <si>
    <t>SIQ106</t>
  </si>
  <si>
    <t>SIQ1061</t>
  </si>
  <si>
    <t>SIQ1062</t>
  </si>
  <si>
    <t>SIQ1063</t>
  </si>
  <si>
    <t>SIQ107</t>
  </si>
  <si>
    <t>SIQ1071</t>
  </si>
  <si>
    <t>SIQ1072</t>
  </si>
  <si>
    <t>SIQ107202</t>
  </si>
  <si>
    <t>SIQ1073</t>
  </si>
  <si>
    <t>SIQ108</t>
  </si>
  <si>
    <t>SIQ1081</t>
  </si>
  <si>
    <t>SIQ1082</t>
  </si>
  <si>
    <t>SIQ1083</t>
  </si>
  <si>
    <t>SIQ109</t>
  </si>
  <si>
    <t>SIQ1091</t>
  </si>
  <si>
    <t>SIQ1092</t>
  </si>
  <si>
    <t>SIQ1093</t>
  </si>
  <si>
    <t>SIQ1094</t>
  </si>
  <si>
    <t>SIQ1095</t>
  </si>
  <si>
    <t>SIQ1096</t>
  </si>
  <si>
    <t>SIQ110</t>
  </si>
  <si>
    <t>SIQ1101</t>
  </si>
  <si>
    <t>SIQ1102</t>
  </si>
  <si>
    <t>SIQ1103</t>
  </si>
  <si>
    <t>SIQ1104</t>
  </si>
  <si>
    <t>SIQ111</t>
  </si>
  <si>
    <t>SIQ1111</t>
  </si>
  <si>
    <t>SIQ1113</t>
  </si>
  <si>
    <t>SIQ1114</t>
  </si>
  <si>
    <t>SIQ1115</t>
  </si>
  <si>
    <t>SIQ1116</t>
  </si>
  <si>
    <t>SIQ113</t>
  </si>
  <si>
    <t>SIQ1131</t>
  </si>
  <si>
    <t xml:space="preserve">Table 6.02</t>
  </si>
  <si>
    <t xml:space="preserve">Table 6.03</t>
  </si>
  <si>
    <t xml:space="preserve">Table 7.01</t>
  </si>
  <si>
    <t xml:space="preserve">Income Quintile 2 Households Group</t>
  </si>
  <si>
    <t>SIQ201</t>
  </si>
  <si>
    <t>SIQ2011</t>
  </si>
  <si>
    <t>SIQ2012</t>
  </si>
  <si>
    <t>SIQ2013</t>
  </si>
  <si>
    <t>SIQ2014</t>
  </si>
  <si>
    <t>SIQ2015</t>
  </si>
  <si>
    <t>SIQ202</t>
  </si>
  <si>
    <t>SIQ2021</t>
  </si>
  <si>
    <t>SIQ2022</t>
  </si>
  <si>
    <t>SIQ203</t>
  </si>
  <si>
    <t>SIQ2031</t>
  </si>
  <si>
    <t>SIQ2032</t>
  </si>
  <si>
    <t>SIQ204</t>
  </si>
  <si>
    <t>SIQ2041</t>
  </si>
  <si>
    <t>SIQ204101</t>
  </si>
  <si>
    <t>SIQ2043</t>
  </si>
  <si>
    <t>SIQ2044</t>
  </si>
  <si>
    <t>SIQ204403</t>
  </si>
  <si>
    <t>SIQ2045</t>
  </si>
  <si>
    <t>SIQ204501</t>
  </si>
  <si>
    <t>SIQ205</t>
  </si>
  <si>
    <t>SIQ2051</t>
  </si>
  <si>
    <t>SIQ2052</t>
  </si>
  <si>
    <t>SIQ2053</t>
  </si>
  <si>
    <t>SIQ2054</t>
  </si>
  <si>
    <t>SIQ2055</t>
  </si>
  <si>
    <t>SIQ2056</t>
  </si>
  <si>
    <t>SIQ206</t>
  </si>
  <si>
    <t>SIQ2061</t>
  </si>
  <si>
    <t>SIQ2062</t>
  </si>
  <si>
    <t>SIQ2063</t>
  </si>
  <si>
    <t>SIQ207</t>
  </si>
  <si>
    <t>SIQ2071</t>
  </si>
  <si>
    <t>SIQ2072</t>
  </si>
  <si>
    <t>SIQ207202</t>
  </si>
  <si>
    <t>SIQ2073</t>
  </si>
  <si>
    <t>SIQ208</t>
  </si>
  <si>
    <t>SIQ2081</t>
  </si>
  <si>
    <t>SIQ2082</t>
  </si>
  <si>
    <t>SIQ2083</t>
  </si>
  <si>
    <t>SIQ209</t>
  </si>
  <si>
    <t>SIQ2091</t>
  </si>
  <si>
    <t>SIQ2092</t>
  </si>
  <si>
    <t>SIQ2093</t>
  </si>
  <si>
    <t>SIQ2094</t>
  </si>
  <si>
    <t>SIQ2095</t>
  </si>
  <si>
    <t>SIQ2096</t>
  </si>
  <si>
    <t>SIQ210</t>
  </si>
  <si>
    <t>SIQ2101</t>
  </si>
  <si>
    <t>SIQ2102</t>
  </si>
  <si>
    <t>SIQ2103</t>
  </si>
  <si>
    <t>SIQ2104</t>
  </si>
  <si>
    <t>SIQ211</t>
  </si>
  <si>
    <t>SIQ2111</t>
  </si>
  <si>
    <t>SIQ2113</t>
  </si>
  <si>
    <t>SIQ2114</t>
  </si>
  <si>
    <t>SIQ2115</t>
  </si>
  <si>
    <t>SIQ2116</t>
  </si>
  <si>
    <t>SIQ213</t>
  </si>
  <si>
    <t>SIQ2131</t>
  </si>
  <si>
    <t xml:space="preserve">Table 7.02</t>
  </si>
  <si>
    <t xml:space="preserve">Table 7.03</t>
  </si>
  <si>
    <t xml:space="preserve">Table 8.01</t>
  </si>
  <si>
    <t xml:space="preserve">Income Quintile 3 Households Group</t>
  </si>
  <si>
    <t>SIQ301</t>
  </si>
  <si>
    <t>SIQ3011</t>
  </si>
  <si>
    <t>SIQ3012</t>
  </si>
  <si>
    <t>SIQ3013</t>
  </si>
  <si>
    <t>SIQ3014</t>
  </si>
  <si>
    <t>SIQ3015</t>
  </si>
  <si>
    <t>SIQ302</t>
  </si>
  <si>
    <t>SIQ3021</t>
  </si>
  <si>
    <t>SIQ3022</t>
  </si>
  <si>
    <t>SIQ303</t>
  </si>
  <si>
    <t>SIQ3031</t>
  </si>
  <si>
    <t>SIQ3032</t>
  </si>
  <si>
    <t>SIQ304</t>
  </si>
  <si>
    <t>SIQ3041</t>
  </si>
  <si>
    <t>SIQ304101</t>
  </si>
  <si>
    <t>SIQ3043</t>
  </si>
  <si>
    <t>SIQ3044</t>
  </si>
  <si>
    <t>SIQ304403</t>
  </si>
  <si>
    <t>SIQ3045</t>
  </si>
  <si>
    <t>SIQ304501</t>
  </si>
  <si>
    <t>SIQ305</t>
  </si>
  <si>
    <t>SIQ3051</t>
  </si>
  <si>
    <t>SIQ3052</t>
  </si>
  <si>
    <t>SIQ3053</t>
  </si>
  <si>
    <t>SIQ3054</t>
  </si>
  <si>
    <t>SIQ3055</t>
  </si>
  <si>
    <t>SIQ3056</t>
  </si>
  <si>
    <t>SIQ306</t>
  </si>
  <si>
    <t>SIQ3061</t>
  </si>
  <si>
    <t>SIQ3062</t>
  </si>
  <si>
    <t>SIQ3063</t>
  </si>
  <si>
    <t>SIQ307</t>
  </si>
  <si>
    <t>SIQ3071</t>
  </si>
  <si>
    <t>SIQ3072</t>
  </si>
  <si>
    <t>SIQ307202</t>
  </si>
  <si>
    <t>SIQ3073</t>
  </si>
  <si>
    <t>SIQ308</t>
  </si>
  <si>
    <t>SIQ3081</t>
  </si>
  <si>
    <t>SIQ3082</t>
  </si>
  <si>
    <t>SIQ3083</t>
  </si>
  <si>
    <t>SIQ309</t>
  </si>
  <si>
    <t>SIQ3091</t>
  </si>
  <si>
    <t>SIQ3092</t>
  </si>
  <si>
    <t>SIQ3093</t>
  </si>
  <si>
    <t>SIQ3094</t>
  </si>
  <si>
    <t>SIQ3095</t>
  </si>
  <si>
    <t>SIQ3096</t>
  </si>
  <si>
    <t>SIQ310</t>
  </si>
  <si>
    <t>SIQ3101</t>
  </si>
  <si>
    <t>SIQ3102</t>
  </si>
  <si>
    <t>SIQ3103</t>
  </si>
  <si>
    <t>SIQ3104</t>
  </si>
  <si>
    <t>SIQ311</t>
  </si>
  <si>
    <t>SIQ3111</t>
  </si>
  <si>
    <t>SIQ3113</t>
  </si>
  <si>
    <t>SIQ3114</t>
  </si>
  <si>
    <t>SIQ3115</t>
  </si>
  <si>
    <t>SIQ3116</t>
  </si>
  <si>
    <t>SIQ313</t>
  </si>
  <si>
    <t>SIQ3131</t>
  </si>
  <si>
    <t xml:space="preserve">Table 8.02</t>
  </si>
  <si>
    <t xml:space="preserve">Table 8.03</t>
  </si>
  <si>
    <t xml:space="preserve">Table 9.01</t>
  </si>
  <si>
    <t xml:space="preserve">Income Quintile 4 Households Group</t>
  </si>
  <si>
    <t>SIQ401</t>
  </si>
  <si>
    <t>SIQ4011</t>
  </si>
  <si>
    <t>SIQ4012</t>
  </si>
  <si>
    <t>SIQ4013</t>
  </si>
  <si>
    <t>SIQ4014</t>
  </si>
  <si>
    <t>SIQ4015</t>
  </si>
  <si>
    <t>SIQ402</t>
  </si>
  <si>
    <t>SIQ4021</t>
  </si>
  <si>
    <t>SIQ4022</t>
  </si>
  <si>
    <t>SIQ403</t>
  </si>
  <si>
    <t>SIQ4031</t>
  </si>
  <si>
    <t>SIQ4032</t>
  </si>
  <si>
    <t>SIQ404</t>
  </si>
  <si>
    <t>SIQ4041</t>
  </si>
  <si>
    <t>SIQ404101</t>
  </si>
  <si>
    <t>SIQ4043</t>
  </si>
  <si>
    <t>SIQ4044</t>
  </si>
  <si>
    <t>SIQ404403</t>
  </si>
  <si>
    <t>SIQ4045</t>
  </si>
  <si>
    <t>SIQ404501</t>
  </si>
  <si>
    <t>SIQ405</t>
  </si>
  <si>
    <t>SIQ4051</t>
  </si>
  <si>
    <t>SIQ4052</t>
  </si>
  <si>
    <t>SIQ4053</t>
  </si>
  <si>
    <t>SIQ4054</t>
  </si>
  <si>
    <t>SIQ4055</t>
  </si>
  <si>
    <t>SIQ4056</t>
  </si>
  <si>
    <t>SIQ406</t>
  </si>
  <si>
    <t>SIQ4061</t>
  </si>
  <si>
    <t>SIQ4062</t>
  </si>
  <si>
    <t>SIQ4063</t>
  </si>
  <si>
    <t>SIQ407</t>
  </si>
  <si>
    <t>SIQ4071</t>
  </si>
  <si>
    <t>SIQ4072</t>
  </si>
  <si>
    <t>SIQ407202</t>
  </si>
  <si>
    <t>SIQ4073</t>
  </si>
  <si>
    <t>SIQ408</t>
  </si>
  <si>
    <t>SIQ4081</t>
  </si>
  <si>
    <t>SIQ4082</t>
  </si>
  <si>
    <t>SIQ4083</t>
  </si>
  <si>
    <t>SIQ409</t>
  </si>
  <si>
    <t>SIQ4091</t>
  </si>
  <si>
    <t>SIQ4092</t>
  </si>
  <si>
    <t>SIQ4093</t>
  </si>
  <si>
    <t>SIQ4094</t>
  </si>
  <si>
    <t>SIQ4095</t>
  </si>
  <si>
    <t>SIQ4096</t>
  </si>
  <si>
    <t>SIQ410</t>
  </si>
  <si>
    <t>SIQ4101</t>
  </si>
  <si>
    <t>SIQ4102</t>
  </si>
  <si>
    <t>SIQ4103</t>
  </si>
  <si>
    <t>SIQ4104</t>
  </si>
  <si>
    <t>SIQ411</t>
  </si>
  <si>
    <t>SIQ4111</t>
  </si>
  <si>
    <t>SIQ4113</t>
  </si>
  <si>
    <t>SIQ4114</t>
  </si>
  <si>
    <t>SIQ4115</t>
  </si>
  <si>
    <t>SIQ4116</t>
  </si>
  <si>
    <t>SIQ413</t>
  </si>
  <si>
    <t>SIQ4131</t>
  </si>
  <si>
    <t xml:space="preserve">Table 9.02</t>
  </si>
  <si>
    <t xml:space="preserve">Table 9.03</t>
  </si>
  <si>
    <t xml:space="preserve">Table 10.01</t>
  </si>
  <si>
    <t xml:space="preserve">Income Quintile 5 (High) Households Group</t>
  </si>
  <si>
    <t>SIQ501</t>
  </si>
  <si>
    <t>SIQ5011</t>
  </si>
  <si>
    <t>SIQ5012</t>
  </si>
  <si>
    <t>SIQ5013</t>
  </si>
  <si>
    <t>SIQ5014</t>
  </si>
  <si>
    <t>SIQ5015</t>
  </si>
  <si>
    <t>SIQ502</t>
  </si>
  <si>
    <t>SIQ5021</t>
  </si>
  <si>
    <t>SIQ5022</t>
  </si>
  <si>
    <t>SIQ503</t>
  </si>
  <si>
    <t>SIQ5031</t>
  </si>
  <si>
    <t>SIQ5032</t>
  </si>
  <si>
    <t>SIQ504</t>
  </si>
  <si>
    <t>SIQ5041</t>
  </si>
  <si>
    <t>SIQ504101</t>
  </si>
  <si>
    <t>SIQ5043</t>
  </si>
  <si>
    <t>SIQ5044</t>
  </si>
  <si>
    <t>SIQ504403</t>
  </si>
  <si>
    <t>SIQ5045</t>
  </si>
  <si>
    <t>SIQ504501</t>
  </si>
  <si>
    <t>SIQ505</t>
  </si>
  <si>
    <t>SIQ5051</t>
  </si>
  <si>
    <t>SIQ5052</t>
  </si>
  <si>
    <t>SIQ5053</t>
  </si>
  <si>
    <t>SIQ5054</t>
  </si>
  <si>
    <t>SIQ5055</t>
  </si>
  <si>
    <t>SIQ5056</t>
  </si>
  <si>
    <t>SIQ506</t>
  </si>
  <si>
    <t>SIQ5061</t>
  </si>
  <si>
    <t>SIQ5062</t>
  </si>
  <si>
    <t>SIQ5063</t>
  </si>
  <si>
    <t>SIQ507</t>
  </si>
  <si>
    <t>SIQ5071</t>
  </si>
  <si>
    <t>SIQ5072</t>
  </si>
  <si>
    <t>SIQ507202</t>
  </si>
  <si>
    <t>SIQ5073</t>
  </si>
  <si>
    <t>SIQ508</t>
  </si>
  <si>
    <t>SIQ5081</t>
  </si>
  <si>
    <t>SIQ5082</t>
  </si>
  <si>
    <t>SIQ5083</t>
  </si>
  <si>
    <t>SIQ509</t>
  </si>
  <si>
    <t>SIQ5091</t>
  </si>
  <si>
    <t>SIQ5092</t>
  </si>
  <si>
    <t>SIQ5093</t>
  </si>
  <si>
    <t>SIQ5094</t>
  </si>
  <si>
    <t>SIQ5095</t>
  </si>
  <si>
    <t>SIQ5096</t>
  </si>
  <si>
    <t>SIQ510</t>
  </si>
  <si>
    <t>SIQ5101</t>
  </si>
  <si>
    <t>SIQ5102</t>
  </si>
  <si>
    <t>SIQ5103</t>
  </si>
  <si>
    <t>SIQ5104</t>
  </si>
  <si>
    <t>SIQ511</t>
  </si>
  <si>
    <t>SIQ5111</t>
  </si>
  <si>
    <t>SIQ5113</t>
  </si>
  <si>
    <t>SIQ5114</t>
  </si>
  <si>
    <t>SIQ5115</t>
  </si>
  <si>
    <t>SIQ5116</t>
  </si>
  <si>
    <t>SIQ513</t>
  </si>
  <si>
    <t>SIQ5131</t>
  </si>
  <si>
    <t xml:space="preserve">Table 10.02</t>
  </si>
  <si>
    <t xml:space="preserve">Table 10.03</t>
  </si>
  <si>
    <t xml:space="preserve">Table 11.01</t>
  </si>
  <si>
    <t xml:space="preserve">Expenditure Quintile 1 (low) Households Group</t>
  </si>
  <si>
    <t>SEQ101</t>
  </si>
  <si>
    <t>SEQ1011</t>
  </si>
  <si>
    <t>SEQ1012</t>
  </si>
  <si>
    <t>SEQ1013</t>
  </si>
  <si>
    <t>SEQ1014</t>
  </si>
  <si>
    <t>SEQ1015</t>
  </si>
  <si>
    <t>SEQ102</t>
  </si>
  <si>
    <t>SEQ1021</t>
  </si>
  <si>
    <t>SEQ1022</t>
  </si>
  <si>
    <t>SEQ103</t>
  </si>
  <si>
    <t>SEQ1031</t>
  </si>
  <si>
    <t>SEQ1032</t>
  </si>
  <si>
    <t>SEQ104</t>
  </si>
  <si>
    <t>SEQ1041</t>
  </si>
  <si>
    <t>SEQ104101</t>
  </si>
  <si>
    <t>SEQ1043</t>
  </si>
  <si>
    <t>SEQ1044</t>
  </si>
  <si>
    <t>SEQ104403</t>
  </si>
  <si>
    <t>SEQ1045</t>
  </si>
  <si>
    <t>SEQ104501</t>
  </si>
  <si>
    <t>SEQ105</t>
  </si>
  <si>
    <t>SEQ1051</t>
  </si>
  <si>
    <t>SEQ1052</t>
  </si>
  <si>
    <t>SEQ1053</t>
  </si>
  <si>
    <t>SEQ1054</t>
  </si>
  <si>
    <t>SEQ1055</t>
  </si>
  <si>
    <t>SEQ1056</t>
  </si>
  <si>
    <t>SEQ106</t>
  </si>
  <si>
    <t>SEQ1061</t>
  </si>
  <si>
    <t>SEQ1062</t>
  </si>
  <si>
    <t>SEQ1063</t>
  </si>
  <si>
    <t>SEQ107</t>
  </si>
  <si>
    <t>SEQ1071</t>
  </si>
  <si>
    <t>SEQ1072</t>
  </si>
  <si>
    <t>SEQ107202</t>
  </si>
  <si>
    <t>SEQ1073</t>
  </si>
  <si>
    <t>SEQ108</t>
  </si>
  <si>
    <t>SEQ1081</t>
  </si>
  <si>
    <t>SEQ1082</t>
  </si>
  <si>
    <t>SEQ1083</t>
  </si>
  <si>
    <t>SEQ109</t>
  </si>
  <si>
    <t>SEQ1091</t>
  </si>
  <si>
    <t>SEQ1092</t>
  </si>
  <si>
    <t>SEQ1093</t>
  </si>
  <si>
    <t>SEQ1094</t>
  </si>
  <si>
    <t>SEQ1095</t>
  </si>
  <si>
    <t>SEQ1096</t>
  </si>
  <si>
    <t>SEQ110</t>
  </si>
  <si>
    <t>SEQ1101</t>
  </si>
  <si>
    <t>SEQ1102</t>
  </si>
  <si>
    <t>SEQ1103</t>
  </si>
  <si>
    <t>SEQ1104</t>
  </si>
  <si>
    <t>SEQ111</t>
  </si>
  <si>
    <t>SEQ1111</t>
  </si>
  <si>
    <t>SEQ1113</t>
  </si>
  <si>
    <t>SEQ1114</t>
  </si>
  <si>
    <t>SEQ1115</t>
  </si>
  <si>
    <t>SEQ1116</t>
  </si>
  <si>
    <t>SEQ113</t>
  </si>
  <si>
    <t>SEQ1131</t>
  </si>
  <si>
    <t xml:space="preserve">Table 11.02</t>
  </si>
  <si>
    <t xml:space="preserve">Table 11.03</t>
  </si>
  <si>
    <t xml:space="preserve">Table 12.01</t>
  </si>
  <si>
    <t xml:space="preserve">Expenditure Quintile 2 Households Group</t>
  </si>
  <si>
    <t>SEQ201</t>
  </si>
  <si>
    <t>SEQ2011</t>
  </si>
  <si>
    <t>SEQ2012</t>
  </si>
  <si>
    <t>SEQ2013</t>
  </si>
  <si>
    <t>SEQ2014</t>
  </si>
  <si>
    <t>SEQ2015</t>
  </si>
  <si>
    <t>SEQ202</t>
  </si>
  <si>
    <t>SEQ2021</t>
  </si>
  <si>
    <t>SEQ2022</t>
  </si>
  <si>
    <t>SEQ203</t>
  </si>
  <si>
    <t>SEQ2031</t>
  </si>
  <si>
    <t>SEQ2032</t>
  </si>
  <si>
    <t>SEQ204</t>
  </si>
  <si>
    <t>SEQ2041</t>
  </si>
  <si>
    <t>SEQ204101</t>
  </si>
  <si>
    <t>SEQ2043</t>
  </si>
  <si>
    <t>SEQ2044</t>
  </si>
  <si>
    <t>SEQ204403</t>
  </si>
  <si>
    <t>SEQ2045</t>
  </si>
  <si>
    <t>SEQ204501</t>
  </si>
  <si>
    <t>SEQ205</t>
  </si>
  <si>
    <t>SEQ2051</t>
  </si>
  <si>
    <t>SEQ2052</t>
  </si>
  <si>
    <t>SEQ2053</t>
  </si>
  <si>
    <t>SEQ2054</t>
  </si>
  <si>
    <t>SEQ2055</t>
  </si>
  <si>
    <t>SEQ2056</t>
  </si>
  <si>
    <t>SEQ206</t>
  </si>
  <si>
    <t>SEQ2061</t>
  </si>
  <si>
    <t>SEQ2062</t>
  </si>
  <si>
    <t>SEQ2063</t>
  </si>
  <si>
    <t>SEQ207</t>
  </si>
  <si>
    <t>SEQ2071</t>
  </si>
  <si>
    <t>SEQ2072</t>
  </si>
  <si>
    <t>SEQ207202</t>
  </si>
  <si>
    <t>SEQ2073</t>
  </si>
  <si>
    <t>SEQ208</t>
  </si>
  <si>
    <t>SEQ2081</t>
  </si>
  <si>
    <t>SEQ2082</t>
  </si>
  <si>
    <t>SEQ2083</t>
  </si>
  <si>
    <t>SEQ209</t>
  </si>
  <si>
    <t>SEQ2091</t>
  </si>
  <si>
    <t>SEQ2092</t>
  </si>
  <si>
    <t>SEQ2093</t>
  </si>
  <si>
    <t>SEQ2094</t>
  </si>
  <si>
    <t>SEQ2095</t>
  </si>
  <si>
    <t>SEQ2096</t>
  </si>
  <si>
    <t>SEQ210</t>
  </si>
  <si>
    <t>SEQ2101</t>
  </si>
  <si>
    <t>SEQ2102</t>
  </si>
  <si>
    <t>SEQ2103</t>
  </si>
  <si>
    <t>SEQ2104</t>
  </si>
  <si>
    <t>SEQ211</t>
  </si>
  <si>
    <t>SEQ2111</t>
  </si>
  <si>
    <t>SEQ2113</t>
  </si>
  <si>
    <t>SEQ2114</t>
  </si>
  <si>
    <t>SEQ2115</t>
  </si>
  <si>
    <t>SEQ2116</t>
  </si>
  <si>
    <t>SEQ213</t>
  </si>
  <si>
    <t>SEQ2131</t>
  </si>
  <si>
    <t xml:space="preserve">Table 12.02</t>
  </si>
  <si>
    <t xml:space="preserve">Table 12.03</t>
  </si>
  <si>
    <t xml:space="preserve">Table 13.01</t>
  </si>
  <si>
    <t xml:space="preserve">Expenditure Quintile 3 Households Group</t>
  </si>
  <si>
    <t>SEQ301</t>
  </si>
  <si>
    <t>SEQ3011</t>
  </si>
  <si>
    <t>SEQ3012</t>
  </si>
  <si>
    <t>SEQ3013</t>
  </si>
  <si>
    <t>SEQ3014</t>
  </si>
  <si>
    <t>SEQ3015</t>
  </si>
  <si>
    <t>SEQ302</t>
  </si>
  <si>
    <t>SEQ3021</t>
  </si>
  <si>
    <t>SEQ3022</t>
  </si>
  <si>
    <t>SEQ303</t>
  </si>
  <si>
    <t>SEQ3031</t>
  </si>
  <si>
    <t>SEQ3032</t>
  </si>
  <si>
    <t>SEQ304</t>
  </si>
  <si>
    <t>SEQ3041</t>
  </si>
  <si>
    <t>SEQ304101</t>
  </si>
  <si>
    <t>SEQ3043</t>
  </si>
  <si>
    <t>SEQ3044</t>
  </si>
  <si>
    <t>SEQ304403</t>
  </si>
  <si>
    <t>SEQ3045</t>
  </si>
  <si>
    <t>SEQ304501</t>
  </si>
  <si>
    <t>SEQ305</t>
  </si>
  <si>
    <t>SEQ3051</t>
  </si>
  <si>
    <t>SEQ3052</t>
  </si>
  <si>
    <t>SEQ3053</t>
  </si>
  <si>
    <t>SEQ3054</t>
  </si>
  <si>
    <t>SEQ3055</t>
  </si>
  <si>
    <t>SEQ3056</t>
  </si>
  <si>
    <t>SEQ306</t>
  </si>
  <si>
    <t>SEQ3061</t>
  </si>
  <si>
    <t>SEQ3062</t>
  </si>
  <si>
    <t>SEQ3063</t>
  </si>
  <si>
    <t>SEQ307</t>
  </si>
  <si>
    <t>SEQ3071</t>
  </si>
  <si>
    <t>SEQ3072</t>
  </si>
  <si>
    <t>SEQ307202</t>
  </si>
  <si>
    <t>SEQ3073</t>
  </si>
  <si>
    <t>SEQ308</t>
  </si>
  <si>
    <t>SEQ3081</t>
  </si>
  <si>
    <t>SEQ3082</t>
  </si>
  <si>
    <t>SEQ3083</t>
  </si>
  <si>
    <t>SEQ309</t>
  </si>
  <si>
    <t>SEQ3091</t>
  </si>
  <si>
    <t>SEQ3092</t>
  </si>
  <si>
    <t>SEQ3093</t>
  </si>
  <si>
    <t>SEQ3094</t>
  </si>
  <si>
    <t>SEQ3095</t>
  </si>
  <si>
    <t>SEQ3096</t>
  </si>
  <si>
    <t>SEQ310</t>
  </si>
  <si>
    <t>SEQ3101</t>
  </si>
  <si>
    <t>SEQ3102</t>
  </si>
  <si>
    <t>SEQ3103</t>
  </si>
  <si>
    <t>SEQ3104</t>
  </si>
  <si>
    <t>SEQ311</t>
  </si>
  <si>
    <t>SEQ3111</t>
  </si>
  <si>
    <t>SEQ3113</t>
  </si>
  <si>
    <t>SEQ3114</t>
  </si>
  <si>
    <t>SEQ3115</t>
  </si>
  <si>
    <t>SEQ3116</t>
  </si>
  <si>
    <t>SEQ313</t>
  </si>
  <si>
    <t>SEQ3131</t>
  </si>
  <si>
    <t xml:space="preserve">Table 13.02</t>
  </si>
  <si>
    <t xml:space="preserve">Table 13.03</t>
  </si>
  <si>
    <t xml:space="preserve">Table 14.01</t>
  </si>
  <si>
    <t xml:space="preserve">Expenditure Quintile 4 Households Group</t>
  </si>
  <si>
    <t>SEQ401</t>
  </si>
  <si>
    <t>SEQ4011</t>
  </si>
  <si>
    <t>SEQ4012</t>
  </si>
  <si>
    <t>SEQ4013</t>
  </si>
  <si>
    <t>SEQ4014</t>
  </si>
  <si>
    <t>SEQ4015</t>
  </si>
  <si>
    <t>SEQ402</t>
  </si>
  <si>
    <t>SEQ4021</t>
  </si>
  <si>
    <t>SEQ4022</t>
  </si>
  <si>
    <t>SEQ403</t>
  </si>
  <si>
    <t>SEQ4031</t>
  </si>
  <si>
    <t>SEQ4032</t>
  </si>
  <si>
    <t>SEQ404</t>
  </si>
  <si>
    <t>SEQ4041</t>
  </si>
  <si>
    <t>SEQ404101</t>
  </si>
  <si>
    <t>SEQ4043</t>
  </si>
  <si>
    <t>SEQ4044</t>
  </si>
  <si>
    <t>SEQ404403</t>
  </si>
  <si>
    <t>SEQ4045</t>
  </si>
  <si>
    <t>SEQ404501</t>
  </si>
  <si>
    <t>SEQ405</t>
  </si>
  <si>
    <t>SEQ4051</t>
  </si>
  <si>
    <t>SEQ4052</t>
  </si>
  <si>
    <t>SEQ4053</t>
  </si>
  <si>
    <t>SEQ4054</t>
  </si>
  <si>
    <t>SEQ4055</t>
  </si>
  <si>
    <t>SEQ4056</t>
  </si>
  <si>
    <t>SEQ406</t>
  </si>
  <si>
    <t>SEQ4061</t>
  </si>
  <si>
    <t>SEQ4062</t>
  </si>
  <si>
    <t>SEQ4063</t>
  </si>
  <si>
    <t>SEQ407</t>
  </si>
  <si>
    <t>SEQ4071</t>
  </si>
  <si>
    <t>SEQ4072</t>
  </si>
  <si>
    <t>SEQ407202</t>
  </si>
  <si>
    <t>SEQ4073</t>
  </si>
  <si>
    <t>SEQ408</t>
  </si>
  <si>
    <t>SEQ4081</t>
  </si>
  <si>
    <t>SEQ4082</t>
  </si>
  <si>
    <t>SEQ4083</t>
  </si>
  <si>
    <t>SEQ409</t>
  </si>
  <si>
    <t>SEQ4091</t>
  </si>
  <si>
    <t>SEQ4092</t>
  </si>
  <si>
    <t>SEQ4093</t>
  </si>
  <si>
    <t>SEQ4094</t>
  </si>
  <si>
    <t>SEQ4095</t>
  </si>
  <si>
    <t>SEQ4096</t>
  </si>
  <si>
    <t>SEQ410</t>
  </si>
  <si>
    <t>SEQ4101</t>
  </si>
  <si>
    <t>SEQ4102</t>
  </si>
  <si>
    <t>SEQ4103</t>
  </si>
  <si>
    <t>SEQ4104</t>
  </si>
  <si>
    <t>SEQ411</t>
  </si>
  <si>
    <t>SEQ4111</t>
  </si>
  <si>
    <t>SEQ4113</t>
  </si>
  <si>
    <t>SEQ4114</t>
  </si>
  <si>
    <t>SEQ4115</t>
  </si>
  <si>
    <t>SEQ4116</t>
  </si>
  <si>
    <t>SEQ413</t>
  </si>
  <si>
    <t>SEQ4131</t>
  </si>
  <si>
    <t xml:space="preserve">Table 14.02</t>
  </si>
  <si>
    <t xml:space="preserve">Table 14.03</t>
  </si>
  <si>
    <t xml:space="preserve">Table 15.01</t>
  </si>
  <si>
    <t xml:space="preserve">Expenditure Quintile 5 (High) Households Group</t>
  </si>
  <si>
    <t>SEQ501</t>
  </si>
  <si>
    <t>SEQ5011</t>
  </si>
  <si>
    <t>SEQ5012</t>
  </si>
  <si>
    <t>SEQ5013</t>
  </si>
  <si>
    <t>SEQ5014</t>
  </si>
  <si>
    <t>SEQ5015</t>
  </si>
  <si>
    <t>SEQ502</t>
  </si>
  <si>
    <t>SEQ5021</t>
  </si>
  <si>
    <t>SEQ5022</t>
  </si>
  <si>
    <t>SEQ503</t>
  </si>
  <si>
    <t>SEQ5031</t>
  </si>
  <si>
    <t>SEQ5032</t>
  </si>
  <si>
    <t>SEQ504</t>
  </si>
  <si>
    <t>SEQ5041</t>
  </si>
  <si>
    <t>SEQ504101</t>
  </si>
  <si>
    <t>SEQ5043</t>
  </si>
  <si>
    <t>SEQ5044</t>
  </si>
  <si>
    <t>SEQ504403</t>
  </si>
  <si>
    <t>SEQ5045</t>
  </si>
  <si>
    <t>SEQ504501</t>
  </si>
  <si>
    <t>SEQ505</t>
  </si>
  <si>
    <t>SEQ5051</t>
  </si>
  <si>
    <t>SEQ5052</t>
  </si>
  <si>
    <t>SEQ5053</t>
  </si>
  <si>
    <t>SEQ5054</t>
  </si>
  <si>
    <t>SEQ5055</t>
  </si>
  <si>
    <t>SEQ5056</t>
  </si>
  <si>
    <t>SEQ506</t>
  </si>
  <si>
    <t>SEQ5061</t>
  </si>
  <si>
    <t>SEQ5062</t>
  </si>
  <si>
    <t>SEQ5063</t>
  </si>
  <si>
    <t>SEQ507</t>
  </si>
  <si>
    <t>SEQ5071</t>
  </si>
  <si>
    <t>SEQ5072</t>
  </si>
  <si>
    <t>SEQ507202</t>
  </si>
  <si>
    <t>SEQ5073</t>
  </si>
  <si>
    <t>SEQ508</t>
  </si>
  <si>
    <t>SEQ5081</t>
  </si>
  <si>
    <t>SEQ5082</t>
  </si>
  <si>
    <t>SEQ5083</t>
  </si>
  <si>
    <t>SEQ509</t>
  </si>
  <si>
    <t>SEQ5091</t>
  </si>
  <si>
    <t>SEQ5092</t>
  </si>
  <si>
    <t>SEQ5093</t>
  </si>
  <si>
    <t>SEQ5094</t>
  </si>
  <si>
    <t>SEQ5095</t>
  </si>
  <si>
    <t>SEQ5096</t>
  </si>
  <si>
    <t>SEQ510</t>
  </si>
  <si>
    <t>SEQ5101</t>
  </si>
  <si>
    <t>SEQ5102</t>
  </si>
  <si>
    <t>SEQ5103</t>
  </si>
  <si>
    <t>SEQ5104</t>
  </si>
  <si>
    <t>SEQ511</t>
  </si>
  <si>
    <t>SEQ5111</t>
  </si>
  <si>
    <t>SEQ5113</t>
  </si>
  <si>
    <t>SEQ5114</t>
  </si>
  <si>
    <t>SEQ5115</t>
  </si>
  <si>
    <t>SEQ5116</t>
  </si>
  <si>
    <t>SEQ513</t>
  </si>
  <si>
    <t>SEQ5131</t>
  </si>
  <si>
    <t xml:space="preserve">Table 15.02</t>
  </si>
  <si>
    <t xml:space="preserve">Table 15.03</t>
  </si>
  <si>
    <t xml:space="preserve">Household living-costs price indexes: December 2025 quarter</t>
  </si>
  <si>
    <t xml:space="preserve">Household living-costs price indexes: March 2026 quarter will be published on 29 April 2026.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</si>
</sst>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17">
    <font>
      <sz val="11.000000"/>
      <color indexed="64"/>
      <name val="Calibri"/>
      <scheme val="minor"/>
    </font>
    <font>
      <sz val="8.000000"/>
      <color indexed="64"/>
      <name val="Calibri"/>
    </font>
    <font>
      <sz val="8.000000"/>
      <color indexed="64"/>
      <name val="Arial Mäori"/>
    </font>
    <font>
      <sz val="10.000000"/>
      <color indexed="64"/>
      <name val="Arial Mäori"/>
    </font>
    <font>
      <b/>
      <sz val="11.000000"/>
      <color indexed="64"/>
      <name val="Arial Mäori"/>
    </font>
    <font>
      <sz val="11.000000"/>
      <color indexed="64"/>
      <name val="Arial Mäori"/>
    </font>
    <font>
      <b/>
      <sz val="8.000000"/>
      <color indexed="64"/>
      <name val="Arial Mäori"/>
    </font>
    <font>
      <b/>
      <sz val="10.000000"/>
      <color indexed="64"/>
      <name val="Arial"/>
    </font>
    <font>
      <u/>
      <sz val="10.000000"/>
      <color theme="10"/>
      <name val="Arial"/>
    </font>
    <font>
      <sz val="10.000000"/>
      <color indexed="64"/>
      <name val="Arial"/>
    </font>
    <font>
      <b/>
      <sz val="11.000000"/>
      <name val="Calibri"/>
    </font>
    <font>
      <u/>
      <sz val="11.000000"/>
      <color theme="10"/>
      <name val="Calibri"/>
      <scheme val="minor"/>
    </font>
    <font>
      <u/>
      <sz val="10.000000"/>
      <color theme="10"/>
      <name val="Arial maori"/>
    </font>
    <font>
      <b/>
      <sz val="11.000000"/>
      <color indexed="64"/>
      <name val="Calibri"/>
      <scheme val="minor"/>
    </font>
    <font>
      <sz val="10.000000"/>
      <name val="Arial"/>
    </font>
    <font>
      <b/>
      <sz val="12.000000"/>
      <name val="Arial"/>
    </font>
    <font>
      <i/>
      <sz val="10.00000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fontId="0" fillId="0" borderId="0" numFmtId="0"/>
    <xf fontId="11" fillId="0" borderId="0" numFmtId="0" applyNumberFormat="0" applyFill="0" applyBorder="0" applyAlignment="0" applyProtection="0"/>
    <xf fontId="14" fillId="0" borderId="0" numFmtId="0"/>
  </cellStyleXfs>
  <cellXfs count="42">
    <xf fontId="0" fillId="0" borderId="0" numFmtId="0" xfId="0"/>
    <xf fontId="1" fillId="0" borderId="0" numFmtId="0" xfId="0" applyFont="1"/>
    <xf fontId="2" fillId="0" borderId="0" numFmtId="0" xfId="0" applyFont="1" applyAlignment="1">
      <alignment horizontal="right" vertical="center"/>
    </xf>
    <xf fontId="2" fillId="0" borderId="2" numFmtId="0" xfId="0" applyFont="1" applyBorder="1" applyAlignment="1">
      <alignment horizontal="right" vertical="center"/>
    </xf>
    <xf fontId="3" fillId="0" borderId="0" numFmtId="0" xfId="0" applyFont="1"/>
    <xf fontId="4" fillId="0" borderId="0" numFmtId="0" xfId="0" applyFont="1"/>
    <xf fontId="5" fillId="0" borderId="0" numFmtId="0" xfId="0" applyFont="1"/>
    <xf fontId="2" fillId="0" borderId="0" numFmtId="0" xfId="0" applyFont="1"/>
    <xf fontId="2" fillId="0" borderId="0" numFmtId="0" xfId="0" applyFont="1" applyAlignment="1">
      <alignment vertical="center"/>
    </xf>
    <xf fontId="2" fillId="0" borderId="3" numFmtId="0" xfId="0" applyFont="1" applyBorder="1" applyAlignment="1">
      <alignment vertical="center"/>
    </xf>
    <xf fontId="2" fillId="0" borderId="2" numFmtId="0" xfId="0" applyFont="1" applyBorder="1" applyAlignment="1">
      <alignment vertical="center"/>
    </xf>
    <xf fontId="6" fillId="0" borderId="0" numFmtId="0" xfId="0" applyFont="1" applyAlignment="1">
      <alignment vertical="center"/>
    </xf>
    <xf fontId="6" fillId="0" borderId="3" numFmtId="0" xfId="0" applyFont="1" applyBorder="1" applyAlignment="1">
      <alignment vertical="center"/>
    </xf>
    <xf fontId="6" fillId="0" borderId="2" numFmtId="0" xfId="0" applyFont="1" applyBorder="1" applyAlignment="1">
      <alignment vertical="center"/>
    </xf>
    <xf fontId="7" fillId="0" borderId="0" numFmtId="0" xfId="0" applyFont="1"/>
    <xf fontId="8" fillId="0" borderId="0" numFmtId="0" xfId="0" applyFont="1"/>
    <xf fontId="9" fillId="0" borderId="0" numFmtId="0" xfId="0" applyFont="1"/>
    <xf fontId="9" fillId="0" borderId="0" numFmtId="0" xfId="0" applyFont="1" applyAlignment="1">
      <alignment horizontal="right"/>
    </xf>
    <xf fontId="2" fillId="0" borderId="0" numFmtId="2" xfId="0" applyNumberFormat="1" applyFont="1" applyAlignment="1">
      <alignment horizontal="left" vertical="center"/>
    </xf>
    <xf fontId="2" fillId="0" borderId="0" numFmtId="1" xfId="0" applyNumberFormat="1" applyFont="1" applyAlignment="1">
      <alignment horizontal="right" vertical="center"/>
    </xf>
    <xf fontId="2" fillId="0" borderId="2" numFmtId="1" xfId="0" applyNumberFormat="1" applyFont="1" applyBorder="1" applyAlignment="1">
      <alignment horizontal="right" vertical="center"/>
    </xf>
    <xf fontId="10" fillId="0" borderId="0" numFmtId="0" xfId="0" applyFont="1" applyAlignment="1">
      <alignment vertical="center"/>
    </xf>
    <xf fontId="2" fillId="0" borderId="0" numFmtId="164" xfId="0" applyNumberFormat="1" applyFont="1" applyAlignment="1">
      <alignment horizontal="right" vertical="center"/>
    </xf>
    <xf fontId="2" fillId="0" borderId="2" numFmtId="164" xfId="0" applyNumberFormat="1" applyFont="1" applyBorder="1" applyAlignment="1">
      <alignment horizontal="right" vertical="center"/>
    </xf>
    <xf fontId="2" fillId="0" borderId="0" numFmtId="1" xfId="0" applyNumberFormat="1" applyFont="1" applyAlignment="1">
      <alignment vertical="center"/>
    </xf>
    <xf fontId="2" fillId="0" borderId="2" numFmtId="1" xfId="0" applyNumberFormat="1" applyFont="1" applyBorder="1" applyAlignment="1">
      <alignment vertical="center"/>
    </xf>
    <xf fontId="2" fillId="0" borderId="0" numFmtId="164" xfId="0" applyNumberFormat="1" applyFont="1" applyAlignment="1">
      <alignment vertical="center"/>
    </xf>
    <xf fontId="2" fillId="0" borderId="2" numFmtId="164" xfId="0" applyNumberFormat="1" applyFont="1" applyBorder="1" applyAlignment="1">
      <alignment vertical="center"/>
    </xf>
    <xf fontId="12" fillId="0" borderId="0" numFmtId="0" xfId="1" applyFont="1" applyAlignment="1">
      <alignment horizontal="left"/>
    </xf>
    <xf fontId="2" fillId="0" borderId="0" numFmtId="164" xfId="0" applyNumberFormat="1" applyFont="1" applyAlignment="1">
      <alignment horizontal="right"/>
    </xf>
    <xf fontId="15" fillId="0" borderId="0" numFmtId="0" xfId="2" applyFont="1" applyAlignment="1">
      <alignment horizontal="left" vertical="top"/>
    </xf>
    <xf fontId="16" fillId="0" borderId="0" numFmtId="0" xfId="0" applyFont="1" applyAlignment="1">
      <alignment horizontal="left" vertical="top"/>
    </xf>
    <xf fontId="9" fillId="0" borderId="0" numFmtId="49" xfId="0" applyNumberFormat="1" applyFont="1"/>
    <xf fontId="12" fillId="0" borderId="0" numFmtId="0" xfId="1" applyFont="1" applyAlignment="1">
      <alignment horizontal="left"/>
    </xf>
    <xf fontId="12" fillId="0" borderId="0" numFmtId="0" xfId="1" applyFont="1" applyAlignment="1"/>
    <xf fontId="6" fillId="0" borderId="1" numFmtId="0" xfId="0" applyFont="1" applyBorder="1" applyAlignment="1">
      <alignment horizontal="center" vertical="center" wrapText="1"/>
    </xf>
    <xf fontId="13" fillId="0" borderId="5" numFmtId="0" xfId="0" applyFont="1" applyBorder="1"/>
    <xf fontId="2" fillId="0" borderId="5" numFmtId="0" xfId="0" applyFont="1" applyBorder="1" applyAlignment="1">
      <alignment horizontal="center" vertical="center" wrapText="1"/>
    </xf>
    <xf fontId="0" fillId="0" borderId="2" numFmtId="0" xfId="0" applyBorder="1"/>
    <xf fontId="2" fillId="0" borderId="1" numFmtId="0" xfId="0" applyFont="1" applyBorder="1" applyAlignment="1">
      <alignment horizontal="center" vertical="center" wrapText="1"/>
    </xf>
    <xf fontId="0" fillId="0" borderId="4" numFmtId="0" xfId="0" applyBorder="1"/>
    <xf fontId="0" fillId="0" borderId="5" numFmtId="0" xfId="0" applyBorder="1"/>
  </cellXfs>
  <cellStyles count="3">
    <cellStyle name="Hyperlink" xfId="1" builtinId="8"/>
    <cellStyle name="Normal" xfId="0" builtinId="0"/>
    <cellStyle name="Normal 1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worksheet" Target="worksheets/sheet29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31" Type="http://schemas.openxmlformats.org/officeDocument/2006/relationships/worksheet" Target="worksheets/sheet31.xml"/><Relationship  Id="rId32" Type="http://schemas.openxmlformats.org/officeDocument/2006/relationships/worksheet" Target="worksheets/sheet32.xml"/><Relationship  Id="rId33" Type="http://schemas.openxmlformats.org/officeDocument/2006/relationships/worksheet" Target="worksheets/sheet33.xml"/><Relationship  Id="rId34" Type="http://schemas.openxmlformats.org/officeDocument/2006/relationships/worksheet" Target="worksheets/sheet34.xml"/><Relationship  Id="rId35" Type="http://schemas.openxmlformats.org/officeDocument/2006/relationships/worksheet" Target="worksheets/sheet35.xml"/><Relationship  Id="rId36" Type="http://schemas.openxmlformats.org/officeDocument/2006/relationships/worksheet" Target="worksheets/sheet36.xml"/><Relationship  Id="rId37" Type="http://schemas.openxmlformats.org/officeDocument/2006/relationships/worksheet" Target="worksheets/sheet37.xml"/><Relationship  Id="rId38" Type="http://schemas.openxmlformats.org/officeDocument/2006/relationships/worksheet" Target="worksheets/sheet38.xml"/><Relationship  Id="rId39" Type="http://schemas.openxmlformats.org/officeDocument/2006/relationships/worksheet" Target="worksheets/sheet39.xml"/><Relationship  Id="rId4" Type="http://schemas.openxmlformats.org/officeDocument/2006/relationships/worksheet" Target="worksheets/sheet4.xml"/><Relationship  Id="rId40" Type="http://schemas.openxmlformats.org/officeDocument/2006/relationships/worksheet" Target="worksheets/sheet40.xml"/><Relationship  Id="rId41" Type="http://schemas.openxmlformats.org/officeDocument/2006/relationships/worksheet" Target="worksheets/sheet41.xml"/><Relationship  Id="rId42" Type="http://schemas.openxmlformats.org/officeDocument/2006/relationships/worksheet" Target="worksheets/sheet42.xml"/><Relationship  Id="rId43" Type="http://schemas.openxmlformats.org/officeDocument/2006/relationships/worksheet" Target="worksheets/sheet43.xml"/><Relationship  Id="rId44" Type="http://schemas.openxmlformats.org/officeDocument/2006/relationships/worksheet" Target="worksheets/sheet44.xml"/><Relationship  Id="rId45" Type="http://schemas.openxmlformats.org/officeDocument/2006/relationships/worksheet" Target="worksheets/sheet45.xml"/><Relationship  Id="rId46" Type="http://schemas.openxmlformats.org/officeDocument/2006/relationships/worksheet" Target="worksheets/sheet46.xml"/><Relationship  Id="rId47" Type="http://schemas.openxmlformats.org/officeDocument/2006/relationships/customXml" Target="../customXml/item1.xml"/><Relationship  Id="rId48" Type="http://schemas.openxmlformats.org/officeDocument/2006/relationships/customXml" Target="../customXml/item2.xml"/><Relationship  Id="rId49" Type="http://schemas.openxmlformats.org/officeDocument/2006/relationships/customXml" Target="../customXml/item3.xml"/><Relationship  Id="rId5" Type="http://schemas.openxmlformats.org/officeDocument/2006/relationships/worksheet" Target="worksheets/sheet5.xml"/><Relationship  Id="rId50" Type="http://schemas.openxmlformats.org/officeDocument/2006/relationships/customXml" Target="../customXml/item4.xml"/><Relationship  Id="rId51" Type="http://schemas.openxmlformats.org/officeDocument/2006/relationships/theme" Target="theme/theme1.xml"/><Relationship  Id="rId52" Type="http://schemas.openxmlformats.org/officeDocument/2006/relationships/sharedStrings" Target="sharedStrings.xml"/><Relationship  Id="rId53" Type="http://schemas.openxmlformats.org/officeDocument/2006/relationships/styles" Target="styles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Arial"/>
        <a:cs typeface="Arial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infoshare.stats.govt.nz/" TargetMode="External"/><Relationship  Id="rId2" Type="http://schemas.openxmlformats.org/officeDocument/2006/relationships/hyperlink" Target="https://www.stats.govt.nz/tools/stats-infoshare" TargetMode="External"/><Relationship  Id="rId3" Type="http://schemas.openxmlformats.org/officeDocument/2006/relationships/hyperlink" Target="mailto:info@stats.govt.nz" TargetMode="External"/><Relationship  Id="rId4" Type="http://schemas.openxmlformats.org/officeDocument/2006/relationships/hyperlink" Target="https://www.stats.govt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abSelected="1" workbookViewId="0"/>
  </sheetViews>
  <sheetFormatPr defaultColWidth="11.59765625" defaultRowHeight="14.25"/>
  <cols>
    <col customWidth="1" min="1" max="1" width="6.73046875"/>
    <col bestFit="1" customWidth="1" min="2" max="2" width="72.265625"/>
  </cols>
  <sheetData>
    <row r="1" ht="15" customHeight="1">
      <c r="A1" s="30" t="s">
        <v>1034</v>
      </c>
    </row>
    <row r="2" ht="13.35" customHeight="1"/>
    <row r="3" ht="13.35" customHeight="1">
      <c r="A3" s="14" t="s">
        <v>0</v>
      </c>
      <c r="B3" s="16"/>
      <c r="C3" s="16"/>
    </row>
    <row r="4" ht="13.35" customHeight="1">
      <c r="A4" s="17">
        <v>1.01</v>
      </c>
      <c r="B4" s="34" t="str">
        <f>HYPERLINK("#'1.01'!A1", "Household living-costs price indexes – Index numbers")</f>
        <v xml:space="preserve">Household living-costs price indexes – Index numbers</v>
      </c>
      <c r="C4" s="34"/>
      <c r="D4" s="34"/>
      <c r="E4" s="34"/>
      <c r="F4" s="34"/>
    </row>
    <row r="5" ht="13.35" customHeight="1">
      <c r="A5" s="17">
        <v>1.02</v>
      </c>
      <c r="B5" s="34" t="str">
        <f>HYPERLINK("#'1.02'!A1", "Household living-costs price indexes – Quarterly change")</f>
        <v xml:space="preserve">Household living-costs price indexes – Quarterly change</v>
      </c>
      <c r="C5" s="34"/>
      <c r="D5" s="34"/>
      <c r="E5" s="34"/>
      <c r="F5" s="34"/>
    </row>
    <row r="6" ht="13.35" customHeight="1">
      <c r="A6" s="17">
        <v>1.03</v>
      </c>
      <c r="B6" s="34" t="str">
        <f>HYPERLINK("#'1.03'!A1", "Household living-costs price indexes – Annual change")</f>
        <v xml:space="preserve">Household living-costs price indexes – Annual change</v>
      </c>
      <c r="C6" s="34"/>
      <c r="D6" s="34"/>
      <c r="E6" s="34"/>
      <c r="F6" s="34"/>
    </row>
    <row r="7" ht="13.35" customHeight="1">
      <c r="A7" s="17">
        <v>2.0099999999999998</v>
      </c>
      <c r="B7" s="34" t="str">
        <f>HYPERLINK("#'2.01'!A1", "Household living-costs price indexes – All Households, Index numbers")</f>
        <v xml:space="preserve">Household living-costs price indexes – All Households, Index numbers</v>
      </c>
      <c r="C7" s="34"/>
      <c r="D7" s="34"/>
      <c r="E7" s="34"/>
      <c r="F7" s="34"/>
    </row>
    <row r="8" ht="13.35" customHeight="1">
      <c r="A8" s="17">
        <v>2.02</v>
      </c>
      <c r="B8" s="34" t="str">
        <f>HYPERLINK("#'2.02'!A1", "Household living-costs price indexes – All Households, Quarterly change")</f>
        <v xml:space="preserve">Household living-costs price indexes – All Households, Quarterly change</v>
      </c>
      <c r="C8" s="34"/>
      <c r="D8" s="34"/>
      <c r="E8" s="34"/>
      <c r="F8" s="34"/>
    </row>
    <row r="9" ht="13.35" customHeight="1">
      <c r="A9" s="17">
        <v>2.0299999999999998</v>
      </c>
      <c r="B9" s="34" t="str">
        <f>HYPERLINK("#'2.03'!A1", "Household living-costs price indexes – All Households, Annual change")</f>
        <v xml:space="preserve">Household living-costs price indexes – All Households, Annual change</v>
      </c>
      <c r="C9" s="34"/>
      <c r="D9" s="34"/>
      <c r="E9" s="34"/>
      <c r="F9" s="34"/>
    </row>
    <row r="10" ht="13.35" customHeight="1">
      <c r="A10" s="17">
        <v>3.0099999999999998</v>
      </c>
      <c r="B10" s="34" t="str">
        <f>HYPERLINK("#'3.01'!A1", "Household living-costs price indexes – Beneficiary Households, Index numbers")</f>
        <v xml:space="preserve">Household living-costs price indexes – Beneficiary Households, Index numbers</v>
      </c>
      <c r="C10" s="34"/>
      <c r="D10" s="34"/>
      <c r="E10" s="34"/>
      <c r="F10" s="34"/>
    </row>
    <row r="11" ht="13.35" customHeight="1">
      <c r="A11" s="17">
        <v>3.02</v>
      </c>
      <c r="B11" s="34" t="str">
        <f>HYPERLINK("#'3.02'!A1", "Household living-costs price indexes – Beneficiary Households, Quarterly change")</f>
        <v xml:space="preserve">Household living-costs price indexes – Beneficiary Households, Quarterly change</v>
      </c>
      <c r="C11" s="34"/>
      <c r="D11" s="34"/>
      <c r="E11" s="34"/>
      <c r="F11" s="34"/>
    </row>
    <row r="12" ht="13.35" customHeight="1">
      <c r="A12" s="17">
        <v>3.0299999999999998</v>
      </c>
      <c r="B12" s="34" t="str">
        <f>HYPERLINK("#'3.03'!A1", "Household living-costs price indexes – Beneficiary Households, Annual change")</f>
        <v xml:space="preserve">Household living-costs price indexes – Beneficiary Households, Annual change</v>
      </c>
      <c r="C12" s="34"/>
      <c r="D12" s="34"/>
      <c r="E12" s="34"/>
      <c r="F12" s="34"/>
    </row>
    <row r="13" ht="13.35" customHeight="1">
      <c r="A13" s="17">
        <v>4.0099999999999998</v>
      </c>
      <c r="B13" s="34" t="str">
        <f>HYPERLINK("#'4.01'!A1", "Household living-costs price indexes – Māori Households, Index numbers")</f>
        <v xml:space="preserve">Household living-costs price indexes – Māori Households, Index numbers</v>
      </c>
      <c r="C13" s="34"/>
      <c r="D13" s="34"/>
      <c r="E13" s="34"/>
      <c r="F13" s="34"/>
    </row>
    <row r="14" ht="13.35" customHeight="1">
      <c r="A14" s="17">
        <v>4.0199999999999996</v>
      </c>
      <c r="B14" s="34" t="str">
        <f>HYPERLINK("#'4.02'!A1", "Household living-costs price indexes – Māori Households, Quarterly change")</f>
        <v xml:space="preserve">Household living-costs price indexes – Māori Households, Quarterly change</v>
      </c>
      <c r="C14" s="34"/>
      <c r="D14" s="34"/>
      <c r="E14" s="34"/>
      <c r="F14" s="34"/>
    </row>
    <row r="15" ht="13.35" customHeight="1">
      <c r="A15" s="17">
        <v>4.0300000000000002</v>
      </c>
      <c r="B15" s="34" t="str">
        <f>HYPERLINK("#'4.03'!A1", "Household living-costs price indexes – Māori Households, Annual change")</f>
        <v xml:space="preserve">Household living-costs price indexes – Māori Households, Annual change</v>
      </c>
      <c r="C15" s="34"/>
      <c r="D15" s="34"/>
      <c r="E15" s="34"/>
      <c r="F15" s="34"/>
    </row>
    <row r="16" ht="13.35" customHeight="1">
      <c r="A16" s="17">
        <v>5.0099999999999998</v>
      </c>
      <c r="B16" s="33" t="str">
        <f>HYPERLINK("#'5.01'!A1", "Household living-costs price indexes – Superannuitant Households, Index numbers")</f>
        <v xml:space="preserve">Household living-costs price indexes – Superannuitant Households, Index numbers</v>
      </c>
      <c r="C16" s="33"/>
      <c r="D16" s="33"/>
      <c r="E16" s="33"/>
      <c r="F16" s="33"/>
    </row>
    <row r="17" ht="13.35" customHeight="1">
      <c r="A17" s="17">
        <v>5.0199999999999996</v>
      </c>
      <c r="B17" s="33" t="str">
        <f>HYPERLINK("#'5.02'!A1", "Household living-costs price indexes – Superannuitant Households, Quarterly change")</f>
        <v xml:space="preserve">Household living-costs price indexes – Superannuitant Households, Quarterly change</v>
      </c>
      <c r="C17" s="33"/>
      <c r="D17" s="33"/>
      <c r="E17" s="33"/>
      <c r="F17" s="33"/>
    </row>
    <row r="18" ht="13.35" customHeight="1">
      <c r="A18" s="17">
        <v>5.0300000000000002</v>
      </c>
      <c r="B18" s="33" t="str">
        <f>HYPERLINK("#'5.03'!A1", "Household living-costs price indexes – Superannuitant Households, Annual change")</f>
        <v xml:space="preserve">Household living-costs price indexes – Superannuitant Households, Annual change</v>
      </c>
      <c r="C18" s="33"/>
      <c r="D18" s="33"/>
      <c r="E18" s="33"/>
      <c r="F18" s="33"/>
    </row>
    <row r="19" ht="13.35" customHeight="1">
      <c r="A19" s="17">
        <v>6.0099999999999998</v>
      </c>
      <c r="B19" s="33" t="str">
        <f>HYPERLINK("#'6.01'!A1", "Household living-costs price indexes – Income Quintile 1 (low) Households, Index numbers")</f>
        <v xml:space="preserve">Household living-costs price indexes – Income Quintile 1 (low) Households, Index numbers</v>
      </c>
      <c r="C19" s="33"/>
      <c r="D19" s="33"/>
      <c r="E19" s="33"/>
      <c r="F19" s="33"/>
    </row>
    <row r="20" ht="13.35" customHeight="1">
      <c r="A20" s="17">
        <v>6.0199999999999996</v>
      </c>
      <c r="B20" s="33" t="str">
        <f>HYPERLINK("#'6.02'!A1", "Household living-costs price indexes – Income Quintile 1 (low) Households, Quarterly change")</f>
        <v xml:space="preserve">Household living-costs price indexes – Income Quintile 1 (low) Households, Quarterly change</v>
      </c>
      <c r="C20" s="33"/>
      <c r="D20" s="33"/>
      <c r="E20" s="33"/>
      <c r="F20" s="33"/>
    </row>
    <row r="21" ht="13.35" customHeight="1">
      <c r="A21" s="17">
        <v>6.0300000000000002</v>
      </c>
      <c r="B21" s="33" t="str">
        <f>HYPERLINK("#'6.03'!A1", "Household living-costs price indexes – Income Quintile 1 (low) Households, Annual change")</f>
        <v xml:space="preserve">Household living-costs price indexes – Income Quintile 1 (low) Households, Annual change</v>
      </c>
      <c r="C21" s="33"/>
      <c r="D21" s="33"/>
      <c r="E21" s="33"/>
      <c r="F21" s="33"/>
    </row>
    <row r="22" ht="13.35" customHeight="1">
      <c r="A22" s="17">
        <v>7.0099999999999998</v>
      </c>
      <c r="B22" s="33" t="str">
        <f>HYPERLINK("#'7.01'!A1", "Household living-costs price indexes – Income Quintile 2 Households, Index numbers")</f>
        <v xml:space="preserve">Household living-costs price indexes – Income Quintile 2 Households, Index numbers</v>
      </c>
      <c r="C22" s="33"/>
      <c r="D22" s="33"/>
      <c r="E22" s="33"/>
      <c r="F22" s="33"/>
    </row>
    <row r="23" ht="13.35" customHeight="1">
      <c r="A23" s="17">
        <v>7.0199999999999996</v>
      </c>
      <c r="B23" s="28" t="str">
        <f>HYPERLINK("#'7.02'!A1", "Household living-costs price indexes – Income Quintile 2 Households, Quarterly change")</f>
        <v xml:space="preserve">Household living-costs price indexes – Income Quintile 2 Households, Quarterly change</v>
      </c>
      <c r="C23" s="28"/>
      <c r="D23" s="28"/>
      <c r="E23" s="28"/>
      <c r="F23" s="28"/>
    </row>
    <row r="24" ht="13.35" customHeight="1">
      <c r="A24" s="17">
        <v>7.0300000000000002</v>
      </c>
      <c r="B24" s="28" t="str">
        <f>HYPERLINK("#'7.03'!A1", "Household living-costs price indexes – Income Quintile 2 Households, Annual change")</f>
        <v xml:space="preserve">Household living-costs price indexes – Income Quintile 2 Households, Annual change</v>
      </c>
      <c r="C24" s="28"/>
      <c r="D24" s="28"/>
      <c r="E24" s="28"/>
      <c r="F24" s="28"/>
    </row>
    <row r="25" ht="13.35" customHeight="1">
      <c r="A25" s="17">
        <v>8.0099999999999998</v>
      </c>
      <c r="B25" s="33" t="str">
        <f>HYPERLINK("#'8.01'!A1", "Household living-costs price indexes – Income Quintile 3 Households, Index numbers")</f>
        <v xml:space="preserve">Household living-costs price indexes – Income Quintile 3 Households, Index numbers</v>
      </c>
      <c r="C25" s="33"/>
      <c r="D25" s="33"/>
      <c r="E25" s="33"/>
      <c r="F25" s="33"/>
    </row>
    <row r="26" ht="13.35" customHeight="1">
      <c r="A26" s="17">
        <v>8.0199999999999996</v>
      </c>
      <c r="B26" s="33" t="str">
        <f>HYPERLINK("#'8.02'!A1", "Household living-costs price indexes – Income Quintile 3 Households, Quarterly change")</f>
        <v xml:space="preserve">Household living-costs price indexes – Income Quintile 3 Households, Quarterly change</v>
      </c>
      <c r="C26" s="33"/>
      <c r="D26" s="33"/>
      <c r="E26" s="33"/>
      <c r="F26" s="33"/>
    </row>
    <row r="27" ht="13.35" customHeight="1">
      <c r="A27" s="17">
        <v>8.0299999999999994</v>
      </c>
      <c r="B27" s="33" t="str">
        <f>HYPERLINK("#'8.03'!A1", "Household living-costs price indexes – Income Quintile 3 Households, Annual change")</f>
        <v xml:space="preserve">Household living-costs price indexes – Income Quintile 3 Households, Annual change</v>
      </c>
      <c r="C27" s="33"/>
      <c r="D27" s="33"/>
      <c r="E27" s="33"/>
      <c r="F27" s="33"/>
    </row>
    <row r="28" ht="13.35" customHeight="1">
      <c r="A28" s="17">
        <v>9.0099999999999998</v>
      </c>
      <c r="B28" s="33" t="str">
        <f>HYPERLINK("#'9.01'!A1", "Household living-costs price indexes – Income Quintile 4 Households, Index numbers")</f>
        <v xml:space="preserve">Household living-costs price indexes – Income Quintile 4 Households, Index numbers</v>
      </c>
      <c r="C28" s="33"/>
      <c r="D28" s="33"/>
      <c r="E28" s="33"/>
      <c r="F28" s="33"/>
    </row>
    <row r="29" ht="13.35" customHeight="1">
      <c r="A29" s="17">
        <v>9.0199999999999996</v>
      </c>
      <c r="B29" s="33" t="str">
        <f>HYPERLINK("#'9.02'!A1", "Household living-costs price indexes – Income Quintile 4 Households, Quarterly change")</f>
        <v xml:space="preserve">Household living-costs price indexes – Income Quintile 4 Households, Quarterly change</v>
      </c>
      <c r="C29" s="33"/>
      <c r="D29" s="33"/>
      <c r="E29" s="33"/>
      <c r="F29" s="33"/>
    </row>
    <row r="30" ht="13.35" customHeight="1">
      <c r="A30" s="17">
        <v>9.0299999999999994</v>
      </c>
      <c r="B30" s="33" t="str">
        <f>HYPERLINK("#'9.03'!A1", "Household living-costs price indexes – Income Quintile 4 Households, Annual change")</f>
        <v xml:space="preserve">Household living-costs price indexes – Income Quintile 4 Households, Annual change</v>
      </c>
      <c r="C30" s="33"/>
      <c r="D30" s="33"/>
      <c r="E30" s="33"/>
      <c r="F30" s="33"/>
    </row>
    <row r="31" ht="13.35" customHeight="1">
      <c r="A31" s="17">
        <v>10.01</v>
      </c>
      <c r="B31" s="33" t="str">
        <f>HYPERLINK("#'10.01'!A1", "Household living-costs price indexes – Income Quintile 5 (High) Households, Index numbers")</f>
        <v xml:space="preserve">Household living-costs price indexes – Income Quintile 5 (High) Households, Index numbers</v>
      </c>
      <c r="C31" s="33"/>
      <c r="D31" s="33"/>
      <c r="E31" s="33"/>
      <c r="F31" s="33"/>
    </row>
    <row r="32" ht="13.35" customHeight="1">
      <c r="A32" s="17">
        <v>10.02</v>
      </c>
      <c r="B32" s="33" t="str">
        <f>HYPERLINK("#'10.02'!A1", "Household living-costs price indexes – Income Quintile 5 (High) Households, Quarterly change")</f>
        <v xml:space="preserve">Household living-costs price indexes – Income Quintile 5 (High) Households, Quarterly change</v>
      </c>
      <c r="C32" s="33"/>
      <c r="D32" s="33"/>
      <c r="E32" s="33"/>
      <c r="F32" s="33"/>
    </row>
    <row r="33" ht="13.35" customHeight="1">
      <c r="A33" s="17">
        <v>10.029999999999999</v>
      </c>
      <c r="B33" s="33" t="str">
        <f>HYPERLINK("#'10.03'!A1", "Household living-costs price indexes – Income Quintile 5 (High) Households, Annual change")</f>
        <v xml:space="preserve">Household living-costs price indexes – Income Quintile 5 (High) Households, Annual change</v>
      </c>
      <c r="C33" s="33"/>
      <c r="D33" s="33"/>
      <c r="E33" s="33"/>
      <c r="F33" s="33"/>
    </row>
    <row r="34" ht="13.35" customHeight="1">
      <c r="A34" s="17">
        <v>11.01</v>
      </c>
      <c r="B34" s="33" t="str">
        <f>HYPERLINK("#'11.01'!A1", "Household living-costs price indexes – Expenditure Quintile 1 (low) Households, Index numbers")</f>
        <v xml:space="preserve">Household living-costs price indexes – Expenditure Quintile 1 (low) Households, Index numbers</v>
      </c>
      <c r="C34" s="33"/>
      <c r="D34" s="33"/>
      <c r="E34" s="33"/>
      <c r="F34" s="33"/>
    </row>
    <row r="35" ht="13.35" customHeight="1">
      <c r="A35" s="17">
        <v>11.02</v>
      </c>
      <c r="B35" s="33" t="str">
        <f>HYPERLINK("#'11.02'!A1", "Household living-costs price indexes – Expenditure Quintile 1 (low) Households, Quarterly change")</f>
        <v xml:space="preserve">Household living-costs price indexes – Expenditure Quintile 1 (low) Households, Quarterly change</v>
      </c>
      <c r="C35" s="33"/>
      <c r="D35" s="33"/>
      <c r="E35" s="33"/>
      <c r="F35" s="33"/>
    </row>
    <row r="36" ht="13.35" customHeight="1">
      <c r="A36" s="17">
        <v>11.029999999999999</v>
      </c>
      <c r="B36" s="33" t="str">
        <f>HYPERLINK("#'11.03'!A1", "Household living-costs price indexes – Expenditure Quintile 1 (low) Households, Annual change")</f>
        <v xml:space="preserve">Household living-costs price indexes – Expenditure Quintile 1 (low) Households, Annual change</v>
      </c>
      <c r="C36" s="33"/>
      <c r="D36" s="33"/>
      <c r="E36" s="33"/>
      <c r="F36" s="33"/>
    </row>
    <row r="37" ht="13.35" customHeight="1">
      <c r="A37" s="17">
        <v>12.01</v>
      </c>
      <c r="B37" s="33" t="str">
        <f>HYPERLINK("#'12.01'!A1", "Household living-costs price indexes – Expenditure Quintile 2 Households, Index numbers")</f>
        <v xml:space="preserve">Household living-costs price indexes – Expenditure Quintile 2 Households, Index numbers</v>
      </c>
      <c r="C37" s="33"/>
      <c r="D37" s="33"/>
      <c r="E37" s="33"/>
      <c r="F37" s="33"/>
    </row>
    <row r="38" ht="13.35" customHeight="1">
      <c r="A38" s="17">
        <v>12.02</v>
      </c>
      <c r="B38" s="33" t="str">
        <f>HYPERLINK("#'12.02'!A1", "Household living-costs price indexes – Expenditure Quintile 2 Households, Quarterly change")</f>
        <v xml:space="preserve">Household living-costs price indexes – Expenditure Quintile 2 Households, Quarterly change</v>
      </c>
      <c r="C38" s="33"/>
      <c r="D38" s="33"/>
      <c r="E38" s="33"/>
      <c r="F38" s="33"/>
    </row>
    <row r="39" ht="13.35" customHeight="1">
      <c r="A39" s="17">
        <v>12.029999999999999</v>
      </c>
      <c r="B39" s="33" t="str">
        <f>HYPERLINK("#'12.03'!A1", "Household living-costs price indexes – Expenditure Quintile 2 Households, Annual change")</f>
        <v xml:space="preserve">Household living-costs price indexes – Expenditure Quintile 2 Households, Annual change</v>
      </c>
      <c r="C39" s="33"/>
      <c r="D39" s="33"/>
      <c r="E39" s="33"/>
      <c r="F39" s="33"/>
    </row>
    <row r="40" ht="13.35" customHeight="1">
      <c r="A40" s="17">
        <v>13.01</v>
      </c>
      <c r="B40" s="33" t="str">
        <f>HYPERLINK("#'13.01'!A1", "Household living-costs price indexes – Expenditure Quintile 3 Households, Index numbers")</f>
        <v xml:space="preserve">Household living-costs price indexes – Expenditure Quintile 3 Households, Index numbers</v>
      </c>
      <c r="C40" s="33"/>
      <c r="D40" s="33"/>
      <c r="E40" s="33"/>
      <c r="F40" s="33"/>
    </row>
    <row r="41" ht="13.35" customHeight="1">
      <c r="A41" s="17">
        <v>13.02</v>
      </c>
      <c r="B41" s="33" t="str">
        <f>HYPERLINK("#'13.02'!A1", "Household living-costs price indexes – Expenditure Quintile 3 Households, Quarterly change")</f>
        <v xml:space="preserve">Household living-costs price indexes – Expenditure Quintile 3 Households, Quarterly change</v>
      </c>
      <c r="C41" s="33"/>
      <c r="D41" s="33"/>
      <c r="E41" s="33"/>
      <c r="F41" s="33"/>
    </row>
    <row r="42" ht="13.35" customHeight="1">
      <c r="A42" s="17">
        <v>13.029999999999999</v>
      </c>
      <c r="B42" s="33" t="str">
        <f>HYPERLINK("#'13.03'!A1", "Household living-costs price indexes – Expenditure Quintile 3 Households, Annual change")</f>
        <v xml:space="preserve">Household living-costs price indexes – Expenditure Quintile 3 Households, Annual change</v>
      </c>
      <c r="C42" s="33"/>
      <c r="D42" s="33"/>
      <c r="E42" s="33"/>
      <c r="F42" s="33"/>
    </row>
    <row r="43" ht="13.35" customHeight="1">
      <c r="A43" s="17">
        <v>14.01</v>
      </c>
      <c r="B43" s="33" t="str">
        <f>HYPERLINK("#'14.01'!A1", "Household living-costs price indexes – Expenditure Quintile 4 Households, Index numbers")</f>
        <v xml:space="preserve">Household living-costs price indexes – Expenditure Quintile 4 Households, Index numbers</v>
      </c>
      <c r="C43" s="33"/>
      <c r="D43" s="33"/>
      <c r="E43" s="33"/>
      <c r="F43" s="33"/>
    </row>
    <row r="44" ht="13.35" customHeight="1">
      <c r="A44" s="17">
        <v>14.02</v>
      </c>
      <c r="B44" s="33" t="str">
        <f>HYPERLINK("#'14.02'!A1", "Household living-costs price indexes – Expenditure Quintile 4 Households, Quarterly change")</f>
        <v xml:space="preserve">Household living-costs price indexes – Expenditure Quintile 4 Households, Quarterly change</v>
      </c>
      <c r="C44" s="33"/>
      <c r="D44" s="33"/>
      <c r="E44" s="33"/>
      <c r="F44" s="33"/>
    </row>
    <row r="45" ht="13.35" customHeight="1">
      <c r="A45" s="17">
        <v>14.029999999999999</v>
      </c>
      <c r="B45" s="33" t="str">
        <f>HYPERLINK("#'14.03'!A1", "Household living-costs price indexes – Expenditure Quintile 4 Households, Annual change")</f>
        <v xml:space="preserve">Household living-costs price indexes – Expenditure Quintile 4 Households, Annual change</v>
      </c>
      <c r="C45" s="33"/>
      <c r="D45" s="33"/>
      <c r="E45" s="33"/>
      <c r="F45" s="33"/>
    </row>
    <row r="46" ht="13.35" customHeight="1">
      <c r="A46" s="17">
        <v>15.01</v>
      </c>
      <c r="B46" s="33" t="str">
        <f>HYPERLINK("#'15.01'!A1", "Household living-costs price indexes – Expenditure Quintile 5 (High) Households, Index numbers")</f>
        <v xml:space="preserve">Household living-costs price indexes – Expenditure Quintile 5 (High) Households, Index numbers</v>
      </c>
      <c r="C46" s="33"/>
      <c r="D46" s="33"/>
      <c r="E46" s="33"/>
      <c r="F46" s="33"/>
    </row>
    <row r="47" ht="13.35" customHeight="1">
      <c r="A47" s="17">
        <v>15.02</v>
      </c>
      <c r="B47" s="33" t="str">
        <f>HYPERLINK("#'15.02'!A1", "Household living-costs price indexes – Expenditure Quintile 5 (High) Households, Quarterly change")</f>
        <v xml:space="preserve">Household living-costs price indexes – Expenditure Quintile 5 (High) Households, Quarterly change</v>
      </c>
      <c r="C47" s="33"/>
      <c r="D47" s="33"/>
      <c r="E47" s="33"/>
      <c r="F47" s="33"/>
    </row>
    <row r="48" ht="13.35" customHeight="1">
      <c r="A48" s="17">
        <v>15.029999999999999</v>
      </c>
      <c r="B48" s="33" t="str">
        <f>HYPERLINK("#'15.03'!A1", "Household living-costs price indexes – Expenditure Quintile 5 (High) Households, Annual change")</f>
        <v xml:space="preserve">Household living-costs price indexes – Expenditure Quintile 5 (High) Households, Annual change</v>
      </c>
      <c r="C48" s="33"/>
      <c r="D48" s="33"/>
      <c r="E48" s="33"/>
      <c r="F48" s="33"/>
    </row>
    <row r="49" ht="13.35" customHeight="1">
      <c r="A49" s="17"/>
      <c r="B49" s="15"/>
    </row>
    <row r="50" ht="13.35" customHeight="1">
      <c r="A50" s="14" t="s">
        <v>1</v>
      </c>
      <c r="B50" s="16"/>
      <c r="C50" s="16"/>
    </row>
    <row r="51" ht="13.35" customHeight="1">
      <c r="A51" s="16" t="s">
        <v>2</v>
      </c>
      <c r="B51" s="16"/>
      <c r="C51" s="16"/>
    </row>
    <row r="52" ht="13.35" customHeight="1">
      <c r="A52" s="15" t="s">
        <v>3</v>
      </c>
      <c r="B52" s="16"/>
      <c r="C52" s="16"/>
    </row>
    <row r="53" ht="13.35" customHeight="1">
      <c r="A53" s="16"/>
      <c r="B53" s="16"/>
      <c r="C53" s="16"/>
    </row>
    <row r="54" ht="13.35" customHeight="1">
      <c r="A54" s="16" t="s">
        <v>4</v>
      </c>
      <c r="B54" s="16"/>
      <c r="C54" s="16"/>
    </row>
    <row r="55" ht="13.35" customHeight="1">
      <c r="A55" s="16" t="s">
        <v>5</v>
      </c>
      <c r="B55" s="16"/>
      <c r="C55" s="16"/>
    </row>
    <row r="56" ht="13.35" customHeight="1">
      <c r="A56" s="16" t="s">
        <v>6</v>
      </c>
      <c r="B56" s="16"/>
      <c r="C56" s="16"/>
    </row>
    <row r="57" ht="13.35" customHeight="1">
      <c r="A57" s="16"/>
      <c r="B57" s="16"/>
      <c r="C57" s="16"/>
    </row>
    <row r="58" ht="13.35" customHeight="1">
      <c r="A58" s="16" t="s">
        <v>7</v>
      </c>
      <c r="B58" s="16"/>
      <c r="C58" s="16"/>
    </row>
    <row r="59" ht="13.35" customHeight="1">
      <c r="A59" s="15" t="s">
        <v>8</v>
      </c>
      <c r="B59" s="16"/>
      <c r="C59" s="16"/>
    </row>
    <row r="60" ht="13.35" customHeight="1">
      <c r="A60" s="16"/>
      <c r="B60" s="16"/>
      <c r="C60" s="16"/>
    </row>
    <row r="61" ht="13.35" customHeight="1">
      <c r="A61" s="14" t="s">
        <v>9</v>
      </c>
      <c r="B61" s="16"/>
      <c r="C61" s="16"/>
    </row>
    <row r="62" ht="13.35" customHeight="1">
      <c r="A62" s="16" t="s">
        <v>10</v>
      </c>
      <c r="B62" s="16"/>
      <c r="C62" s="16"/>
    </row>
    <row r="63" ht="13.35" customHeight="1">
      <c r="A63" s="16" t="s">
        <v>11</v>
      </c>
      <c r="B63" s="15" t="s">
        <v>12</v>
      </c>
      <c r="C63" s="16"/>
    </row>
    <row r="64" ht="13.35" customHeight="1">
      <c r="A64" s="16" t="s">
        <v>13</v>
      </c>
      <c r="B64" s="16" t="s">
        <v>14</v>
      </c>
      <c r="C64" s="16"/>
    </row>
    <row r="65" ht="13.35" customHeight="1">
      <c r="A65" s="16"/>
      <c r="B65" s="16"/>
      <c r="C65" s="16"/>
    </row>
    <row r="66" ht="13.35" customHeight="1">
      <c r="A66" s="14" t="s">
        <v>15</v>
      </c>
      <c r="B66" s="16"/>
      <c r="C66" s="16"/>
    </row>
    <row r="67" ht="13.35" customHeight="1">
      <c r="A67" s="31" t="s">
        <v>1035</v>
      </c>
      <c r="B67" s="16"/>
      <c r="C67" s="16"/>
    </row>
    <row r="68" ht="13.35" customHeight="1">
      <c r="A68" s="16"/>
      <c r="B68" s="16"/>
      <c r="C68" s="16"/>
    </row>
    <row r="69" ht="13.35" customHeight="1">
      <c r="A69" s="14" t="s">
        <v>16</v>
      </c>
      <c r="B69" s="16"/>
      <c r="C69" s="16"/>
    </row>
    <row r="70" ht="13.35" customHeight="1">
      <c r="A70" s="32" t="s">
        <v>17</v>
      </c>
      <c r="B70" s="16"/>
      <c r="C70" s="16"/>
    </row>
    <row r="71" ht="13.35" customHeight="1">
      <c r="A71" s="15" t="s">
        <v>18</v>
      </c>
      <c r="B71" s="16"/>
      <c r="C71" s="16"/>
    </row>
  </sheetData>
  <mergeCells count="43">
    <mergeCell ref="B43:F43"/>
    <mergeCell ref="B44:F44"/>
    <mergeCell ref="B45:F45"/>
    <mergeCell ref="B46:F46"/>
    <mergeCell ref="B14:F14"/>
    <mergeCell ref="B15:F15"/>
    <mergeCell ref="B16:F16"/>
    <mergeCell ref="B17:F17"/>
    <mergeCell ref="B42:F42"/>
    <mergeCell ref="B25:F25"/>
    <mergeCell ref="B26:F26"/>
    <mergeCell ref="B27:F27"/>
    <mergeCell ref="B18:F18"/>
    <mergeCell ref="B19:F19"/>
    <mergeCell ref="B20:F20"/>
    <mergeCell ref="B21:F21"/>
    <mergeCell ref="B32:F32"/>
    <mergeCell ref="B4:F4"/>
    <mergeCell ref="B5:F5"/>
    <mergeCell ref="B6:F6"/>
    <mergeCell ref="B7:F7"/>
    <mergeCell ref="B8:F8"/>
    <mergeCell ref="B22:F22"/>
    <mergeCell ref="B28:F28"/>
    <mergeCell ref="B29:F29"/>
    <mergeCell ref="B30:F30"/>
    <mergeCell ref="B31:F31"/>
    <mergeCell ref="B47:F47"/>
    <mergeCell ref="B48:F48"/>
    <mergeCell ref="B9:F9"/>
    <mergeCell ref="B10:F10"/>
    <mergeCell ref="B11:F11"/>
    <mergeCell ref="B12:F12"/>
    <mergeCell ref="B13:F13"/>
    <mergeCell ref="B38:F38"/>
    <mergeCell ref="B39:F39"/>
    <mergeCell ref="B40:F40"/>
    <mergeCell ref="B41:F41"/>
    <mergeCell ref="B33:F33"/>
    <mergeCell ref="B34:F34"/>
    <mergeCell ref="B35:F35"/>
    <mergeCell ref="B36:F36"/>
    <mergeCell ref="B37:F37"/>
  </mergeCells>
  <hyperlinks>
    <hyperlink r:id="rId1" ref="A52"/>
    <hyperlink r:id="rId2" ref="A59"/>
    <hyperlink r:id="rId3" ref="B63"/>
    <hyperlink r:id="rId4" ref="A71"/>
  </hyperlinks>
  <pageMargins left="0.69999999999999996" right="0.69999999999999996" top="0.75" bottom="0.75" header="0.29999999999999999" footer="0.29999999999999999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zoomScaleNormal="100" workbookViewId="0"/>
  </sheetViews>
  <sheetFormatPr defaultColWidth="11.59765625" defaultRowHeight="14.25"/>
  <cols>
    <col customWidth="1" min="1" max="1" width="50.73046875"/>
    <col customWidth="1" min="2" max="2" width="10.86328125"/>
    <col customWidth="1" min="3" max="3" width="11.5976562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23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39</v>
      </c>
      <c r="B8" s="11" t="s">
        <v>40</v>
      </c>
      <c r="C8" s="19">
        <v>1229</v>
      </c>
      <c r="D8" s="2"/>
      <c r="E8" s="19">
        <v>1251</v>
      </c>
      <c r="F8" s="2"/>
      <c r="G8" s="19">
        <v>1268</v>
      </c>
      <c r="H8" s="2"/>
      <c r="I8" s="19">
        <v>1300</v>
      </c>
      <c r="J8" s="2"/>
      <c r="K8" s="19">
        <v>1315</v>
      </c>
      <c r="L8" s="2"/>
      <c r="M8" s="19">
        <v>1328</v>
      </c>
      <c r="N8" s="2"/>
      <c r="O8" s="19">
        <v>1336</v>
      </c>
      <c r="P8" s="2"/>
      <c r="Q8" s="19">
        <v>1350</v>
      </c>
      <c r="R8" s="2"/>
      <c r="S8" s="19">
        <v>1355</v>
      </c>
      <c r="T8" s="2"/>
      <c r="U8" s="19">
        <v>1367</v>
      </c>
      <c r="V8" s="2"/>
      <c r="W8" s="19">
        <v>1371</v>
      </c>
      <c r="X8" s="2"/>
      <c r="Y8" s="19">
        <v>1382</v>
      </c>
      <c r="Z8" s="2"/>
      <c r="AA8" s="19">
        <v>1385</v>
      </c>
      <c r="AB8" s="2"/>
    </row>
    <row r="9" ht="12" customHeight="1">
      <c r="A9" s="9" t="s">
        <v>41</v>
      </c>
      <c r="B9" s="8" t="s">
        <v>42</v>
      </c>
      <c r="C9" s="19">
        <v>1249</v>
      </c>
      <c r="D9" s="2"/>
      <c r="E9" s="19">
        <v>1274</v>
      </c>
      <c r="F9" s="2"/>
      <c r="G9" s="19">
        <v>1290</v>
      </c>
      <c r="H9" s="2"/>
      <c r="I9" s="19">
        <v>1313</v>
      </c>
      <c r="J9" s="2"/>
      <c r="K9" s="19">
        <v>1327</v>
      </c>
      <c r="L9" s="2"/>
      <c r="M9" s="19">
        <v>1341</v>
      </c>
      <c r="N9" s="2"/>
      <c r="O9" s="19">
        <v>1348</v>
      </c>
      <c r="P9" s="2"/>
      <c r="Q9" s="19">
        <v>1363</v>
      </c>
      <c r="R9" s="2"/>
      <c r="S9" s="19">
        <v>1371</v>
      </c>
      <c r="T9" s="2"/>
      <c r="U9" s="19">
        <v>1388</v>
      </c>
      <c r="V9" s="2"/>
      <c r="W9" s="19">
        <v>1397</v>
      </c>
      <c r="X9" s="2"/>
      <c r="Y9" s="19">
        <v>1409</v>
      </c>
      <c r="Z9" s="2"/>
      <c r="AA9" s="19">
        <v>1413</v>
      </c>
      <c r="AB9" s="2"/>
    </row>
    <row r="10" ht="12" customHeight="1">
      <c r="A10" s="9" t="s">
        <v>43</v>
      </c>
      <c r="B10" s="8" t="s">
        <v>44</v>
      </c>
      <c r="C10" s="19">
        <v>1245</v>
      </c>
      <c r="D10" s="2"/>
      <c r="E10" s="19">
        <v>1268</v>
      </c>
      <c r="F10" s="2"/>
      <c r="G10" s="19">
        <v>1286</v>
      </c>
      <c r="H10" s="2"/>
      <c r="I10" s="19">
        <v>1317</v>
      </c>
      <c r="J10" s="2"/>
      <c r="K10" s="19">
        <v>1334</v>
      </c>
      <c r="L10" s="2"/>
      <c r="M10" s="19">
        <v>1348</v>
      </c>
      <c r="N10" s="2"/>
      <c r="O10" s="19">
        <v>1357</v>
      </c>
      <c r="P10" s="2"/>
      <c r="Q10" s="19">
        <v>1368</v>
      </c>
      <c r="R10" s="2"/>
      <c r="S10" s="19">
        <v>1375</v>
      </c>
      <c r="T10" s="2"/>
      <c r="U10" s="19">
        <v>1388</v>
      </c>
      <c r="V10" s="2"/>
      <c r="W10" s="19">
        <v>1392</v>
      </c>
      <c r="X10" s="2"/>
      <c r="Y10" s="19">
        <v>1401</v>
      </c>
      <c r="Z10" s="2"/>
      <c r="AA10" s="19">
        <v>1405</v>
      </c>
      <c r="AB10" s="2"/>
    </row>
    <row r="11" ht="12" customHeight="1">
      <c r="A11" s="9" t="s">
        <v>45</v>
      </c>
      <c r="B11" s="8" t="s">
        <v>46</v>
      </c>
      <c r="C11" s="19">
        <v>1233</v>
      </c>
      <c r="D11" s="2"/>
      <c r="E11" s="19">
        <v>1252</v>
      </c>
      <c r="F11" s="2"/>
      <c r="G11" s="19">
        <v>1268</v>
      </c>
      <c r="H11" s="2"/>
      <c r="I11" s="19">
        <v>1298</v>
      </c>
      <c r="J11" s="2"/>
      <c r="K11" s="19">
        <v>1308</v>
      </c>
      <c r="L11" s="2"/>
      <c r="M11" s="19">
        <v>1317</v>
      </c>
      <c r="N11" s="2"/>
      <c r="O11" s="19">
        <v>1326</v>
      </c>
      <c r="P11" s="2"/>
      <c r="Q11" s="19">
        <v>1348</v>
      </c>
      <c r="R11" s="2"/>
      <c r="S11" s="19">
        <v>1355</v>
      </c>
      <c r="T11" s="2"/>
      <c r="U11" s="19">
        <v>1369</v>
      </c>
      <c r="V11" s="2"/>
      <c r="W11" s="19">
        <v>1380</v>
      </c>
      <c r="X11" s="2"/>
      <c r="Y11" s="19">
        <v>1401</v>
      </c>
      <c r="Z11" s="2"/>
      <c r="AA11" s="19">
        <v>1407</v>
      </c>
      <c r="AB11" s="2"/>
    </row>
    <row r="12" ht="12" customHeight="1">
      <c r="A12" s="9" t="s">
        <v>47</v>
      </c>
      <c r="B12" s="8" t="s">
        <v>48</v>
      </c>
      <c r="C12" s="19">
        <v>1232</v>
      </c>
      <c r="D12" s="2"/>
      <c r="E12" s="19">
        <v>1256</v>
      </c>
      <c r="F12" s="2"/>
      <c r="G12" s="19">
        <v>1272</v>
      </c>
      <c r="H12" s="2"/>
      <c r="I12" s="19">
        <v>1301</v>
      </c>
      <c r="J12" s="2"/>
      <c r="K12" s="19">
        <v>1314</v>
      </c>
      <c r="L12" s="2"/>
      <c r="M12" s="19">
        <v>1326</v>
      </c>
      <c r="N12" s="2"/>
      <c r="O12" s="19">
        <v>1334</v>
      </c>
      <c r="P12" s="2"/>
      <c r="Q12" s="19">
        <v>1353</v>
      </c>
      <c r="R12" s="2"/>
      <c r="S12" s="19">
        <v>1359</v>
      </c>
      <c r="T12" s="2"/>
      <c r="U12" s="19">
        <v>1375</v>
      </c>
      <c r="V12" s="2"/>
      <c r="W12" s="19">
        <v>1384</v>
      </c>
      <c r="X12" s="2"/>
      <c r="Y12" s="19">
        <v>1402</v>
      </c>
      <c r="Z12" s="2"/>
      <c r="AA12" s="19">
        <v>1405</v>
      </c>
      <c r="AB12" s="2"/>
    </row>
    <row r="13" ht="12" customHeight="1">
      <c r="A13" s="9" t="s">
        <v>49</v>
      </c>
      <c r="B13" s="8" t="s">
        <v>50</v>
      </c>
      <c r="C13" s="19">
        <v>1231</v>
      </c>
      <c r="D13" s="2"/>
      <c r="E13" s="19">
        <v>1252</v>
      </c>
      <c r="F13" s="2"/>
      <c r="G13" s="19">
        <v>1270</v>
      </c>
      <c r="H13" s="2"/>
      <c r="I13" s="19">
        <v>1298</v>
      </c>
      <c r="J13" s="2"/>
      <c r="K13" s="19">
        <v>1310</v>
      </c>
      <c r="L13" s="2"/>
      <c r="M13" s="19">
        <v>1322</v>
      </c>
      <c r="N13" s="2"/>
      <c r="O13" s="19">
        <v>1331</v>
      </c>
      <c r="P13" s="2"/>
      <c r="Q13" s="19">
        <v>1347</v>
      </c>
      <c r="R13" s="2"/>
      <c r="S13" s="19">
        <v>1354</v>
      </c>
      <c r="T13" s="2"/>
      <c r="U13" s="19">
        <v>1369</v>
      </c>
      <c r="V13" s="2"/>
      <c r="W13" s="19">
        <v>1376</v>
      </c>
      <c r="X13" s="2"/>
      <c r="Y13" s="19">
        <v>1390</v>
      </c>
      <c r="Z13" s="2"/>
      <c r="AA13" s="19">
        <v>1394</v>
      </c>
      <c r="AB13" s="2"/>
    </row>
    <row r="14" ht="12" customHeight="1">
      <c r="A14" s="8" t="s">
        <v>51</v>
      </c>
      <c r="B14" s="8" t="s">
        <v>52</v>
      </c>
      <c r="C14" s="19">
        <v>1226</v>
      </c>
      <c r="D14" s="2"/>
      <c r="E14" s="19">
        <v>1248</v>
      </c>
      <c r="F14" s="2"/>
      <c r="G14" s="19">
        <v>1264</v>
      </c>
      <c r="H14" s="2"/>
      <c r="I14" s="19">
        <v>1296</v>
      </c>
      <c r="J14" s="2"/>
      <c r="K14" s="19">
        <v>1313</v>
      </c>
      <c r="L14" s="2"/>
      <c r="M14" s="19">
        <v>1328</v>
      </c>
      <c r="N14" s="2"/>
      <c r="O14" s="19">
        <v>1336</v>
      </c>
      <c r="P14" s="2"/>
      <c r="Q14" s="19">
        <v>1348</v>
      </c>
      <c r="R14" s="2"/>
      <c r="S14" s="19">
        <v>1354</v>
      </c>
      <c r="T14" s="2"/>
      <c r="U14" s="19">
        <v>1366</v>
      </c>
      <c r="V14" s="2"/>
      <c r="W14" s="19">
        <v>1369</v>
      </c>
      <c r="X14" s="2"/>
      <c r="Y14" s="19">
        <v>1378</v>
      </c>
      <c r="Z14" s="2"/>
      <c r="AA14" s="19">
        <v>1382</v>
      </c>
      <c r="AB14" s="2"/>
    </row>
    <row r="15" ht="12" customHeight="1">
      <c r="A15" s="8" t="s">
        <v>53</v>
      </c>
      <c r="B15" s="8" t="s">
        <v>54</v>
      </c>
      <c r="C15" s="19">
        <v>1232</v>
      </c>
      <c r="D15" s="2"/>
      <c r="E15" s="19">
        <v>1255</v>
      </c>
      <c r="F15" s="2"/>
      <c r="G15" s="19">
        <v>1274</v>
      </c>
      <c r="H15" s="2"/>
      <c r="I15" s="19">
        <v>1308</v>
      </c>
      <c r="J15" s="2"/>
      <c r="K15" s="19">
        <v>1323</v>
      </c>
      <c r="L15" s="2"/>
      <c r="M15" s="19">
        <v>1337</v>
      </c>
      <c r="N15" s="2"/>
      <c r="O15" s="19">
        <v>1346</v>
      </c>
      <c r="P15" s="2"/>
      <c r="Q15" s="19">
        <v>1357</v>
      </c>
      <c r="R15" s="2"/>
      <c r="S15" s="19">
        <v>1360</v>
      </c>
      <c r="T15" s="2"/>
      <c r="U15" s="19">
        <v>1370</v>
      </c>
      <c r="V15" s="2"/>
      <c r="W15" s="19">
        <v>1370</v>
      </c>
      <c r="X15" s="2"/>
      <c r="Y15" s="19">
        <v>1376</v>
      </c>
      <c r="Z15" s="2"/>
      <c r="AA15" s="19">
        <v>1380</v>
      </c>
      <c r="AB15" s="2"/>
    </row>
    <row r="16" ht="12" customHeight="1">
      <c r="A16" s="8" t="s">
        <v>55</v>
      </c>
      <c r="B16" s="8" t="s">
        <v>56</v>
      </c>
      <c r="C16" s="19">
        <v>1227</v>
      </c>
      <c r="D16" s="2"/>
      <c r="E16" s="19">
        <v>1248</v>
      </c>
      <c r="F16" s="2"/>
      <c r="G16" s="19">
        <v>1265</v>
      </c>
      <c r="H16" s="2"/>
      <c r="I16" s="19">
        <v>1300</v>
      </c>
      <c r="J16" s="2"/>
      <c r="K16" s="19">
        <v>1317</v>
      </c>
      <c r="L16" s="2"/>
      <c r="M16" s="19">
        <v>1330</v>
      </c>
      <c r="N16" s="2"/>
      <c r="O16" s="19">
        <v>1336</v>
      </c>
      <c r="P16" s="2"/>
      <c r="Q16" s="19">
        <v>1348</v>
      </c>
      <c r="R16" s="2"/>
      <c r="S16" s="19">
        <v>1354</v>
      </c>
      <c r="T16" s="2"/>
      <c r="U16" s="19">
        <v>1361</v>
      </c>
      <c r="V16" s="2"/>
      <c r="W16" s="19">
        <v>1360</v>
      </c>
      <c r="X16" s="2"/>
      <c r="Y16" s="19">
        <v>1366</v>
      </c>
      <c r="Z16" s="2"/>
      <c r="AA16" s="19">
        <v>1370</v>
      </c>
      <c r="AB16" s="2"/>
    </row>
    <row r="17" ht="12" customHeight="1">
      <c r="A17" s="8" t="s">
        <v>57</v>
      </c>
      <c r="B17" s="8" t="s">
        <v>58</v>
      </c>
      <c r="C17" s="19">
        <v>1239</v>
      </c>
      <c r="D17" s="2"/>
      <c r="E17" s="19">
        <v>1262</v>
      </c>
      <c r="F17" s="2"/>
      <c r="G17" s="19">
        <v>1280</v>
      </c>
      <c r="H17" s="2"/>
      <c r="I17" s="19">
        <v>1309</v>
      </c>
      <c r="J17" s="2"/>
      <c r="K17" s="19">
        <v>1321</v>
      </c>
      <c r="L17" s="2"/>
      <c r="M17" s="19">
        <v>1334</v>
      </c>
      <c r="N17" s="2"/>
      <c r="O17" s="19">
        <v>1344</v>
      </c>
      <c r="P17" s="2"/>
      <c r="Q17" s="19">
        <v>1365</v>
      </c>
      <c r="R17" s="2"/>
      <c r="S17" s="19">
        <v>1373</v>
      </c>
      <c r="T17" s="2"/>
      <c r="U17" s="19">
        <v>1389</v>
      </c>
      <c r="V17" s="2"/>
      <c r="W17" s="19">
        <v>1400</v>
      </c>
      <c r="X17" s="2"/>
      <c r="Y17" s="19">
        <v>1420</v>
      </c>
      <c r="Z17" s="2"/>
      <c r="AA17" s="19">
        <v>1424</v>
      </c>
      <c r="AB17" s="2"/>
    </row>
    <row r="18" ht="12" customHeight="1">
      <c r="A18" s="8" t="s">
        <v>59</v>
      </c>
      <c r="B18" s="8" t="s">
        <v>60</v>
      </c>
      <c r="C18" s="19">
        <v>1229</v>
      </c>
      <c r="D18" s="2"/>
      <c r="E18" s="19">
        <v>1252</v>
      </c>
      <c r="F18" s="2"/>
      <c r="G18" s="19">
        <v>1270</v>
      </c>
      <c r="H18" s="2"/>
      <c r="I18" s="19">
        <v>1300</v>
      </c>
      <c r="J18" s="2"/>
      <c r="K18" s="19">
        <v>1313</v>
      </c>
      <c r="L18" s="2"/>
      <c r="M18" s="19">
        <v>1327</v>
      </c>
      <c r="N18" s="2"/>
      <c r="O18" s="19">
        <v>1336</v>
      </c>
      <c r="P18" s="2"/>
      <c r="Q18" s="19">
        <v>1352</v>
      </c>
      <c r="R18" s="2"/>
      <c r="S18" s="19">
        <v>1358</v>
      </c>
      <c r="T18" s="2"/>
      <c r="U18" s="19">
        <v>1373</v>
      </c>
      <c r="V18" s="2"/>
      <c r="W18" s="19">
        <v>1380</v>
      </c>
      <c r="X18" s="2"/>
      <c r="Y18" s="19">
        <v>1393</v>
      </c>
      <c r="Z18" s="2"/>
      <c r="AA18" s="19">
        <v>1397</v>
      </c>
      <c r="AB18" s="2"/>
    </row>
    <row r="19" ht="12" customHeight="1">
      <c r="A19" s="8" t="s">
        <v>61</v>
      </c>
      <c r="B19" s="8" t="s">
        <v>62</v>
      </c>
      <c r="C19" s="19">
        <v>1229</v>
      </c>
      <c r="D19" s="2"/>
      <c r="E19" s="19">
        <v>1251</v>
      </c>
      <c r="F19" s="2"/>
      <c r="G19" s="19">
        <v>1267</v>
      </c>
      <c r="H19" s="2"/>
      <c r="I19" s="19">
        <v>1300</v>
      </c>
      <c r="J19" s="2"/>
      <c r="K19" s="19">
        <v>1316</v>
      </c>
      <c r="L19" s="2"/>
      <c r="M19" s="19">
        <v>1328</v>
      </c>
      <c r="N19" s="2"/>
      <c r="O19" s="19">
        <v>1335</v>
      </c>
      <c r="P19" s="2"/>
      <c r="Q19" s="19">
        <v>1348</v>
      </c>
      <c r="R19" s="2"/>
      <c r="S19" s="19">
        <v>1353</v>
      </c>
      <c r="T19" s="2"/>
      <c r="U19" s="19">
        <v>1366</v>
      </c>
      <c r="V19" s="2"/>
      <c r="W19" s="19">
        <v>1368</v>
      </c>
      <c r="X19" s="2"/>
      <c r="Y19" s="19">
        <v>1377</v>
      </c>
      <c r="Z19" s="2"/>
      <c r="AA19" s="19">
        <v>1380</v>
      </c>
      <c r="AB19" s="2"/>
    </row>
    <row r="20" ht="12" customHeight="1">
      <c r="A20" s="8" t="s">
        <v>63</v>
      </c>
      <c r="B20" s="8" t="s">
        <v>64</v>
      </c>
      <c r="C20" s="19">
        <v>1227</v>
      </c>
      <c r="D20" s="2"/>
      <c r="E20" s="19">
        <v>1248</v>
      </c>
      <c r="F20" s="2"/>
      <c r="G20" s="19">
        <v>1266</v>
      </c>
      <c r="H20" s="2"/>
      <c r="I20" s="19">
        <v>1298</v>
      </c>
      <c r="J20" s="2"/>
      <c r="K20" s="19">
        <v>1314</v>
      </c>
      <c r="L20" s="2"/>
      <c r="M20" s="19">
        <v>1326</v>
      </c>
      <c r="N20" s="2"/>
      <c r="O20" s="19">
        <v>1334</v>
      </c>
      <c r="P20" s="2"/>
      <c r="Q20" s="19">
        <v>1344</v>
      </c>
      <c r="R20" s="2"/>
      <c r="S20" s="19">
        <v>1348</v>
      </c>
      <c r="T20" s="2"/>
      <c r="U20" s="19">
        <v>1359</v>
      </c>
      <c r="V20" s="2"/>
      <c r="W20" s="19">
        <v>1360</v>
      </c>
      <c r="X20" s="2"/>
      <c r="Y20" s="19">
        <v>1367</v>
      </c>
      <c r="Z20" s="2"/>
      <c r="AA20" s="19">
        <v>1372</v>
      </c>
      <c r="AB20" s="2"/>
    </row>
    <row r="21" ht="12" customHeight="1">
      <c r="A21" s="10" t="s">
        <v>65</v>
      </c>
      <c r="B21" s="10" t="s">
        <v>66</v>
      </c>
      <c r="C21" s="20">
        <v>1224</v>
      </c>
      <c r="D21" s="3"/>
      <c r="E21" s="20">
        <v>1244</v>
      </c>
      <c r="F21" s="3"/>
      <c r="G21" s="20">
        <v>1262</v>
      </c>
      <c r="H21" s="3"/>
      <c r="I21" s="20">
        <v>1295</v>
      </c>
      <c r="J21" s="3"/>
      <c r="K21" s="20">
        <v>1313</v>
      </c>
      <c r="L21" s="3"/>
      <c r="M21" s="20">
        <v>1326</v>
      </c>
      <c r="N21" s="3"/>
      <c r="O21" s="20">
        <v>1333</v>
      </c>
      <c r="P21" s="3"/>
      <c r="Q21" s="20">
        <v>1343</v>
      </c>
      <c r="R21" s="3"/>
      <c r="S21" s="20">
        <v>1348</v>
      </c>
      <c r="T21" s="3"/>
      <c r="U21" s="20">
        <v>1353</v>
      </c>
      <c r="V21" s="3"/>
      <c r="W21" s="20">
        <v>1351</v>
      </c>
      <c r="X21" s="3"/>
      <c r="Y21" s="20">
        <v>1354</v>
      </c>
      <c r="Z21" s="3"/>
      <c r="AA21" s="20">
        <v>1359</v>
      </c>
      <c r="AB21" s="3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1"/>
      <c r="V23" s="1"/>
      <c r="W23" s="1"/>
      <c r="X23" s="1"/>
      <c r="Y23" s="1"/>
      <c r="Z23" s="1"/>
      <c r="AA23" s="1"/>
    </row>
    <row r="24">
      <c r="A24" s="21" t="s">
        <v>67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"/>
      <c r="V24" s="1"/>
      <c r="W24" s="1"/>
      <c r="X24" s="1"/>
      <c r="Y24" s="1"/>
      <c r="Z24" s="1"/>
      <c r="AA24" s="1"/>
    </row>
    <row r="2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</row>
    <row r="259">
      <c r="A259" s="6"/>
    </row>
    <row r="260">
      <c r="A260" s="6"/>
    </row>
  </sheetData>
  <mergeCells count="16"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  <mergeCell ref="AA7:AB7"/>
  </mergeCells>
  <pageMargins left="0.69999999999999996" right="0.69999999999999996" top="0.75" bottom="0.75" header="0.29999999999999999" footer="0.29999999999999999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zoomScaleNormal="100"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23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39</v>
      </c>
      <c r="B8" s="11" t="s">
        <v>40</v>
      </c>
      <c r="C8" s="22">
        <v>1.6000000000000001</v>
      </c>
      <c r="D8" s="2"/>
      <c r="E8" s="22">
        <v>1.8</v>
      </c>
      <c r="F8" s="2"/>
      <c r="G8" s="22">
        <v>1.3999999999999999</v>
      </c>
      <c r="H8" s="2"/>
      <c r="I8" s="22">
        <v>2.5</v>
      </c>
      <c r="J8" s="2"/>
      <c r="K8" s="22">
        <v>1.2</v>
      </c>
      <c r="L8" s="2"/>
      <c r="M8" s="22">
        <v>1</v>
      </c>
      <c r="N8" s="2"/>
      <c r="O8" s="22">
        <v>0.59999999999999998</v>
      </c>
      <c r="P8" s="2"/>
      <c r="Q8" s="22">
        <v>1</v>
      </c>
      <c r="R8" s="2"/>
      <c r="S8" s="22">
        <v>0.40000000000000002</v>
      </c>
      <c r="T8" s="2"/>
      <c r="U8" s="22">
        <v>0.90000000000000002</v>
      </c>
      <c r="V8" s="2"/>
      <c r="W8" s="22">
        <v>0.29999999999999999</v>
      </c>
      <c r="X8" s="2"/>
      <c r="Y8" s="22">
        <v>0.80000000000000004</v>
      </c>
      <c r="Z8" s="2"/>
      <c r="AA8" s="22">
        <v>0.20000000000000001</v>
      </c>
      <c r="AB8" s="2"/>
    </row>
    <row r="9" ht="12" customHeight="1">
      <c r="A9" s="9" t="s">
        <v>41</v>
      </c>
      <c r="B9" s="8" t="s">
        <v>42</v>
      </c>
      <c r="C9" s="22">
        <v>1.5</v>
      </c>
      <c r="D9" s="2"/>
      <c r="E9" s="22">
        <v>2</v>
      </c>
      <c r="F9" s="2"/>
      <c r="G9" s="22">
        <v>1.3</v>
      </c>
      <c r="H9" s="2"/>
      <c r="I9" s="22">
        <v>1.8</v>
      </c>
      <c r="J9" s="2"/>
      <c r="K9" s="22">
        <v>1.1000000000000001</v>
      </c>
      <c r="L9" s="2"/>
      <c r="M9" s="22">
        <v>1.1000000000000001</v>
      </c>
      <c r="N9" s="2"/>
      <c r="O9" s="22">
        <v>0.5</v>
      </c>
      <c r="P9" s="2"/>
      <c r="Q9" s="22">
        <v>1.1000000000000001</v>
      </c>
      <c r="R9" s="2"/>
      <c r="S9" s="22">
        <v>0.59999999999999998</v>
      </c>
      <c r="T9" s="2"/>
      <c r="U9" s="22">
        <v>1.2</v>
      </c>
      <c r="V9" s="2"/>
      <c r="W9" s="22">
        <v>0.59999999999999998</v>
      </c>
      <c r="X9" s="2"/>
      <c r="Y9" s="22">
        <v>0.90000000000000002</v>
      </c>
      <c r="Z9" s="2"/>
      <c r="AA9" s="22">
        <v>0.29999999999999999</v>
      </c>
      <c r="AB9" s="2"/>
    </row>
    <row r="10" ht="12" customHeight="1">
      <c r="A10" s="9" t="s">
        <v>43</v>
      </c>
      <c r="B10" s="8" t="s">
        <v>44</v>
      </c>
      <c r="C10" s="22">
        <v>1.5</v>
      </c>
      <c r="D10" s="2"/>
      <c r="E10" s="22">
        <v>1.8</v>
      </c>
      <c r="F10" s="2"/>
      <c r="G10" s="22">
        <v>1.3999999999999999</v>
      </c>
      <c r="H10" s="2"/>
      <c r="I10" s="22">
        <v>2.3999999999999999</v>
      </c>
      <c r="J10" s="2"/>
      <c r="K10" s="22">
        <v>1.3</v>
      </c>
      <c r="L10" s="2"/>
      <c r="M10" s="22">
        <v>1</v>
      </c>
      <c r="N10" s="2"/>
      <c r="O10" s="22">
        <v>0.69999999999999996</v>
      </c>
      <c r="P10" s="2"/>
      <c r="Q10" s="22">
        <v>0.80000000000000004</v>
      </c>
      <c r="R10" s="2"/>
      <c r="S10" s="22">
        <v>0.5</v>
      </c>
      <c r="T10" s="2"/>
      <c r="U10" s="22">
        <v>0.90000000000000002</v>
      </c>
      <c r="V10" s="2"/>
      <c r="W10" s="22">
        <v>0.29999999999999999</v>
      </c>
      <c r="X10" s="2"/>
      <c r="Y10" s="22">
        <v>0.59999999999999998</v>
      </c>
      <c r="Z10" s="2"/>
      <c r="AA10" s="22">
        <v>0.29999999999999999</v>
      </c>
      <c r="AB10" s="2"/>
    </row>
    <row r="11" ht="12" customHeight="1">
      <c r="A11" s="9" t="s">
        <v>45</v>
      </c>
      <c r="B11" s="8" t="s">
        <v>46</v>
      </c>
      <c r="C11" s="22">
        <v>1.3999999999999999</v>
      </c>
      <c r="D11" s="2"/>
      <c r="E11" s="22">
        <v>1.5</v>
      </c>
      <c r="F11" s="2"/>
      <c r="G11" s="22">
        <v>1.3</v>
      </c>
      <c r="H11" s="2"/>
      <c r="I11" s="22">
        <v>2.3999999999999999</v>
      </c>
      <c r="J11" s="2"/>
      <c r="K11" s="22">
        <v>0.80000000000000004</v>
      </c>
      <c r="L11" s="2"/>
      <c r="M11" s="22">
        <v>0.69999999999999996</v>
      </c>
      <c r="N11" s="2"/>
      <c r="O11" s="22">
        <v>0.69999999999999996</v>
      </c>
      <c r="P11" s="2"/>
      <c r="Q11" s="22">
        <v>1.7</v>
      </c>
      <c r="R11" s="2"/>
      <c r="S11" s="22">
        <v>0.5</v>
      </c>
      <c r="T11" s="2"/>
      <c r="U11" s="22">
        <v>1</v>
      </c>
      <c r="V11" s="2"/>
      <c r="W11" s="22">
        <v>0.80000000000000004</v>
      </c>
      <c r="X11" s="2"/>
      <c r="Y11" s="22">
        <v>1.5</v>
      </c>
      <c r="Z11" s="2"/>
      <c r="AA11" s="22">
        <v>0.40000000000000002</v>
      </c>
      <c r="AB11" s="2"/>
    </row>
    <row r="12" ht="12" customHeight="1">
      <c r="A12" s="9" t="s">
        <v>47</v>
      </c>
      <c r="B12" s="8" t="s">
        <v>48</v>
      </c>
      <c r="C12" s="22">
        <v>1.3999999999999999</v>
      </c>
      <c r="D12" s="2"/>
      <c r="E12" s="22">
        <v>1.8999999999999999</v>
      </c>
      <c r="F12" s="2"/>
      <c r="G12" s="22">
        <v>1.3</v>
      </c>
      <c r="H12" s="2"/>
      <c r="I12" s="22">
        <v>2.2999999999999998</v>
      </c>
      <c r="J12" s="2"/>
      <c r="K12" s="22">
        <v>1</v>
      </c>
      <c r="L12" s="2"/>
      <c r="M12" s="22">
        <v>0.90000000000000002</v>
      </c>
      <c r="N12" s="2"/>
      <c r="O12" s="22">
        <v>0.59999999999999998</v>
      </c>
      <c r="P12" s="2"/>
      <c r="Q12" s="22">
        <v>1.3999999999999999</v>
      </c>
      <c r="R12" s="2"/>
      <c r="S12" s="22">
        <v>0.40000000000000002</v>
      </c>
      <c r="T12" s="2"/>
      <c r="U12" s="22">
        <v>1.2</v>
      </c>
      <c r="V12" s="2"/>
      <c r="W12" s="22">
        <v>0.69999999999999996</v>
      </c>
      <c r="X12" s="2"/>
      <c r="Y12" s="22">
        <v>1.3</v>
      </c>
      <c r="Z12" s="2"/>
      <c r="AA12" s="22">
        <v>0.20000000000000001</v>
      </c>
      <c r="AB12" s="2"/>
    </row>
    <row r="13" ht="12" customHeight="1">
      <c r="A13" s="9" t="s">
        <v>49</v>
      </c>
      <c r="B13" s="8" t="s">
        <v>50</v>
      </c>
      <c r="C13" s="22">
        <v>1.5</v>
      </c>
      <c r="D13" s="2"/>
      <c r="E13" s="22">
        <v>1.7</v>
      </c>
      <c r="F13" s="2"/>
      <c r="G13" s="22">
        <v>1.3999999999999999</v>
      </c>
      <c r="H13" s="2"/>
      <c r="I13" s="22">
        <v>2.2000000000000002</v>
      </c>
      <c r="J13" s="2"/>
      <c r="K13" s="22">
        <v>0.90000000000000002</v>
      </c>
      <c r="L13" s="2"/>
      <c r="M13" s="22">
        <v>0.90000000000000002</v>
      </c>
      <c r="N13" s="2"/>
      <c r="O13" s="22">
        <v>0.69999999999999996</v>
      </c>
      <c r="P13" s="2"/>
      <c r="Q13" s="22">
        <v>1.2</v>
      </c>
      <c r="R13" s="2"/>
      <c r="S13" s="22">
        <v>0.5</v>
      </c>
      <c r="T13" s="2"/>
      <c r="U13" s="22">
        <v>1.1000000000000001</v>
      </c>
      <c r="V13" s="2"/>
      <c r="W13" s="22">
        <v>0.5</v>
      </c>
      <c r="X13" s="2"/>
      <c r="Y13" s="22">
        <v>1</v>
      </c>
      <c r="Z13" s="2"/>
      <c r="AA13" s="22">
        <v>0.29999999999999999</v>
      </c>
      <c r="AB13" s="2"/>
    </row>
    <row r="14" ht="12" customHeight="1">
      <c r="A14" s="8" t="s">
        <v>51</v>
      </c>
      <c r="B14" s="8" t="s">
        <v>52</v>
      </c>
      <c r="C14" s="22">
        <v>1.7</v>
      </c>
      <c r="D14" s="2"/>
      <c r="E14" s="22">
        <v>1.8</v>
      </c>
      <c r="F14" s="2"/>
      <c r="G14" s="22">
        <v>1.3</v>
      </c>
      <c r="H14" s="2"/>
      <c r="I14" s="22">
        <v>2.5</v>
      </c>
      <c r="J14" s="2"/>
      <c r="K14" s="22">
        <v>1.3</v>
      </c>
      <c r="L14" s="2"/>
      <c r="M14" s="22">
        <v>1.1000000000000001</v>
      </c>
      <c r="N14" s="2"/>
      <c r="O14" s="22">
        <v>0.59999999999999998</v>
      </c>
      <c r="P14" s="2"/>
      <c r="Q14" s="22">
        <v>0.90000000000000002</v>
      </c>
      <c r="R14" s="2"/>
      <c r="S14" s="22">
        <v>0.40000000000000002</v>
      </c>
      <c r="T14" s="2"/>
      <c r="U14" s="22">
        <v>0.90000000000000002</v>
      </c>
      <c r="V14" s="2"/>
      <c r="W14" s="22">
        <v>0.20000000000000001</v>
      </c>
      <c r="X14" s="2"/>
      <c r="Y14" s="22">
        <v>0.69999999999999996</v>
      </c>
      <c r="Z14" s="2"/>
      <c r="AA14" s="22">
        <v>0.29999999999999999</v>
      </c>
      <c r="AB14" s="2"/>
    </row>
    <row r="15" ht="12" customHeight="1">
      <c r="A15" s="8" t="s">
        <v>53</v>
      </c>
      <c r="B15" s="8" t="s">
        <v>54</v>
      </c>
      <c r="C15" s="22">
        <v>1.5</v>
      </c>
      <c r="D15" s="2"/>
      <c r="E15" s="22">
        <v>1.8999999999999999</v>
      </c>
      <c r="F15" s="2"/>
      <c r="G15" s="22">
        <v>1.5</v>
      </c>
      <c r="H15" s="2"/>
      <c r="I15" s="22">
        <v>2.7000000000000002</v>
      </c>
      <c r="J15" s="2"/>
      <c r="K15" s="22">
        <v>1.1000000000000001</v>
      </c>
      <c r="L15" s="2"/>
      <c r="M15" s="22">
        <v>1.1000000000000001</v>
      </c>
      <c r="N15" s="2"/>
      <c r="O15" s="22">
        <v>0.69999999999999996</v>
      </c>
      <c r="P15" s="2"/>
      <c r="Q15" s="22">
        <v>0.80000000000000004</v>
      </c>
      <c r="R15" s="2"/>
      <c r="S15" s="22">
        <v>0.20000000000000001</v>
      </c>
      <c r="T15" s="2"/>
      <c r="U15" s="22">
        <v>0.69999999999999996</v>
      </c>
      <c r="V15" s="2"/>
      <c r="W15" s="22">
        <v>0</v>
      </c>
      <c r="X15" s="2"/>
      <c r="Y15" s="22">
        <v>0.40000000000000002</v>
      </c>
      <c r="Z15" s="2"/>
      <c r="AA15" s="22">
        <v>0.29999999999999999</v>
      </c>
      <c r="AB15" s="2"/>
    </row>
    <row r="16" ht="12" customHeight="1">
      <c r="A16" s="8" t="s">
        <v>55</v>
      </c>
      <c r="B16" s="8" t="s">
        <v>56</v>
      </c>
      <c r="C16" s="22">
        <v>1.7</v>
      </c>
      <c r="D16" s="2"/>
      <c r="E16" s="22">
        <v>1.7</v>
      </c>
      <c r="F16" s="2"/>
      <c r="G16" s="22">
        <v>1.3999999999999999</v>
      </c>
      <c r="H16" s="2"/>
      <c r="I16" s="22">
        <v>2.7999999999999998</v>
      </c>
      <c r="J16" s="2"/>
      <c r="K16" s="22">
        <v>1.3</v>
      </c>
      <c r="L16" s="2"/>
      <c r="M16" s="22">
        <v>1</v>
      </c>
      <c r="N16" s="2"/>
      <c r="O16" s="22">
        <v>0.5</v>
      </c>
      <c r="P16" s="2"/>
      <c r="Q16" s="22">
        <v>0.90000000000000002</v>
      </c>
      <c r="R16" s="2"/>
      <c r="S16" s="22">
        <v>0.40000000000000002</v>
      </c>
      <c r="T16" s="2"/>
      <c r="U16" s="22">
        <v>0.5</v>
      </c>
      <c r="V16" s="2"/>
      <c r="W16" s="22">
        <v>-0.10000000000000001</v>
      </c>
      <c r="X16" s="2"/>
      <c r="Y16" s="22">
        <v>0.40000000000000002</v>
      </c>
      <c r="Z16" s="2"/>
      <c r="AA16" s="22">
        <v>0.29999999999999999</v>
      </c>
      <c r="AB16" s="2"/>
    </row>
    <row r="17" ht="12" customHeight="1">
      <c r="A17" s="8" t="s">
        <v>57</v>
      </c>
      <c r="B17" s="8" t="s">
        <v>58</v>
      </c>
      <c r="C17" s="22">
        <v>1.5</v>
      </c>
      <c r="D17" s="2"/>
      <c r="E17" s="22">
        <v>1.8999999999999999</v>
      </c>
      <c r="F17" s="2"/>
      <c r="G17" s="22">
        <v>1.3999999999999999</v>
      </c>
      <c r="H17" s="2"/>
      <c r="I17" s="22">
        <v>2.2999999999999998</v>
      </c>
      <c r="J17" s="2"/>
      <c r="K17" s="22">
        <v>0.90000000000000002</v>
      </c>
      <c r="L17" s="2"/>
      <c r="M17" s="22">
        <v>1</v>
      </c>
      <c r="N17" s="2"/>
      <c r="O17" s="22">
        <v>0.69999999999999996</v>
      </c>
      <c r="P17" s="2"/>
      <c r="Q17" s="22">
        <v>1.6000000000000001</v>
      </c>
      <c r="R17" s="2"/>
      <c r="S17" s="22">
        <v>0.59999999999999998</v>
      </c>
      <c r="T17" s="2"/>
      <c r="U17" s="22">
        <v>1.2</v>
      </c>
      <c r="V17" s="2"/>
      <c r="W17" s="22">
        <v>0.80000000000000004</v>
      </c>
      <c r="X17" s="2"/>
      <c r="Y17" s="22">
        <v>1.3999999999999999</v>
      </c>
      <c r="Z17" s="2"/>
      <c r="AA17" s="22">
        <v>0.29999999999999999</v>
      </c>
      <c r="AB17" s="2"/>
    </row>
    <row r="18" ht="12" customHeight="1">
      <c r="A18" s="8" t="s">
        <v>59</v>
      </c>
      <c r="B18" s="8" t="s">
        <v>60</v>
      </c>
      <c r="C18" s="22">
        <v>1.3</v>
      </c>
      <c r="D18" s="2"/>
      <c r="E18" s="22">
        <v>1.8999999999999999</v>
      </c>
      <c r="F18" s="2"/>
      <c r="G18" s="22">
        <v>1.3999999999999999</v>
      </c>
      <c r="H18" s="2"/>
      <c r="I18" s="22">
        <v>2.3999999999999999</v>
      </c>
      <c r="J18" s="2"/>
      <c r="K18" s="22">
        <v>1</v>
      </c>
      <c r="L18" s="2"/>
      <c r="M18" s="22">
        <v>1.1000000000000001</v>
      </c>
      <c r="N18" s="2"/>
      <c r="O18" s="22">
        <v>0.69999999999999996</v>
      </c>
      <c r="P18" s="2"/>
      <c r="Q18" s="22">
        <v>1.2</v>
      </c>
      <c r="R18" s="2"/>
      <c r="S18" s="22">
        <v>0.40000000000000002</v>
      </c>
      <c r="T18" s="2"/>
      <c r="U18" s="22">
        <v>1.1000000000000001</v>
      </c>
      <c r="V18" s="2"/>
      <c r="W18" s="22">
        <v>0.5</v>
      </c>
      <c r="X18" s="2"/>
      <c r="Y18" s="22">
        <v>0.90000000000000002</v>
      </c>
      <c r="Z18" s="2"/>
      <c r="AA18" s="22">
        <v>0.29999999999999999</v>
      </c>
      <c r="AB18" s="2"/>
    </row>
    <row r="19" ht="12" customHeight="1">
      <c r="A19" s="8" t="s">
        <v>61</v>
      </c>
      <c r="B19" s="8" t="s">
        <v>62</v>
      </c>
      <c r="C19" s="22">
        <v>1.6000000000000001</v>
      </c>
      <c r="D19" s="2"/>
      <c r="E19" s="22">
        <v>1.8</v>
      </c>
      <c r="F19" s="2"/>
      <c r="G19" s="22">
        <v>1.3</v>
      </c>
      <c r="H19" s="2"/>
      <c r="I19" s="22">
        <v>2.6000000000000001</v>
      </c>
      <c r="J19" s="2"/>
      <c r="K19" s="22">
        <v>1.2</v>
      </c>
      <c r="L19" s="2"/>
      <c r="M19" s="22">
        <v>0.90000000000000002</v>
      </c>
      <c r="N19" s="2"/>
      <c r="O19" s="22">
        <v>0.5</v>
      </c>
      <c r="P19" s="2"/>
      <c r="Q19" s="22">
        <v>1</v>
      </c>
      <c r="R19" s="2"/>
      <c r="S19" s="22">
        <v>0.40000000000000002</v>
      </c>
      <c r="T19" s="2"/>
      <c r="U19" s="22">
        <v>1</v>
      </c>
      <c r="V19" s="2"/>
      <c r="W19" s="22">
        <v>0.10000000000000001</v>
      </c>
      <c r="X19" s="2"/>
      <c r="Y19" s="22">
        <v>0.69999999999999996</v>
      </c>
      <c r="Z19" s="2"/>
      <c r="AA19" s="22">
        <v>0.20000000000000001</v>
      </c>
      <c r="AB19" s="2"/>
    </row>
    <row r="20" ht="12" customHeight="1">
      <c r="A20" s="8" t="s">
        <v>63</v>
      </c>
      <c r="B20" s="8" t="s">
        <v>64</v>
      </c>
      <c r="C20" s="22">
        <v>1.7</v>
      </c>
      <c r="D20" s="2"/>
      <c r="E20" s="22">
        <v>1.7</v>
      </c>
      <c r="F20" s="2"/>
      <c r="G20" s="22">
        <v>1.3999999999999999</v>
      </c>
      <c r="H20" s="2"/>
      <c r="I20" s="22">
        <v>2.5</v>
      </c>
      <c r="J20" s="2"/>
      <c r="K20" s="22">
        <v>1.2</v>
      </c>
      <c r="L20" s="2"/>
      <c r="M20" s="22">
        <v>0.90000000000000002</v>
      </c>
      <c r="N20" s="2"/>
      <c r="O20" s="22">
        <v>0.59999999999999998</v>
      </c>
      <c r="P20" s="2"/>
      <c r="Q20" s="22">
        <v>0.69999999999999996</v>
      </c>
      <c r="R20" s="2"/>
      <c r="S20" s="22">
        <v>0.29999999999999999</v>
      </c>
      <c r="T20" s="2"/>
      <c r="U20" s="22">
        <v>0.80000000000000004</v>
      </c>
      <c r="V20" s="2"/>
      <c r="W20" s="22">
        <v>0.10000000000000001</v>
      </c>
      <c r="X20" s="2"/>
      <c r="Y20" s="22">
        <v>0.5</v>
      </c>
      <c r="Z20" s="2"/>
      <c r="AA20" s="22">
        <v>0.40000000000000002</v>
      </c>
      <c r="AB20" s="2"/>
    </row>
    <row r="21" ht="12" customHeight="1">
      <c r="A21" s="10" t="s">
        <v>65</v>
      </c>
      <c r="B21" s="10" t="s">
        <v>66</v>
      </c>
      <c r="C21" s="23">
        <v>1.8</v>
      </c>
      <c r="D21" s="3"/>
      <c r="E21" s="23">
        <v>1.6000000000000001</v>
      </c>
      <c r="F21" s="3"/>
      <c r="G21" s="23">
        <v>1.3999999999999999</v>
      </c>
      <c r="H21" s="3"/>
      <c r="I21" s="23">
        <v>2.6000000000000001</v>
      </c>
      <c r="J21" s="3"/>
      <c r="K21" s="23">
        <v>1.3999999999999999</v>
      </c>
      <c r="L21" s="3"/>
      <c r="M21" s="23">
        <v>1</v>
      </c>
      <c r="N21" s="3"/>
      <c r="O21" s="23">
        <v>0.5</v>
      </c>
      <c r="P21" s="3"/>
      <c r="Q21" s="23">
        <v>0.80000000000000004</v>
      </c>
      <c r="R21" s="3"/>
      <c r="S21" s="23">
        <v>0.40000000000000002</v>
      </c>
      <c r="T21" s="3"/>
      <c r="U21" s="23">
        <v>0.40000000000000002</v>
      </c>
      <c r="V21" s="3"/>
      <c r="W21" s="23">
        <v>-0.10000000000000001</v>
      </c>
      <c r="X21" s="3"/>
      <c r="Y21" s="23">
        <v>0.20000000000000001</v>
      </c>
      <c r="Z21" s="3"/>
      <c r="AA21" s="23">
        <v>0.40000000000000002</v>
      </c>
      <c r="AB21" s="3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1"/>
      <c r="V23" s="1"/>
      <c r="W23" s="1"/>
      <c r="X23" s="1"/>
      <c r="Y23" s="1"/>
      <c r="Z23" s="1"/>
      <c r="AA23" s="1"/>
    </row>
    <row r="24">
      <c r="A24" s="21" t="s">
        <v>67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"/>
      <c r="V24" s="1"/>
      <c r="W24" s="1"/>
      <c r="X24" s="1"/>
      <c r="Y24" s="1"/>
      <c r="Z24" s="1"/>
      <c r="AA24" s="1"/>
    </row>
    <row r="2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</row>
    <row r="259">
      <c r="A259" s="6"/>
    </row>
    <row r="260">
      <c r="A260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zoomScaleNormal="100"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71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69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23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39</v>
      </c>
      <c r="B8" s="11" t="s">
        <v>40</v>
      </c>
      <c r="C8" s="22">
        <v>8.1999999999999993</v>
      </c>
      <c r="D8" s="2"/>
      <c r="E8" s="22">
        <v>7.7000000000000002</v>
      </c>
      <c r="F8" s="2"/>
      <c r="G8" s="22">
        <v>7.2000000000000002</v>
      </c>
      <c r="H8" s="2"/>
      <c r="I8" s="22">
        <v>7.4000000000000004</v>
      </c>
      <c r="J8" s="2"/>
      <c r="K8" s="22">
        <v>7</v>
      </c>
      <c r="L8" s="2"/>
      <c r="M8" s="22">
        <v>6.2000000000000002</v>
      </c>
      <c r="N8" s="2"/>
      <c r="O8" s="22">
        <v>5.4000000000000004</v>
      </c>
      <c r="P8" s="2"/>
      <c r="Q8" s="22">
        <v>3.7999999999999998</v>
      </c>
      <c r="R8" s="2"/>
      <c r="S8" s="22">
        <v>3</v>
      </c>
      <c r="T8" s="2"/>
      <c r="U8" s="22">
        <v>2.8999999999999999</v>
      </c>
      <c r="V8" s="2"/>
      <c r="W8" s="22">
        <v>2.6000000000000001</v>
      </c>
      <c r="X8" s="2"/>
      <c r="Y8" s="22">
        <v>2.3999999999999999</v>
      </c>
      <c r="Z8" s="2"/>
      <c r="AA8" s="22">
        <v>2.2000000000000002</v>
      </c>
      <c r="AB8" s="2"/>
    </row>
    <row r="9" ht="12" customHeight="1">
      <c r="A9" s="9" t="s">
        <v>41</v>
      </c>
      <c r="B9" s="8" t="s">
        <v>42</v>
      </c>
      <c r="C9" s="22">
        <v>6.9000000000000004</v>
      </c>
      <c r="D9" s="2"/>
      <c r="E9" s="22">
        <v>6.7000000000000002</v>
      </c>
      <c r="F9" s="2"/>
      <c r="G9" s="22">
        <v>6.5</v>
      </c>
      <c r="H9" s="2"/>
      <c r="I9" s="22">
        <v>6.7000000000000002</v>
      </c>
      <c r="J9" s="2"/>
      <c r="K9" s="22">
        <v>6.2000000000000002</v>
      </c>
      <c r="L9" s="2"/>
      <c r="M9" s="22">
        <v>5.2999999999999998</v>
      </c>
      <c r="N9" s="2"/>
      <c r="O9" s="22">
        <v>4.5</v>
      </c>
      <c r="P9" s="2"/>
      <c r="Q9" s="22">
        <v>3.7999999999999998</v>
      </c>
      <c r="R9" s="2"/>
      <c r="S9" s="22">
        <v>3.2999999999999998</v>
      </c>
      <c r="T9" s="2"/>
      <c r="U9" s="22">
        <v>3.5</v>
      </c>
      <c r="V9" s="2"/>
      <c r="W9" s="22">
        <v>3.6000000000000001</v>
      </c>
      <c r="X9" s="2"/>
      <c r="Y9" s="22">
        <v>3.3999999999999999</v>
      </c>
      <c r="Z9" s="2"/>
      <c r="AA9" s="22">
        <v>3.1000000000000001</v>
      </c>
      <c r="AB9" s="2"/>
    </row>
    <row r="10" ht="12" customHeight="1">
      <c r="A10" s="9" t="s">
        <v>43</v>
      </c>
      <c r="B10" s="8" t="s">
        <v>44</v>
      </c>
      <c r="C10" s="22">
        <v>8.0999999999999996</v>
      </c>
      <c r="D10" s="2"/>
      <c r="E10" s="22">
        <v>7.5</v>
      </c>
      <c r="F10" s="2"/>
      <c r="G10" s="22">
        <v>7.0999999999999996</v>
      </c>
      <c r="H10" s="2"/>
      <c r="I10" s="22">
        <v>7.4000000000000004</v>
      </c>
      <c r="J10" s="2"/>
      <c r="K10" s="22">
        <v>7.0999999999999996</v>
      </c>
      <c r="L10" s="2"/>
      <c r="M10" s="22">
        <v>6.2999999999999998</v>
      </c>
      <c r="N10" s="2"/>
      <c r="O10" s="22">
        <v>5.5</v>
      </c>
      <c r="P10" s="2"/>
      <c r="Q10" s="22">
        <v>3.8999999999999999</v>
      </c>
      <c r="R10" s="2"/>
      <c r="S10" s="22">
        <v>3.1000000000000001</v>
      </c>
      <c r="T10" s="2"/>
      <c r="U10" s="22">
        <v>3</v>
      </c>
      <c r="V10" s="2"/>
      <c r="W10" s="22">
        <v>2.6000000000000001</v>
      </c>
      <c r="X10" s="2"/>
      <c r="Y10" s="22">
        <v>2.3999999999999999</v>
      </c>
      <c r="Z10" s="2"/>
      <c r="AA10" s="22">
        <v>2.2000000000000002</v>
      </c>
      <c r="AB10" s="2"/>
    </row>
    <row r="11" ht="12" customHeight="1">
      <c r="A11" s="9" t="s">
        <v>45</v>
      </c>
      <c r="B11" s="8" t="s">
        <v>46</v>
      </c>
      <c r="C11" s="22">
        <v>7.4000000000000004</v>
      </c>
      <c r="D11" s="2"/>
      <c r="E11" s="22">
        <v>7.0999999999999996</v>
      </c>
      <c r="F11" s="2"/>
      <c r="G11" s="22">
        <v>6.7999999999999998</v>
      </c>
      <c r="H11" s="2"/>
      <c r="I11" s="22">
        <v>6.7000000000000002</v>
      </c>
      <c r="J11" s="2"/>
      <c r="K11" s="22">
        <v>6.0999999999999996</v>
      </c>
      <c r="L11" s="2"/>
      <c r="M11" s="22">
        <v>5.2000000000000002</v>
      </c>
      <c r="N11" s="2"/>
      <c r="O11" s="22">
        <v>4.5999999999999996</v>
      </c>
      <c r="P11" s="2"/>
      <c r="Q11" s="22">
        <v>3.8999999999999999</v>
      </c>
      <c r="R11" s="2"/>
      <c r="S11" s="22">
        <v>3.6000000000000001</v>
      </c>
      <c r="T11" s="2"/>
      <c r="U11" s="22">
        <v>3.8999999999999999</v>
      </c>
      <c r="V11" s="2"/>
      <c r="W11" s="22">
        <v>4.0999999999999996</v>
      </c>
      <c r="X11" s="2"/>
      <c r="Y11" s="22">
        <v>3.8999999999999999</v>
      </c>
      <c r="Z11" s="2"/>
      <c r="AA11" s="22">
        <v>3.7999999999999998</v>
      </c>
      <c r="AB11" s="2"/>
    </row>
    <row r="12" ht="12" customHeight="1">
      <c r="A12" s="9" t="s">
        <v>47</v>
      </c>
      <c r="B12" s="8" t="s">
        <v>48</v>
      </c>
      <c r="C12" s="22">
        <v>7.5</v>
      </c>
      <c r="D12" s="2"/>
      <c r="E12" s="22">
        <v>7.2999999999999998</v>
      </c>
      <c r="F12" s="2"/>
      <c r="G12" s="22">
        <v>7</v>
      </c>
      <c r="H12" s="2"/>
      <c r="I12" s="22">
        <v>7.0999999999999996</v>
      </c>
      <c r="J12" s="2"/>
      <c r="K12" s="22">
        <v>6.7000000000000002</v>
      </c>
      <c r="L12" s="2"/>
      <c r="M12" s="22">
        <v>5.5999999999999996</v>
      </c>
      <c r="N12" s="2"/>
      <c r="O12" s="22">
        <v>4.9000000000000004</v>
      </c>
      <c r="P12" s="2"/>
      <c r="Q12" s="22">
        <v>4</v>
      </c>
      <c r="R12" s="2"/>
      <c r="S12" s="22">
        <v>3.3999999999999999</v>
      </c>
      <c r="T12" s="2"/>
      <c r="U12" s="22">
        <v>3.7000000000000002</v>
      </c>
      <c r="V12" s="2"/>
      <c r="W12" s="22">
        <v>3.7000000000000002</v>
      </c>
      <c r="X12" s="2"/>
      <c r="Y12" s="22">
        <v>3.6000000000000001</v>
      </c>
      <c r="Z12" s="2"/>
      <c r="AA12" s="22">
        <v>3.3999999999999999</v>
      </c>
      <c r="AB12" s="2"/>
    </row>
    <row r="13" ht="12" customHeight="1">
      <c r="A13" s="9" t="s">
        <v>49</v>
      </c>
      <c r="B13" s="8" t="s">
        <v>50</v>
      </c>
      <c r="C13" s="22">
        <v>7.5</v>
      </c>
      <c r="D13" s="2"/>
      <c r="E13" s="22">
        <v>7.0999999999999996</v>
      </c>
      <c r="F13" s="2"/>
      <c r="G13" s="22">
        <v>6.9000000000000004</v>
      </c>
      <c r="H13" s="2"/>
      <c r="I13" s="22">
        <v>7</v>
      </c>
      <c r="J13" s="2"/>
      <c r="K13" s="22">
        <v>6.4000000000000004</v>
      </c>
      <c r="L13" s="2"/>
      <c r="M13" s="22">
        <v>5.5999999999999996</v>
      </c>
      <c r="N13" s="2"/>
      <c r="O13" s="22">
        <v>4.7999999999999998</v>
      </c>
      <c r="P13" s="2"/>
      <c r="Q13" s="22">
        <v>3.7999999999999998</v>
      </c>
      <c r="R13" s="2"/>
      <c r="S13" s="22">
        <v>3.3999999999999999</v>
      </c>
      <c r="T13" s="2"/>
      <c r="U13" s="22">
        <v>3.6000000000000001</v>
      </c>
      <c r="V13" s="2"/>
      <c r="W13" s="22">
        <v>3.3999999999999999</v>
      </c>
      <c r="X13" s="2"/>
      <c r="Y13" s="22">
        <v>3.2000000000000002</v>
      </c>
      <c r="Z13" s="2"/>
      <c r="AA13" s="22">
        <v>3</v>
      </c>
      <c r="AB13" s="2"/>
    </row>
    <row r="14" ht="12" customHeight="1">
      <c r="A14" s="8" t="s">
        <v>51</v>
      </c>
      <c r="B14" s="8" t="s">
        <v>52</v>
      </c>
      <c r="C14" s="22">
        <v>8.4000000000000004</v>
      </c>
      <c r="D14" s="2"/>
      <c r="E14" s="22">
        <v>7.9000000000000004</v>
      </c>
      <c r="F14" s="2"/>
      <c r="G14" s="22">
        <v>7.0999999999999996</v>
      </c>
      <c r="H14" s="2"/>
      <c r="I14" s="22">
        <v>7.5</v>
      </c>
      <c r="J14" s="2"/>
      <c r="K14" s="22">
        <v>7.0999999999999996</v>
      </c>
      <c r="L14" s="2"/>
      <c r="M14" s="22">
        <v>6.4000000000000004</v>
      </c>
      <c r="N14" s="2"/>
      <c r="O14" s="22">
        <v>5.7000000000000002</v>
      </c>
      <c r="P14" s="2"/>
      <c r="Q14" s="22">
        <v>4</v>
      </c>
      <c r="R14" s="2"/>
      <c r="S14" s="22">
        <v>3.1000000000000001</v>
      </c>
      <c r="T14" s="2"/>
      <c r="U14" s="22">
        <v>2.8999999999999999</v>
      </c>
      <c r="V14" s="2"/>
      <c r="W14" s="22">
        <v>2.5</v>
      </c>
      <c r="X14" s="2"/>
      <c r="Y14" s="22">
        <v>2.2000000000000002</v>
      </c>
      <c r="Z14" s="2"/>
      <c r="AA14" s="22">
        <v>2.1000000000000001</v>
      </c>
      <c r="AB14" s="2"/>
    </row>
    <row r="15" ht="12" customHeight="1">
      <c r="A15" s="8" t="s">
        <v>53</v>
      </c>
      <c r="B15" s="8" t="s">
        <v>54</v>
      </c>
      <c r="C15" s="22">
        <v>8.5999999999999996</v>
      </c>
      <c r="D15" s="2"/>
      <c r="E15" s="22">
        <v>8</v>
      </c>
      <c r="F15" s="2"/>
      <c r="G15" s="22">
        <v>7.5</v>
      </c>
      <c r="H15" s="2"/>
      <c r="I15" s="22">
        <v>7.7000000000000002</v>
      </c>
      <c r="J15" s="2"/>
      <c r="K15" s="22">
        <v>7.4000000000000004</v>
      </c>
      <c r="L15" s="2"/>
      <c r="M15" s="22">
        <v>6.5</v>
      </c>
      <c r="N15" s="2"/>
      <c r="O15" s="22">
        <v>5.7000000000000002</v>
      </c>
      <c r="P15" s="2"/>
      <c r="Q15" s="22">
        <v>3.7000000000000002</v>
      </c>
      <c r="R15" s="2"/>
      <c r="S15" s="22">
        <v>2.7999999999999998</v>
      </c>
      <c r="T15" s="2"/>
      <c r="U15" s="22">
        <v>2.5</v>
      </c>
      <c r="V15" s="2"/>
      <c r="W15" s="22">
        <v>1.8</v>
      </c>
      <c r="X15" s="2"/>
      <c r="Y15" s="22">
        <v>1.3999999999999999</v>
      </c>
      <c r="Z15" s="2"/>
      <c r="AA15" s="22">
        <v>1.5</v>
      </c>
      <c r="AB15" s="2"/>
    </row>
    <row r="16" ht="12" customHeight="1">
      <c r="A16" s="8" t="s">
        <v>55</v>
      </c>
      <c r="B16" s="8" t="s">
        <v>56</v>
      </c>
      <c r="C16" s="22">
        <v>9</v>
      </c>
      <c r="D16" s="2"/>
      <c r="E16" s="22">
        <v>8.3000000000000007</v>
      </c>
      <c r="F16" s="2"/>
      <c r="G16" s="22">
        <v>7.7000000000000002</v>
      </c>
      <c r="H16" s="2"/>
      <c r="I16" s="22">
        <v>7.7000000000000002</v>
      </c>
      <c r="J16" s="2"/>
      <c r="K16" s="22">
        <v>7.2999999999999998</v>
      </c>
      <c r="L16" s="2"/>
      <c r="M16" s="22">
        <v>6.5999999999999996</v>
      </c>
      <c r="N16" s="2"/>
      <c r="O16" s="22">
        <v>5.5999999999999996</v>
      </c>
      <c r="P16" s="2"/>
      <c r="Q16" s="22">
        <v>3.7000000000000002</v>
      </c>
      <c r="R16" s="2"/>
      <c r="S16" s="22">
        <v>2.7999999999999998</v>
      </c>
      <c r="T16" s="2"/>
      <c r="U16" s="22">
        <v>2.2999999999999998</v>
      </c>
      <c r="V16" s="2"/>
      <c r="W16" s="22">
        <v>1.8</v>
      </c>
      <c r="X16" s="2"/>
      <c r="Y16" s="22">
        <v>1.3</v>
      </c>
      <c r="Z16" s="2"/>
      <c r="AA16" s="22">
        <v>1.2</v>
      </c>
      <c r="AB16" s="2"/>
    </row>
    <row r="17" ht="12" customHeight="1">
      <c r="A17" s="8" t="s">
        <v>57</v>
      </c>
      <c r="B17" s="8" t="s">
        <v>58</v>
      </c>
      <c r="C17" s="22">
        <v>7.0999999999999996</v>
      </c>
      <c r="D17" s="2"/>
      <c r="E17" s="22">
        <v>6.9000000000000004</v>
      </c>
      <c r="F17" s="2"/>
      <c r="G17" s="22">
        <v>6.9000000000000004</v>
      </c>
      <c r="H17" s="2"/>
      <c r="I17" s="22">
        <v>7.2000000000000002</v>
      </c>
      <c r="J17" s="2"/>
      <c r="K17" s="22">
        <v>6.5999999999999996</v>
      </c>
      <c r="L17" s="2"/>
      <c r="M17" s="22">
        <v>5.7000000000000002</v>
      </c>
      <c r="N17" s="2"/>
      <c r="O17" s="22">
        <v>5</v>
      </c>
      <c r="P17" s="2"/>
      <c r="Q17" s="22">
        <v>4.2999999999999998</v>
      </c>
      <c r="R17" s="2"/>
      <c r="S17" s="22">
        <v>3.8999999999999999</v>
      </c>
      <c r="T17" s="2"/>
      <c r="U17" s="22">
        <v>4.0999999999999996</v>
      </c>
      <c r="V17" s="2"/>
      <c r="W17" s="22">
        <v>4.2000000000000002</v>
      </c>
      <c r="X17" s="2"/>
      <c r="Y17" s="22">
        <v>4</v>
      </c>
      <c r="Z17" s="2"/>
      <c r="AA17" s="22">
        <v>3.7000000000000002</v>
      </c>
      <c r="AB17" s="2"/>
    </row>
    <row r="18" ht="12" customHeight="1">
      <c r="A18" s="8" t="s">
        <v>59</v>
      </c>
      <c r="B18" s="8" t="s">
        <v>60</v>
      </c>
      <c r="C18" s="22">
        <v>7.5999999999999996</v>
      </c>
      <c r="D18" s="2"/>
      <c r="E18" s="22">
        <v>7.0999999999999996</v>
      </c>
      <c r="F18" s="2"/>
      <c r="G18" s="22">
        <v>6.9000000000000004</v>
      </c>
      <c r="H18" s="2"/>
      <c r="I18" s="22">
        <v>7.2000000000000002</v>
      </c>
      <c r="J18" s="2"/>
      <c r="K18" s="22">
        <v>6.7999999999999998</v>
      </c>
      <c r="L18" s="2"/>
      <c r="M18" s="22">
        <v>6</v>
      </c>
      <c r="N18" s="2"/>
      <c r="O18" s="22">
        <v>5.2000000000000002</v>
      </c>
      <c r="P18" s="2"/>
      <c r="Q18" s="22">
        <v>4</v>
      </c>
      <c r="R18" s="2"/>
      <c r="S18" s="22">
        <v>3.3999999999999999</v>
      </c>
      <c r="T18" s="2"/>
      <c r="U18" s="22">
        <v>3.5</v>
      </c>
      <c r="V18" s="2"/>
      <c r="W18" s="22">
        <v>3.2999999999999998</v>
      </c>
      <c r="X18" s="2"/>
      <c r="Y18" s="22">
        <v>3</v>
      </c>
      <c r="Z18" s="2"/>
      <c r="AA18" s="22">
        <v>2.8999999999999999</v>
      </c>
      <c r="AB18" s="2"/>
    </row>
    <row r="19" ht="12" customHeight="1">
      <c r="A19" s="8" t="s">
        <v>61</v>
      </c>
      <c r="B19" s="8" t="s">
        <v>62</v>
      </c>
      <c r="C19" s="22">
        <v>8.5</v>
      </c>
      <c r="D19" s="2"/>
      <c r="E19" s="22">
        <v>7.7999999999999998</v>
      </c>
      <c r="F19" s="2"/>
      <c r="G19" s="22">
        <v>7.2999999999999998</v>
      </c>
      <c r="H19" s="2"/>
      <c r="I19" s="22">
        <v>7.4000000000000004</v>
      </c>
      <c r="J19" s="2"/>
      <c r="K19" s="22">
        <v>7.0999999999999996</v>
      </c>
      <c r="L19" s="2"/>
      <c r="M19" s="22">
        <v>6.2000000000000002</v>
      </c>
      <c r="N19" s="2"/>
      <c r="O19" s="22">
        <v>5.4000000000000004</v>
      </c>
      <c r="P19" s="2"/>
      <c r="Q19" s="22">
        <v>3.7000000000000002</v>
      </c>
      <c r="R19" s="2"/>
      <c r="S19" s="22">
        <v>2.7999999999999998</v>
      </c>
      <c r="T19" s="2"/>
      <c r="U19" s="22">
        <v>2.8999999999999999</v>
      </c>
      <c r="V19" s="2"/>
      <c r="W19" s="22">
        <v>2.5</v>
      </c>
      <c r="X19" s="2"/>
      <c r="Y19" s="22">
        <v>2.2000000000000002</v>
      </c>
      <c r="Z19" s="2"/>
      <c r="AA19" s="22">
        <v>2</v>
      </c>
      <c r="AB19" s="2"/>
    </row>
    <row r="20" ht="12" customHeight="1">
      <c r="A20" s="8" t="s">
        <v>63</v>
      </c>
      <c r="B20" s="8" t="s">
        <v>64</v>
      </c>
      <c r="C20" s="22">
        <v>8.5</v>
      </c>
      <c r="D20" s="2"/>
      <c r="E20" s="22">
        <v>7.7999999999999998</v>
      </c>
      <c r="F20" s="2"/>
      <c r="G20" s="22">
        <v>7.4000000000000004</v>
      </c>
      <c r="H20" s="2"/>
      <c r="I20" s="22">
        <v>7.5</v>
      </c>
      <c r="J20" s="2"/>
      <c r="K20" s="22">
        <v>7.0999999999999996</v>
      </c>
      <c r="L20" s="2"/>
      <c r="M20" s="22">
        <v>6.2000000000000002</v>
      </c>
      <c r="N20" s="2"/>
      <c r="O20" s="22">
        <v>5.4000000000000004</v>
      </c>
      <c r="P20" s="2"/>
      <c r="Q20" s="22">
        <v>3.5</v>
      </c>
      <c r="R20" s="2"/>
      <c r="S20" s="22">
        <v>2.6000000000000001</v>
      </c>
      <c r="T20" s="2"/>
      <c r="U20" s="22">
        <v>2.5</v>
      </c>
      <c r="V20" s="2"/>
      <c r="W20" s="22">
        <v>1.8999999999999999</v>
      </c>
      <c r="X20" s="2"/>
      <c r="Y20" s="22">
        <v>1.7</v>
      </c>
      <c r="Z20" s="2"/>
      <c r="AA20" s="22">
        <v>1.8</v>
      </c>
      <c r="AB20" s="2"/>
    </row>
    <row r="21" ht="12" customHeight="1">
      <c r="A21" s="10" t="s">
        <v>65</v>
      </c>
      <c r="B21" s="10" t="s">
        <v>66</v>
      </c>
      <c r="C21" s="23">
        <v>9.4000000000000004</v>
      </c>
      <c r="D21" s="3"/>
      <c r="E21" s="23">
        <v>8.6999999999999993</v>
      </c>
      <c r="F21" s="3"/>
      <c r="G21" s="23">
        <v>7.7999999999999998</v>
      </c>
      <c r="H21" s="3"/>
      <c r="I21" s="23">
        <v>7.7000000000000002</v>
      </c>
      <c r="J21" s="3"/>
      <c r="K21" s="23">
        <v>7.2999999999999998</v>
      </c>
      <c r="L21" s="3"/>
      <c r="M21" s="23">
        <v>6.5999999999999996</v>
      </c>
      <c r="N21" s="3"/>
      <c r="O21" s="23">
        <v>5.5999999999999996</v>
      </c>
      <c r="P21" s="3"/>
      <c r="Q21" s="23">
        <v>3.7000000000000002</v>
      </c>
      <c r="R21" s="3"/>
      <c r="S21" s="23">
        <v>2.7000000000000002</v>
      </c>
      <c r="T21" s="3"/>
      <c r="U21" s="23">
        <v>2</v>
      </c>
      <c r="V21" s="3"/>
      <c r="W21" s="23">
        <v>1.3999999999999999</v>
      </c>
      <c r="X21" s="3"/>
      <c r="Y21" s="23">
        <v>0.80000000000000004</v>
      </c>
      <c r="Z21" s="3"/>
      <c r="AA21" s="23">
        <v>0.80000000000000004</v>
      </c>
      <c r="AB21" s="3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>
      <c r="A23" s="8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1"/>
      <c r="V23" s="1"/>
      <c r="W23" s="1"/>
      <c r="X23" s="1"/>
      <c r="Y23" s="1"/>
      <c r="Z23" s="1"/>
      <c r="AA23" s="1"/>
    </row>
    <row r="24">
      <c r="A24" s="21" t="s">
        <v>67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1"/>
      <c r="V24" s="1"/>
      <c r="W24" s="1"/>
      <c r="X24" s="1"/>
      <c r="Y24" s="1"/>
      <c r="Z24" s="1"/>
      <c r="AA24" s="1"/>
    </row>
    <row r="2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>
      <c r="A26" s="7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>
      <c r="A27" s="7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</row>
    <row r="259">
      <c r="A259" s="6"/>
    </row>
    <row r="260">
      <c r="A260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zoomScaleNormal="100"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73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78</v>
      </c>
      <c r="C8" s="19">
        <v>1238</v>
      </c>
      <c r="D8" s="19"/>
      <c r="E8" s="19">
        <v>1287</v>
      </c>
      <c r="F8" s="19"/>
      <c r="G8" s="19">
        <v>1314</v>
      </c>
      <c r="H8" s="19"/>
      <c r="I8" s="19">
        <v>1323</v>
      </c>
      <c r="J8" s="19"/>
      <c r="K8" s="19">
        <v>1308</v>
      </c>
      <c r="L8" s="19"/>
      <c r="M8" s="19">
        <v>1314</v>
      </c>
      <c r="N8" s="19"/>
      <c r="O8" s="19">
        <v>1312</v>
      </c>
      <c r="P8" s="19"/>
      <c r="Q8" s="19">
        <v>1330</v>
      </c>
      <c r="R8" s="19"/>
      <c r="S8" s="19">
        <v>1323</v>
      </c>
      <c r="T8" s="19"/>
      <c r="U8" s="19">
        <v>1347</v>
      </c>
      <c r="V8" s="19"/>
      <c r="W8" s="19">
        <v>1369</v>
      </c>
      <c r="X8" s="19"/>
      <c r="Y8" s="19">
        <v>1394</v>
      </c>
      <c r="Z8" s="19"/>
      <c r="AA8" s="19">
        <v>1382</v>
      </c>
      <c r="AB8" s="19"/>
      <c r="AC8" s="18"/>
      <c r="AE8" s="18"/>
      <c r="AG8" s="18"/>
    </row>
    <row r="9" ht="12" customHeight="1">
      <c r="A9" s="8" t="s">
        <v>79</v>
      </c>
      <c r="B9" s="8" t="s">
        <v>80</v>
      </c>
      <c r="C9" s="24">
        <v>1392</v>
      </c>
      <c r="D9" s="8"/>
      <c r="E9" s="24">
        <v>1527</v>
      </c>
      <c r="F9" s="8"/>
      <c r="G9" s="24">
        <v>1518</v>
      </c>
      <c r="H9" s="8"/>
      <c r="I9" s="24">
        <v>1530</v>
      </c>
      <c r="J9" s="8"/>
      <c r="K9" s="24">
        <v>1441</v>
      </c>
      <c r="L9" s="8"/>
      <c r="M9" s="24">
        <v>1412</v>
      </c>
      <c r="N9" s="8"/>
      <c r="O9" s="24">
        <v>1307</v>
      </c>
      <c r="P9" s="8"/>
      <c r="Q9" s="24">
        <v>1371</v>
      </c>
      <c r="R9" s="8"/>
      <c r="S9" s="24">
        <v>1309</v>
      </c>
      <c r="T9" s="8"/>
      <c r="U9" s="24">
        <v>1329</v>
      </c>
      <c r="V9" s="8"/>
      <c r="W9" s="24">
        <v>1367</v>
      </c>
      <c r="X9" s="8"/>
      <c r="Y9" s="24">
        <v>1481</v>
      </c>
      <c r="Z9" s="8"/>
      <c r="AA9" s="24">
        <v>1360</v>
      </c>
      <c r="AB9" s="8"/>
      <c r="AC9" s="8"/>
      <c r="AE9" s="8"/>
      <c r="AG9" s="8"/>
    </row>
    <row r="10" ht="12" customHeight="1">
      <c r="A10" s="8" t="s">
        <v>81</v>
      </c>
      <c r="B10" s="8" t="s">
        <v>82</v>
      </c>
      <c r="C10" s="24">
        <v>1225</v>
      </c>
      <c r="D10" s="8"/>
      <c r="E10" s="24">
        <v>1244</v>
      </c>
      <c r="F10" s="8"/>
      <c r="G10" s="24">
        <v>1265</v>
      </c>
      <c r="H10" s="8"/>
      <c r="I10" s="24">
        <v>1269</v>
      </c>
      <c r="J10" s="8"/>
      <c r="K10" s="24">
        <v>1255</v>
      </c>
      <c r="L10" s="8"/>
      <c r="M10" s="24">
        <v>1251</v>
      </c>
      <c r="N10" s="8"/>
      <c r="O10" s="24">
        <v>1256</v>
      </c>
      <c r="P10" s="8"/>
      <c r="Q10" s="24">
        <v>1271</v>
      </c>
      <c r="R10" s="8"/>
      <c r="S10" s="24">
        <v>1280</v>
      </c>
      <c r="T10" s="8"/>
      <c r="U10" s="24">
        <v>1299</v>
      </c>
      <c r="V10" s="8"/>
      <c r="W10" s="24">
        <v>1316</v>
      </c>
      <c r="X10" s="8"/>
      <c r="Y10" s="24">
        <v>1363</v>
      </c>
      <c r="Z10" s="8"/>
      <c r="AA10" s="24">
        <v>1373</v>
      </c>
      <c r="AB10" s="8"/>
      <c r="AC10" s="8"/>
      <c r="AE10" s="8"/>
      <c r="AG10" s="8"/>
    </row>
    <row r="11" ht="12" customHeight="1">
      <c r="A11" s="8" t="s">
        <v>83</v>
      </c>
      <c r="B11" s="8" t="s">
        <v>84</v>
      </c>
      <c r="C11" s="24">
        <v>1167</v>
      </c>
      <c r="D11" s="8"/>
      <c r="E11" s="24">
        <v>1218</v>
      </c>
      <c r="F11" s="8"/>
      <c r="G11" s="24">
        <v>1251</v>
      </c>
      <c r="H11" s="8"/>
      <c r="I11" s="24">
        <v>1253</v>
      </c>
      <c r="J11" s="8"/>
      <c r="K11" s="24">
        <v>1243</v>
      </c>
      <c r="L11" s="8"/>
      <c r="M11" s="24">
        <v>1258</v>
      </c>
      <c r="N11" s="8"/>
      <c r="O11" s="24">
        <v>1270</v>
      </c>
      <c r="P11" s="8"/>
      <c r="Q11" s="24">
        <v>1281</v>
      </c>
      <c r="R11" s="8"/>
      <c r="S11" s="24">
        <v>1276</v>
      </c>
      <c r="T11" s="8"/>
      <c r="U11" s="24">
        <v>1314</v>
      </c>
      <c r="V11" s="8"/>
      <c r="W11" s="24">
        <v>1334</v>
      </c>
      <c r="X11" s="8"/>
      <c r="Y11" s="24">
        <v>1339</v>
      </c>
      <c r="Z11" s="8"/>
      <c r="AA11" s="24">
        <v>1335</v>
      </c>
      <c r="AB11" s="8"/>
      <c r="AC11" s="8"/>
      <c r="AE11" s="8"/>
      <c r="AG11" s="8"/>
    </row>
    <row r="12" ht="12" customHeight="1">
      <c r="A12" s="8" t="s">
        <v>85</v>
      </c>
      <c r="B12" s="8" t="s">
        <v>86</v>
      </c>
      <c r="C12" s="24">
        <v>1137</v>
      </c>
      <c r="D12" s="8"/>
      <c r="E12" s="24">
        <v>1164</v>
      </c>
      <c r="F12" s="8"/>
      <c r="G12" s="24">
        <v>1196</v>
      </c>
      <c r="H12" s="8"/>
      <c r="I12" s="24">
        <v>1205</v>
      </c>
      <c r="J12" s="8"/>
      <c r="K12" s="24">
        <v>1205</v>
      </c>
      <c r="L12" s="8"/>
      <c r="M12" s="24">
        <v>1218</v>
      </c>
      <c r="N12" s="8"/>
      <c r="O12" s="24">
        <v>1246</v>
      </c>
      <c r="P12" s="8"/>
      <c r="Q12" s="24">
        <v>1255</v>
      </c>
      <c r="R12" s="8"/>
      <c r="S12" s="24">
        <v>1255</v>
      </c>
      <c r="T12" s="8"/>
      <c r="U12" s="24">
        <v>1286</v>
      </c>
      <c r="V12" s="8"/>
      <c r="W12" s="24">
        <v>1320</v>
      </c>
      <c r="X12" s="8"/>
      <c r="Y12" s="24">
        <v>1310</v>
      </c>
      <c r="Z12" s="8"/>
      <c r="AA12" s="24">
        <v>1317</v>
      </c>
      <c r="AB12" s="8"/>
      <c r="AC12" s="8"/>
      <c r="AE12" s="8"/>
      <c r="AG12" s="8"/>
    </row>
    <row r="13" ht="12" customHeight="1">
      <c r="A13" s="8" t="s">
        <v>87</v>
      </c>
      <c r="B13" s="8" t="s">
        <v>88</v>
      </c>
      <c r="C13" s="24">
        <v>1339</v>
      </c>
      <c r="D13" s="8"/>
      <c r="E13" s="24">
        <v>1364</v>
      </c>
      <c r="F13" s="8"/>
      <c r="G13" s="24">
        <v>1405</v>
      </c>
      <c r="H13" s="8"/>
      <c r="I13" s="24">
        <v>1429</v>
      </c>
      <c r="J13" s="8"/>
      <c r="K13" s="24">
        <v>1441</v>
      </c>
      <c r="L13" s="8"/>
      <c r="M13" s="24">
        <v>1455</v>
      </c>
      <c r="N13" s="8"/>
      <c r="O13" s="24">
        <v>1474</v>
      </c>
      <c r="P13" s="8"/>
      <c r="Q13" s="24">
        <v>1481</v>
      </c>
      <c r="R13" s="8"/>
      <c r="S13" s="24">
        <v>1487</v>
      </c>
      <c r="T13" s="8"/>
      <c r="U13" s="24">
        <v>1491</v>
      </c>
      <c r="V13" s="8"/>
      <c r="W13" s="24">
        <v>1504</v>
      </c>
      <c r="X13" s="8"/>
      <c r="Y13" s="24">
        <v>1516</v>
      </c>
      <c r="Z13" s="8"/>
      <c r="AA13" s="24">
        <v>1523</v>
      </c>
      <c r="AB13" s="8"/>
      <c r="AC13" s="8"/>
      <c r="AE13" s="8"/>
      <c r="AG13" s="8"/>
    </row>
    <row r="14" ht="12" customHeight="1">
      <c r="A14" s="11" t="s">
        <v>89</v>
      </c>
      <c r="B14" s="8" t="s">
        <v>90</v>
      </c>
      <c r="C14" s="24">
        <v>1431</v>
      </c>
      <c r="D14" s="8"/>
      <c r="E14" s="24">
        <v>1493</v>
      </c>
      <c r="F14" s="8"/>
      <c r="G14" s="24">
        <v>1509</v>
      </c>
      <c r="H14" s="8"/>
      <c r="I14" s="24">
        <v>1527</v>
      </c>
      <c r="J14" s="8"/>
      <c r="K14" s="24">
        <v>1549</v>
      </c>
      <c r="L14" s="8"/>
      <c r="M14" s="24">
        <v>1604</v>
      </c>
      <c r="N14" s="8"/>
      <c r="O14" s="24">
        <v>1617</v>
      </c>
      <c r="P14" s="8"/>
      <c r="Q14" s="24">
        <v>1625</v>
      </c>
      <c r="R14" s="8"/>
      <c r="S14" s="24">
        <v>1628</v>
      </c>
      <c r="T14" s="8"/>
      <c r="U14" s="24">
        <v>1659</v>
      </c>
      <c r="V14" s="8"/>
      <c r="W14" s="24">
        <v>1656</v>
      </c>
      <c r="X14" s="8"/>
      <c r="Y14" s="24">
        <v>1663</v>
      </c>
      <c r="Z14" s="8"/>
      <c r="AA14" s="24">
        <v>1663</v>
      </c>
      <c r="AB14" s="8"/>
      <c r="AC14" s="8"/>
      <c r="AE14" s="8"/>
      <c r="AG14" s="8"/>
    </row>
    <row r="15" ht="12" customHeight="1">
      <c r="A15" s="8" t="s">
        <v>91</v>
      </c>
      <c r="B15" s="8" t="s">
        <v>92</v>
      </c>
      <c r="C15" s="24">
        <v>1147</v>
      </c>
      <c r="D15" s="8"/>
      <c r="E15" s="24">
        <v>1165</v>
      </c>
      <c r="F15" s="8"/>
      <c r="G15" s="24">
        <v>1189</v>
      </c>
      <c r="H15" s="8"/>
      <c r="I15" s="24">
        <v>1209</v>
      </c>
      <c r="J15" s="8"/>
      <c r="K15" s="24">
        <v>1210</v>
      </c>
      <c r="L15" s="8"/>
      <c r="M15" s="24">
        <v>1222</v>
      </c>
      <c r="N15" s="8"/>
      <c r="O15" s="24">
        <v>1240</v>
      </c>
      <c r="P15" s="8"/>
      <c r="Q15" s="24">
        <v>1249</v>
      </c>
      <c r="R15" s="8"/>
      <c r="S15" s="24">
        <v>1244</v>
      </c>
      <c r="T15" s="8"/>
      <c r="U15" s="24">
        <v>1254</v>
      </c>
      <c r="V15" s="8"/>
      <c r="W15" s="24">
        <v>1249</v>
      </c>
      <c r="X15" s="8"/>
      <c r="Y15" s="24">
        <v>1257</v>
      </c>
      <c r="Z15" s="8"/>
      <c r="AA15" s="24">
        <v>1247</v>
      </c>
      <c r="AB15" s="8"/>
      <c r="AC15" s="8"/>
      <c r="AE15" s="8"/>
      <c r="AG15" s="8"/>
    </row>
    <row r="16" ht="12" customHeight="1">
      <c r="A16" s="8" t="s">
        <v>93</v>
      </c>
      <c r="B16" s="8" t="s">
        <v>94</v>
      </c>
      <c r="C16" s="24">
        <v>1953</v>
      </c>
      <c r="D16" s="8"/>
      <c r="E16" s="24">
        <v>2101</v>
      </c>
      <c r="F16" s="8"/>
      <c r="G16" s="24">
        <v>2103</v>
      </c>
      <c r="H16" s="8"/>
      <c r="I16" s="24">
        <v>2115</v>
      </c>
      <c r="J16" s="8"/>
      <c r="K16" s="24">
        <v>2177</v>
      </c>
      <c r="L16" s="8"/>
      <c r="M16" s="24">
        <v>2319</v>
      </c>
      <c r="N16" s="8"/>
      <c r="O16" s="24">
        <v>2320</v>
      </c>
      <c r="P16" s="8"/>
      <c r="Q16" s="24">
        <v>2328</v>
      </c>
      <c r="R16" s="8"/>
      <c r="S16" s="24">
        <v>2344</v>
      </c>
      <c r="T16" s="8"/>
      <c r="U16" s="24">
        <v>2436</v>
      </c>
      <c r="V16" s="8"/>
      <c r="W16" s="24">
        <v>2442</v>
      </c>
      <c r="X16" s="8"/>
      <c r="Y16" s="24">
        <v>2441</v>
      </c>
      <c r="Z16" s="8"/>
      <c r="AA16" s="24">
        <v>2479</v>
      </c>
      <c r="AB16" s="8"/>
      <c r="AC16" s="8"/>
      <c r="AE16" s="8"/>
      <c r="AG16" s="8"/>
    </row>
    <row r="17" ht="12" customHeight="1">
      <c r="A17" s="11" t="s">
        <v>95</v>
      </c>
      <c r="B17" s="8" t="s">
        <v>96</v>
      </c>
      <c r="C17" s="24">
        <v>1053</v>
      </c>
      <c r="D17" s="8"/>
      <c r="E17" s="24">
        <v>1050</v>
      </c>
      <c r="F17" s="8"/>
      <c r="G17" s="24">
        <v>1082</v>
      </c>
      <c r="H17" s="8"/>
      <c r="I17" s="24">
        <v>1084</v>
      </c>
      <c r="J17" s="8"/>
      <c r="K17" s="24">
        <v>1092</v>
      </c>
      <c r="L17" s="8"/>
      <c r="M17" s="24">
        <v>1093</v>
      </c>
      <c r="N17" s="8"/>
      <c r="O17" s="24">
        <v>1096</v>
      </c>
      <c r="P17" s="8"/>
      <c r="Q17" s="24">
        <v>1093</v>
      </c>
      <c r="R17" s="8"/>
      <c r="S17" s="24">
        <v>1083</v>
      </c>
      <c r="T17" s="8"/>
      <c r="U17" s="24">
        <v>1086</v>
      </c>
      <c r="V17" s="8"/>
      <c r="W17" s="24">
        <v>1087</v>
      </c>
      <c r="X17" s="8"/>
      <c r="Y17" s="24">
        <v>1092</v>
      </c>
      <c r="Z17" s="8"/>
      <c r="AA17" s="24">
        <v>1101</v>
      </c>
      <c r="AB17" s="8"/>
      <c r="AC17" s="8"/>
      <c r="AE17" s="8"/>
      <c r="AG17" s="8"/>
    </row>
    <row r="18" ht="12" customHeight="1">
      <c r="A18" s="8" t="s">
        <v>97</v>
      </c>
      <c r="B18" s="8" t="s">
        <v>98</v>
      </c>
      <c r="C18" s="24">
        <v>1048</v>
      </c>
      <c r="D18" s="8"/>
      <c r="E18" s="24">
        <v>1044</v>
      </c>
      <c r="F18" s="8"/>
      <c r="G18" s="24">
        <v>1079</v>
      </c>
      <c r="H18" s="8"/>
      <c r="I18" s="24">
        <v>1083</v>
      </c>
      <c r="J18" s="8"/>
      <c r="K18" s="24">
        <v>1093</v>
      </c>
      <c r="L18" s="8"/>
      <c r="M18" s="24">
        <v>1095</v>
      </c>
      <c r="N18" s="8"/>
      <c r="O18" s="24">
        <v>1094</v>
      </c>
      <c r="P18" s="8"/>
      <c r="Q18" s="24">
        <v>1092</v>
      </c>
      <c r="R18" s="8"/>
      <c r="S18" s="24">
        <v>1080</v>
      </c>
      <c r="T18" s="8"/>
      <c r="U18" s="24">
        <v>1078</v>
      </c>
      <c r="V18" s="8"/>
      <c r="W18" s="24">
        <v>1086</v>
      </c>
      <c r="X18" s="8"/>
      <c r="Y18" s="24">
        <v>1088</v>
      </c>
      <c r="Z18" s="8"/>
      <c r="AA18" s="24">
        <v>1100</v>
      </c>
      <c r="AB18" s="8"/>
      <c r="AC18" s="8"/>
      <c r="AE18" s="8"/>
      <c r="AG18" s="8"/>
    </row>
    <row r="19" ht="12" customHeight="1">
      <c r="A19" s="8" t="s">
        <v>99</v>
      </c>
      <c r="B19" s="8" t="s">
        <v>100</v>
      </c>
      <c r="C19" s="24">
        <v>1074</v>
      </c>
      <c r="D19" s="8"/>
      <c r="E19" s="24">
        <v>1081</v>
      </c>
      <c r="F19" s="8"/>
      <c r="G19" s="24">
        <v>1097</v>
      </c>
      <c r="H19" s="8"/>
      <c r="I19" s="24">
        <v>1089</v>
      </c>
      <c r="J19" s="8"/>
      <c r="K19" s="24">
        <v>1091</v>
      </c>
      <c r="L19" s="8"/>
      <c r="M19" s="24">
        <v>1086</v>
      </c>
      <c r="N19" s="8"/>
      <c r="O19" s="24">
        <v>1106</v>
      </c>
      <c r="P19" s="8"/>
      <c r="Q19" s="24">
        <v>1102</v>
      </c>
      <c r="R19" s="8"/>
      <c r="S19" s="24">
        <v>1097</v>
      </c>
      <c r="T19" s="8"/>
      <c r="U19" s="24">
        <v>1120</v>
      </c>
      <c r="V19" s="8"/>
      <c r="W19" s="24">
        <v>1093</v>
      </c>
      <c r="X19" s="8"/>
      <c r="Y19" s="24">
        <v>1112</v>
      </c>
      <c r="Z19" s="8"/>
      <c r="AA19" s="24">
        <v>1109</v>
      </c>
      <c r="AB19" s="8"/>
      <c r="AC19" s="8"/>
      <c r="AE19" s="8"/>
      <c r="AG19" s="8"/>
    </row>
    <row r="20" ht="12" customHeight="1">
      <c r="A20" s="11" t="s">
        <v>101</v>
      </c>
      <c r="B20" s="8" t="s">
        <v>102</v>
      </c>
      <c r="C20" s="24">
        <v>1293</v>
      </c>
      <c r="D20" s="8"/>
      <c r="E20" s="24">
        <v>1308</v>
      </c>
      <c r="F20" s="8"/>
      <c r="G20" s="24">
        <v>1326</v>
      </c>
      <c r="H20" s="8"/>
      <c r="I20" s="24">
        <v>1357</v>
      </c>
      <c r="J20" s="8"/>
      <c r="K20" s="24">
        <v>1371</v>
      </c>
      <c r="L20" s="8"/>
      <c r="M20" s="24">
        <v>1381</v>
      </c>
      <c r="N20" s="8"/>
      <c r="O20" s="24">
        <v>1399</v>
      </c>
      <c r="P20" s="8"/>
      <c r="Q20" s="24">
        <v>1443</v>
      </c>
      <c r="R20" s="8"/>
      <c r="S20" s="24">
        <v>1451</v>
      </c>
      <c r="T20" s="8"/>
      <c r="U20" s="24">
        <v>1464</v>
      </c>
      <c r="V20" s="8"/>
      <c r="W20" s="24">
        <v>1483</v>
      </c>
      <c r="X20" s="8"/>
      <c r="Y20" s="24">
        <v>1519</v>
      </c>
      <c r="Z20" s="8"/>
      <c r="AA20" s="24">
        <v>1525</v>
      </c>
      <c r="AB20" s="8"/>
      <c r="AC20" s="8"/>
      <c r="AE20" s="8"/>
      <c r="AG20" s="8"/>
    </row>
    <row r="21" ht="12" customHeight="1">
      <c r="A21" s="8" t="s">
        <v>103</v>
      </c>
      <c r="B21" s="8" t="s">
        <v>104</v>
      </c>
      <c r="C21" s="24">
        <v>1291</v>
      </c>
      <c r="D21" s="8"/>
      <c r="E21" s="24">
        <v>1307</v>
      </c>
      <c r="F21" s="8"/>
      <c r="G21" s="24">
        <v>1324</v>
      </c>
      <c r="H21" s="8"/>
      <c r="I21" s="24">
        <v>1341</v>
      </c>
      <c r="J21" s="8"/>
      <c r="K21" s="24">
        <v>1357</v>
      </c>
      <c r="L21" s="8"/>
      <c r="M21" s="24">
        <v>1374</v>
      </c>
      <c r="N21" s="8"/>
      <c r="O21" s="24">
        <v>1392</v>
      </c>
      <c r="P21" s="8"/>
      <c r="Q21" s="24">
        <v>1406</v>
      </c>
      <c r="R21" s="8"/>
      <c r="S21" s="24">
        <v>1417</v>
      </c>
      <c r="T21" s="8"/>
      <c r="U21" s="24">
        <v>1427</v>
      </c>
      <c r="V21" s="8"/>
      <c r="W21" s="24">
        <v>1439</v>
      </c>
      <c r="X21" s="8"/>
      <c r="Y21" s="24">
        <v>1443</v>
      </c>
      <c r="Z21" s="8"/>
      <c r="AA21" s="24">
        <v>1445</v>
      </c>
      <c r="AB21" s="8"/>
      <c r="AC21" s="8"/>
      <c r="AE21" s="8"/>
      <c r="AG21" s="8"/>
    </row>
    <row r="22" ht="12" customHeight="1">
      <c r="A22" s="8" t="s">
        <v>105</v>
      </c>
      <c r="B22" s="8" t="s">
        <v>106</v>
      </c>
      <c r="C22" s="24">
        <v>1291</v>
      </c>
      <c r="D22" s="8"/>
      <c r="E22" s="24">
        <v>1307</v>
      </c>
      <c r="F22" s="8"/>
      <c r="G22" s="24">
        <v>1324</v>
      </c>
      <c r="H22" s="8"/>
      <c r="I22" s="24">
        <v>1341</v>
      </c>
      <c r="J22" s="8"/>
      <c r="K22" s="24">
        <v>1357</v>
      </c>
      <c r="L22" s="8"/>
      <c r="M22" s="24">
        <v>1374</v>
      </c>
      <c r="N22" s="8"/>
      <c r="O22" s="24">
        <v>1392</v>
      </c>
      <c r="P22" s="8"/>
      <c r="Q22" s="24">
        <v>1406</v>
      </c>
      <c r="R22" s="8"/>
      <c r="S22" s="24">
        <v>1417</v>
      </c>
      <c r="T22" s="8"/>
      <c r="U22" s="24">
        <v>1427</v>
      </c>
      <c r="V22" s="8"/>
      <c r="W22" s="24">
        <v>1439</v>
      </c>
      <c r="X22" s="8"/>
      <c r="Y22" s="24">
        <v>1443</v>
      </c>
      <c r="Z22" s="8"/>
      <c r="AA22" s="24">
        <v>1445</v>
      </c>
      <c r="AB22" s="8"/>
      <c r="AC22" s="8"/>
      <c r="AE22" s="8"/>
      <c r="AG22" s="8"/>
    </row>
    <row r="23" ht="12" customHeight="1">
      <c r="A23" s="8" t="s">
        <v>107</v>
      </c>
      <c r="B23" s="8" t="s">
        <v>108</v>
      </c>
      <c r="C23" s="24">
        <v>1362</v>
      </c>
      <c r="D23" s="8"/>
      <c r="E23" s="24">
        <v>1360</v>
      </c>
      <c r="F23" s="8"/>
      <c r="G23" s="24">
        <v>1387</v>
      </c>
      <c r="H23" s="8"/>
      <c r="I23" s="24">
        <v>1396</v>
      </c>
      <c r="J23" s="8"/>
      <c r="K23" s="24">
        <v>1399</v>
      </c>
      <c r="L23" s="8"/>
      <c r="M23" s="24">
        <v>1400</v>
      </c>
      <c r="N23" s="8"/>
      <c r="O23" s="24">
        <v>1421</v>
      </c>
      <c r="P23" s="8"/>
      <c r="Q23" s="24">
        <v>1434</v>
      </c>
      <c r="R23" s="8"/>
      <c r="S23" s="24">
        <v>1431</v>
      </c>
      <c r="T23" s="8"/>
      <c r="U23" s="24">
        <v>1438</v>
      </c>
      <c r="V23" s="8"/>
      <c r="W23" s="24">
        <v>1442</v>
      </c>
      <c r="X23" s="8"/>
      <c r="Y23" s="24">
        <v>1452</v>
      </c>
      <c r="Z23" s="8"/>
      <c r="AA23" s="24">
        <v>1463</v>
      </c>
      <c r="AB23" s="8"/>
      <c r="AC23" s="8"/>
      <c r="AE23" s="8"/>
      <c r="AG23" s="8"/>
    </row>
    <row r="24" ht="12" customHeight="1">
      <c r="A24" s="8" t="s">
        <v>109</v>
      </c>
      <c r="B24" s="8" t="s">
        <v>110</v>
      </c>
      <c r="C24" s="24">
        <v>1514</v>
      </c>
      <c r="D24" s="8"/>
      <c r="E24" s="24">
        <v>1514</v>
      </c>
      <c r="F24" s="8"/>
      <c r="G24" s="24">
        <v>1515</v>
      </c>
      <c r="H24" s="8"/>
      <c r="I24" s="24">
        <v>1660</v>
      </c>
      <c r="J24" s="8"/>
      <c r="K24" s="24">
        <v>1660</v>
      </c>
      <c r="L24" s="8"/>
      <c r="M24" s="24">
        <v>1660</v>
      </c>
      <c r="N24" s="8"/>
      <c r="O24" s="24">
        <v>1661</v>
      </c>
      <c r="P24" s="8"/>
      <c r="Q24" s="24">
        <v>1857</v>
      </c>
      <c r="R24" s="8"/>
      <c r="S24" s="24">
        <v>1859</v>
      </c>
      <c r="T24" s="8"/>
      <c r="U24" s="24">
        <v>1859</v>
      </c>
      <c r="V24" s="8"/>
      <c r="W24" s="24">
        <v>1859</v>
      </c>
      <c r="X24" s="8"/>
      <c r="Y24" s="24">
        <v>2013</v>
      </c>
      <c r="Z24" s="8"/>
      <c r="AA24" s="24">
        <v>2013</v>
      </c>
      <c r="AB24" s="8"/>
      <c r="AC24" s="8"/>
      <c r="AE24" s="8"/>
      <c r="AG24" s="8"/>
    </row>
    <row r="25" ht="12" customHeight="1">
      <c r="A25" s="8" t="s">
        <v>111</v>
      </c>
      <c r="B25" s="8" t="s">
        <v>112</v>
      </c>
      <c r="C25" s="24">
        <v>1541</v>
      </c>
      <c r="D25" s="8"/>
      <c r="E25" s="24">
        <v>1541</v>
      </c>
      <c r="F25" s="8"/>
      <c r="G25" s="24">
        <v>1541</v>
      </c>
      <c r="H25" s="8"/>
      <c r="I25" s="24">
        <v>1691</v>
      </c>
      <c r="J25" s="8"/>
      <c r="K25" s="24">
        <v>1691</v>
      </c>
      <c r="L25" s="8"/>
      <c r="M25" s="24">
        <v>1691</v>
      </c>
      <c r="N25" s="8"/>
      <c r="O25" s="24">
        <v>1691</v>
      </c>
      <c r="P25" s="8"/>
      <c r="Q25" s="24">
        <v>1895</v>
      </c>
      <c r="R25" s="8"/>
      <c r="S25" s="24">
        <v>1895</v>
      </c>
      <c r="T25" s="8"/>
      <c r="U25" s="24">
        <v>1895</v>
      </c>
      <c r="V25" s="8"/>
      <c r="W25" s="24">
        <v>1895</v>
      </c>
      <c r="X25" s="8"/>
      <c r="Y25" s="24">
        <v>2062</v>
      </c>
      <c r="Z25" s="8"/>
      <c r="AA25" s="24">
        <v>2062</v>
      </c>
      <c r="AB25" s="8"/>
      <c r="AC25" s="8"/>
      <c r="AE25" s="8"/>
      <c r="AG25" s="8"/>
    </row>
    <row r="26" ht="12" customHeight="1">
      <c r="A26" s="8" t="s">
        <v>113</v>
      </c>
      <c r="B26" s="8" t="s">
        <v>114</v>
      </c>
      <c r="C26" s="24">
        <v>1114</v>
      </c>
      <c r="D26" s="8"/>
      <c r="E26" s="24">
        <v>1141</v>
      </c>
      <c r="F26" s="8"/>
      <c r="G26" s="24">
        <v>1172</v>
      </c>
      <c r="H26" s="8"/>
      <c r="I26" s="24">
        <v>1158</v>
      </c>
      <c r="J26" s="8"/>
      <c r="K26" s="24">
        <v>1179</v>
      </c>
      <c r="L26" s="8"/>
      <c r="M26" s="24">
        <v>1183</v>
      </c>
      <c r="N26" s="8"/>
      <c r="O26" s="24">
        <v>1216</v>
      </c>
      <c r="P26" s="8"/>
      <c r="Q26" s="24">
        <v>1226</v>
      </c>
      <c r="R26" s="8"/>
      <c r="S26" s="24">
        <v>1236</v>
      </c>
      <c r="T26" s="8"/>
      <c r="U26" s="24">
        <v>1265</v>
      </c>
      <c r="V26" s="8"/>
      <c r="W26" s="24">
        <v>1326</v>
      </c>
      <c r="X26" s="8"/>
      <c r="Y26" s="24">
        <v>1365</v>
      </c>
      <c r="Z26" s="8"/>
      <c r="AA26" s="24">
        <v>1386</v>
      </c>
      <c r="AB26" s="8"/>
      <c r="AC26" s="8"/>
      <c r="AE26" s="8"/>
      <c r="AG26" s="8"/>
    </row>
    <row r="27" ht="12" customHeight="1">
      <c r="A27" s="8" t="s">
        <v>115</v>
      </c>
      <c r="B27" s="8" t="s">
        <v>116</v>
      </c>
      <c r="C27" s="24">
        <v>1100</v>
      </c>
      <c r="D27" s="8"/>
      <c r="E27" s="24">
        <v>1125</v>
      </c>
      <c r="F27" s="8"/>
      <c r="G27" s="24">
        <v>1154</v>
      </c>
      <c r="H27" s="8"/>
      <c r="I27" s="24">
        <v>1134</v>
      </c>
      <c r="J27" s="8"/>
      <c r="K27" s="24">
        <v>1154</v>
      </c>
      <c r="L27" s="8"/>
      <c r="M27" s="24">
        <v>1158</v>
      </c>
      <c r="N27" s="8"/>
      <c r="O27" s="24">
        <v>1193</v>
      </c>
      <c r="P27" s="8"/>
      <c r="Q27" s="24">
        <v>1200</v>
      </c>
      <c r="R27" s="8"/>
      <c r="S27" s="24">
        <v>1206</v>
      </c>
      <c r="T27" s="8"/>
      <c r="U27" s="24">
        <v>1232</v>
      </c>
      <c r="V27" s="8"/>
      <c r="W27" s="24">
        <v>1294</v>
      </c>
      <c r="X27" s="8"/>
      <c r="Y27" s="24">
        <v>1336</v>
      </c>
      <c r="Z27" s="8"/>
      <c r="AA27" s="24">
        <v>1353</v>
      </c>
      <c r="AB27" s="8"/>
      <c r="AC27" s="8"/>
      <c r="AE27" s="8"/>
      <c r="AG27" s="8"/>
    </row>
    <row r="28" ht="12" customHeight="1">
      <c r="A28" s="11" t="s">
        <v>117</v>
      </c>
      <c r="B28" s="8" t="s">
        <v>118</v>
      </c>
      <c r="C28" s="24">
        <v>1170</v>
      </c>
      <c r="D28" s="8"/>
      <c r="E28" s="24">
        <v>1163</v>
      </c>
      <c r="F28" s="8"/>
      <c r="G28" s="24">
        <v>1197</v>
      </c>
      <c r="H28" s="8"/>
      <c r="I28" s="24">
        <v>1180</v>
      </c>
      <c r="J28" s="8"/>
      <c r="K28" s="24">
        <v>1186</v>
      </c>
      <c r="L28" s="8"/>
      <c r="M28" s="24">
        <v>1170</v>
      </c>
      <c r="N28" s="8"/>
      <c r="O28" s="24">
        <v>1175</v>
      </c>
      <c r="P28" s="8"/>
      <c r="Q28" s="24">
        <v>1177</v>
      </c>
      <c r="R28" s="8"/>
      <c r="S28" s="24">
        <v>1172</v>
      </c>
      <c r="T28" s="8"/>
      <c r="U28" s="24">
        <v>1166</v>
      </c>
      <c r="V28" s="8"/>
      <c r="W28" s="24">
        <v>1169</v>
      </c>
      <c r="X28" s="8"/>
      <c r="Y28" s="24">
        <v>1158</v>
      </c>
      <c r="Z28" s="8"/>
      <c r="AA28" s="24">
        <v>1165</v>
      </c>
      <c r="AB28" s="8"/>
      <c r="AC28" s="8"/>
      <c r="AE28" s="8"/>
      <c r="AG28" s="8"/>
    </row>
    <row r="29" ht="12" customHeight="1">
      <c r="A29" s="8" t="s">
        <v>119</v>
      </c>
      <c r="B29" s="8" t="s">
        <v>120</v>
      </c>
      <c r="C29" s="24">
        <v>1249</v>
      </c>
      <c r="D29" s="8"/>
      <c r="E29" s="24">
        <v>1211</v>
      </c>
      <c r="F29" s="8"/>
      <c r="G29" s="24">
        <v>1246</v>
      </c>
      <c r="H29" s="8"/>
      <c r="I29" s="24">
        <v>1224</v>
      </c>
      <c r="J29" s="8"/>
      <c r="K29" s="24">
        <v>1219</v>
      </c>
      <c r="L29" s="8"/>
      <c r="M29" s="24">
        <v>1163</v>
      </c>
      <c r="N29" s="8"/>
      <c r="O29" s="24">
        <v>1170</v>
      </c>
      <c r="P29" s="8"/>
      <c r="Q29" s="24">
        <v>1201</v>
      </c>
      <c r="R29" s="8"/>
      <c r="S29" s="24">
        <v>1202</v>
      </c>
      <c r="T29" s="8"/>
      <c r="U29" s="24">
        <v>1189</v>
      </c>
      <c r="V29" s="8"/>
      <c r="W29" s="24">
        <v>1171</v>
      </c>
      <c r="X29" s="8"/>
      <c r="Y29" s="24">
        <v>1144</v>
      </c>
      <c r="Z29" s="8"/>
      <c r="AA29" s="24">
        <v>1194</v>
      </c>
      <c r="AB29" s="8"/>
      <c r="AC29" s="8"/>
      <c r="AE29" s="8"/>
      <c r="AG29" s="8"/>
    </row>
    <row r="30" ht="12" customHeight="1">
      <c r="A30" s="8" t="s">
        <v>121</v>
      </c>
      <c r="B30" s="8" t="s">
        <v>122</v>
      </c>
      <c r="C30" s="24">
        <v>1095</v>
      </c>
      <c r="D30" s="8"/>
      <c r="E30" s="24">
        <v>1115</v>
      </c>
      <c r="F30" s="8"/>
      <c r="G30" s="24">
        <v>1120</v>
      </c>
      <c r="H30" s="8"/>
      <c r="I30" s="24">
        <v>1085</v>
      </c>
      <c r="J30" s="8"/>
      <c r="K30" s="24">
        <v>1149</v>
      </c>
      <c r="L30" s="8"/>
      <c r="M30" s="24">
        <v>1122</v>
      </c>
      <c r="N30" s="8"/>
      <c r="O30" s="24">
        <v>1222</v>
      </c>
      <c r="P30" s="8"/>
      <c r="Q30" s="24">
        <v>1177</v>
      </c>
      <c r="R30" s="8"/>
      <c r="S30" s="24">
        <v>1095</v>
      </c>
      <c r="T30" s="8"/>
      <c r="U30" s="24">
        <v>1143</v>
      </c>
      <c r="V30" s="8"/>
      <c r="W30" s="24">
        <v>1185</v>
      </c>
      <c r="X30" s="8"/>
      <c r="Y30" s="24">
        <v>1173</v>
      </c>
      <c r="Z30" s="8"/>
      <c r="AA30" s="24">
        <v>1149</v>
      </c>
      <c r="AB30" s="8"/>
      <c r="AC30" s="8"/>
      <c r="AE30" s="8"/>
      <c r="AG30" s="8"/>
    </row>
    <row r="31" ht="12" customHeight="1">
      <c r="A31" s="8" t="s">
        <v>123</v>
      </c>
      <c r="B31" s="8" t="s">
        <v>124</v>
      </c>
      <c r="C31" s="24">
        <v>1103</v>
      </c>
      <c r="D31" s="8"/>
      <c r="E31" s="24">
        <v>1090</v>
      </c>
      <c r="F31" s="8"/>
      <c r="G31" s="24">
        <v>1131</v>
      </c>
      <c r="H31" s="8"/>
      <c r="I31" s="24">
        <v>1113</v>
      </c>
      <c r="J31" s="8"/>
      <c r="K31" s="24">
        <v>1106</v>
      </c>
      <c r="L31" s="8"/>
      <c r="M31" s="24">
        <v>1090</v>
      </c>
      <c r="N31" s="8"/>
      <c r="O31" s="24">
        <v>1084</v>
      </c>
      <c r="P31" s="8"/>
      <c r="Q31" s="24">
        <v>1070</v>
      </c>
      <c r="R31" s="8"/>
      <c r="S31" s="24">
        <v>1082</v>
      </c>
      <c r="T31" s="8"/>
      <c r="U31" s="24">
        <v>1066</v>
      </c>
      <c r="V31" s="8"/>
      <c r="W31" s="24">
        <v>1074</v>
      </c>
      <c r="X31" s="8"/>
      <c r="Y31" s="24">
        <v>1069</v>
      </c>
      <c r="Z31" s="8"/>
      <c r="AA31" s="24">
        <v>1070</v>
      </c>
      <c r="AB31" s="8"/>
      <c r="AC31" s="8"/>
      <c r="AE31" s="8"/>
      <c r="AG31" s="8"/>
    </row>
    <row r="32" ht="12" customHeight="1">
      <c r="A32" s="8" t="s">
        <v>125</v>
      </c>
      <c r="B32" s="8" t="s">
        <v>126</v>
      </c>
      <c r="C32" s="24">
        <v>1148</v>
      </c>
      <c r="D32" s="8"/>
      <c r="E32" s="24">
        <v>1103</v>
      </c>
      <c r="F32" s="8"/>
      <c r="G32" s="24">
        <v>1138</v>
      </c>
      <c r="H32" s="8"/>
      <c r="I32" s="24">
        <v>1112</v>
      </c>
      <c r="J32" s="8"/>
      <c r="K32" s="24">
        <v>1188</v>
      </c>
      <c r="L32" s="8"/>
      <c r="M32" s="24">
        <v>1197</v>
      </c>
      <c r="N32" s="8"/>
      <c r="O32" s="24">
        <v>1183</v>
      </c>
      <c r="P32" s="8"/>
      <c r="Q32" s="24">
        <v>1150</v>
      </c>
      <c r="R32" s="8"/>
      <c r="S32" s="24">
        <v>1167</v>
      </c>
      <c r="T32" s="8"/>
      <c r="U32" s="24">
        <v>1188</v>
      </c>
      <c r="V32" s="8"/>
      <c r="W32" s="24">
        <v>1172</v>
      </c>
      <c r="X32" s="8"/>
      <c r="Y32" s="24">
        <v>1161</v>
      </c>
      <c r="Z32" s="8"/>
      <c r="AA32" s="24">
        <v>1134</v>
      </c>
      <c r="AB32" s="8"/>
      <c r="AC32" s="8"/>
      <c r="AE32" s="8"/>
      <c r="AG32" s="8"/>
    </row>
    <row r="33" ht="12" customHeight="1">
      <c r="A33" s="8" t="s">
        <v>127</v>
      </c>
      <c r="B33" s="8" t="s">
        <v>128</v>
      </c>
      <c r="C33" s="24">
        <v>1134</v>
      </c>
      <c r="D33" s="8"/>
      <c r="E33" s="24">
        <v>1139</v>
      </c>
      <c r="F33" s="8"/>
      <c r="G33" s="24">
        <v>1181</v>
      </c>
      <c r="H33" s="8"/>
      <c r="I33" s="24">
        <v>1182</v>
      </c>
      <c r="J33" s="8"/>
      <c r="K33" s="24">
        <v>1178</v>
      </c>
      <c r="L33" s="8"/>
      <c r="M33" s="24">
        <v>1189</v>
      </c>
      <c r="N33" s="8"/>
      <c r="O33" s="24">
        <v>1146</v>
      </c>
      <c r="P33" s="8"/>
      <c r="Q33" s="24">
        <v>1142</v>
      </c>
      <c r="R33" s="8"/>
      <c r="S33" s="24">
        <v>1142</v>
      </c>
      <c r="T33" s="8"/>
      <c r="U33" s="24">
        <v>1131</v>
      </c>
      <c r="V33" s="8"/>
      <c r="W33" s="24">
        <v>1134</v>
      </c>
      <c r="X33" s="8"/>
      <c r="Y33" s="24">
        <v>1133</v>
      </c>
      <c r="Z33" s="8"/>
      <c r="AA33" s="24">
        <v>1110</v>
      </c>
      <c r="AB33" s="8"/>
      <c r="AC33" s="8"/>
      <c r="AE33" s="8"/>
      <c r="AG33" s="8"/>
    </row>
    <row r="34" ht="12" customHeight="1">
      <c r="A34" s="8" t="s">
        <v>129</v>
      </c>
      <c r="B34" s="8" t="s">
        <v>130</v>
      </c>
      <c r="C34" s="24">
        <v>1195</v>
      </c>
      <c r="D34" s="8"/>
      <c r="E34" s="24">
        <v>1219</v>
      </c>
      <c r="F34" s="8"/>
      <c r="G34" s="24">
        <v>1249</v>
      </c>
      <c r="H34" s="8"/>
      <c r="I34" s="24">
        <v>1240</v>
      </c>
      <c r="J34" s="8"/>
      <c r="K34" s="24">
        <v>1234</v>
      </c>
      <c r="L34" s="8"/>
      <c r="M34" s="24">
        <v>1241</v>
      </c>
      <c r="N34" s="8"/>
      <c r="O34" s="24">
        <v>1247</v>
      </c>
      <c r="P34" s="8"/>
      <c r="Q34" s="24">
        <v>1267</v>
      </c>
      <c r="R34" s="8"/>
      <c r="S34" s="24">
        <v>1259</v>
      </c>
      <c r="T34" s="8"/>
      <c r="U34" s="24">
        <v>1246</v>
      </c>
      <c r="V34" s="8"/>
      <c r="W34" s="24">
        <v>1265</v>
      </c>
      <c r="X34" s="8"/>
      <c r="Y34" s="24">
        <v>1260</v>
      </c>
      <c r="Z34" s="8"/>
      <c r="AA34" s="24">
        <v>1257</v>
      </c>
      <c r="AB34" s="8"/>
      <c r="AC34" s="8"/>
      <c r="AE34" s="8"/>
      <c r="AG34" s="8"/>
    </row>
    <row r="35" ht="12" customHeight="1">
      <c r="A35" s="11" t="s">
        <v>131</v>
      </c>
      <c r="B35" s="8" t="s">
        <v>132</v>
      </c>
      <c r="C35" s="24">
        <v>1164</v>
      </c>
      <c r="D35" s="8"/>
      <c r="E35" s="24">
        <v>1171</v>
      </c>
      <c r="F35" s="8"/>
      <c r="G35" s="24">
        <v>1187</v>
      </c>
      <c r="H35" s="8"/>
      <c r="I35" s="24">
        <v>1156</v>
      </c>
      <c r="J35" s="8"/>
      <c r="K35" s="24">
        <v>1179</v>
      </c>
      <c r="L35" s="8"/>
      <c r="M35" s="24">
        <v>1200</v>
      </c>
      <c r="N35" s="8"/>
      <c r="O35" s="24">
        <v>1204</v>
      </c>
      <c r="P35" s="8"/>
      <c r="Q35" s="24">
        <v>1266</v>
      </c>
      <c r="R35" s="8"/>
      <c r="S35" s="24">
        <v>1259</v>
      </c>
      <c r="T35" s="8"/>
      <c r="U35" s="24">
        <v>1264</v>
      </c>
      <c r="V35" s="8"/>
      <c r="W35" s="24">
        <v>1264</v>
      </c>
      <c r="X35" s="8"/>
      <c r="Y35" s="24">
        <v>1266</v>
      </c>
      <c r="Z35" s="8"/>
      <c r="AA35" s="24">
        <v>1262</v>
      </c>
      <c r="AB35" s="8"/>
      <c r="AC35" s="8"/>
      <c r="AE35" s="8"/>
      <c r="AG35" s="8"/>
    </row>
    <row r="36" ht="12" customHeight="1">
      <c r="A36" s="8" t="s">
        <v>133</v>
      </c>
      <c r="B36" s="8" t="s">
        <v>134</v>
      </c>
      <c r="C36" s="24">
        <v>1038</v>
      </c>
      <c r="D36" s="8"/>
      <c r="E36" s="24">
        <v>1041</v>
      </c>
      <c r="F36" s="8"/>
      <c r="G36" s="24">
        <v>1055</v>
      </c>
      <c r="H36" s="8"/>
      <c r="I36" s="24">
        <v>934</v>
      </c>
      <c r="J36" s="8"/>
      <c r="K36" s="24">
        <v>937</v>
      </c>
      <c r="L36" s="8"/>
      <c r="M36" s="24">
        <v>933</v>
      </c>
      <c r="N36" s="8"/>
      <c r="O36" s="24">
        <v>937</v>
      </c>
      <c r="P36" s="8"/>
      <c r="Q36" s="24">
        <v>1081</v>
      </c>
      <c r="R36" s="8"/>
      <c r="S36" s="24">
        <v>1031</v>
      </c>
      <c r="T36" s="8"/>
      <c r="U36" s="24">
        <v>1033</v>
      </c>
      <c r="V36" s="8"/>
      <c r="W36" s="24">
        <v>1027</v>
      </c>
      <c r="X36" s="8"/>
      <c r="Y36" s="24">
        <v>997</v>
      </c>
      <c r="Z36" s="8"/>
      <c r="AA36" s="24">
        <v>970</v>
      </c>
      <c r="AB36" s="8"/>
      <c r="AC36" s="8"/>
      <c r="AE36" s="8"/>
      <c r="AG36" s="8"/>
    </row>
    <row r="37" ht="12" customHeight="1">
      <c r="A37" s="8" t="s">
        <v>135</v>
      </c>
      <c r="B37" s="8" t="s">
        <v>136</v>
      </c>
      <c r="C37" s="24">
        <v>1222</v>
      </c>
      <c r="D37" s="8"/>
      <c r="E37" s="24">
        <v>1229</v>
      </c>
      <c r="F37" s="8"/>
      <c r="G37" s="24">
        <v>1245</v>
      </c>
      <c r="H37" s="8"/>
      <c r="I37" s="24">
        <v>1260</v>
      </c>
      <c r="J37" s="8"/>
      <c r="K37" s="24">
        <v>1290</v>
      </c>
      <c r="L37" s="8"/>
      <c r="M37" s="24">
        <v>1324</v>
      </c>
      <c r="N37" s="8"/>
      <c r="O37" s="24">
        <v>1327</v>
      </c>
      <c r="P37" s="8"/>
      <c r="Q37" s="24">
        <v>1340</v>
      </c>
      <c r="R37" s="8"/>
      <c r="S37" s="24">
        <v>1355</v>
      </c>
      <c r="T37" s="8"/>
      <c r="U37" s="24">
        <v>1361</v>
      </c>
      <c r="V37" s="8"/>
      <c r="W37" s="24">
        <v>1366</v>
      </c>
      <c r="X37" s="8"/>
      <c r="Y37" s="24">
        <v>1389</v>
      </c>
      <c r="Z37" s="8"/>
      <c r="AA37" s="24">
        <v>1401</v>
      </c>
      <c r="AB37" s="8"/>
      <c r="AC37" s="8"/>
      <c r="AE37" s="8"/>
      <c r="AG37" s="8"/>
    </row>
    <row r="38" ht="12" customHeight="1">
      <c r="A38" s="8" t="s">
        <v>137</v>
      </c>
      <c r="B38" s="8" t="s">
        <v>138</v>
      </c>
      <c r="C38" s="24">
        <v>1360</v>
      </c>
      <c r="D38" s="8"/>
      <c r="E38" s="24">
        <v>1384</v>
      </c>
      <c r="F38" s="8"/>
      <c r="G38" s="24">
        <v>1418</v>
      </c>
      <c r="H38" s="8"/>
      <c r="I38" s="24">
        <v>1471</v>
      </c>
      <c r="J38" s="8"/>
      <c r="K38" s="24">
        <v>1538</v>
      </c>
      <c r="L38" s="8"/>
      <c r="M38" s="24">
        <v>1571</v>
      </c>
      <c r="N38" s="8"/>
      <c r="O38" s="24">
        <v>1584</v>
      </c>
      <c r="P38" s="8"/>
      <c r="Q38" s="24">
        <v>1692</v>
      </c>
      <c r="R38" s="8"/>
      <c r="S38" s="24">
        <v>1711</v>
      </c>
      <c r="T38" s="8"/>
      <c r="U38" s="24">
        <v>1712</v>
      </c>
      <c r="V38" s="8"/>
      <c r="W38" s="24">
        <v>1727</v>
      </c>
      <c r="X38" s="8"/>
      <c r="Y38" s="24">
        <v>1752</v>
      </c>
      <c r="Z38" s="8"/>
      <c r="AA38" s="24">
        <v>1770</v>
      </c>
      <c r="AB38" s="8"/>
      <c r="AC38" s="8"/>
      <c r="AE38" s="8"/>
      <c r="AG38" s="8"/>
    </row>
    <row r="39" ht="12" customHeight="1">
      <c r="A39" s="11" t="s">
        <v>139</v>
      </c>
      <c r="B39" s="8" t="s">
        <v>140</v>
      </c>
      <c r="C39" s="24">
        <v>1147</v>
      </c>
      <c r="D39" s="8"/>
      <c r="E39" s="24">
        <v>1131</v>
      </c>
      <c r="F39" s="8"/>
      <c r="G39" s="24">
        <v>1112</v>
      </c>
      <c r="H39" s="8"/>
      <c r="I39" s="24">
        <v>1203</v>
      </c>
      <c r="J39" s="8"/>
      <c r="K39" s="24">
        <v>1200</v>
      </c>
      <c r="L39" s="8"/>
      <c r="M39" s="24">
        <v>1175</v>
      </c>
      <c r="N39" s="8"/>
      <c r="O39" s="24">
        <v>1174</v>
      </c>
      <c r="P39" s="8"/>
      <c r="Q39" s="24">
        <v>1144</v>
      </c>
      <c r="R39" s="8"/>
      <c r="S39" s="24">
        <v>1155</v>
      </c>
      <c r="T39" s="8"/>
      <c r="U39" s="24">
        <v>1170</v>
      </c>
      <c r="V39" s="8"/>
      <c r="W39" s="24">
        <v>1155</v>
      </c>
      <c r="X39" s="8"/>
      <c r="Y39" s="24">
        <v>1161</v>
      </c>
      <c r="Z39" s="8"/>
      <c r="AA39" s="24">
        <v>1186</v>
      </c>
      <c r="AB39" s="8"/>
      <c r="AC39" s="8"/>
      <c r="AE39" s="8"/>
      <c r="AG39" s="8"/>
    </row>
    <row r="40" ht="12" customHeight="1">
      <c r="A40" s="8" t="s">
        <v>141</v>
      </c>
      <c r="B40" s="8" t="s">
        <v>142</v>
      </c>
      <c r="C40" s="24">
        <v>1079</v>
      </c>
      <c r="D40" s="8"/>
      <c r="E40" s="24">
        <v>1090</v>
      </c>
      <c r="F40" s="8"/>
      <c r="G40" s="24">
        <v>1103</v>
      </c>
      <c r="H40" s="8"/>
      <c r="I40" s="24">
        <v>1132</v>
      </c>
      <c r="J40" s="8"/>
      <c r="K40" s="24">
        <v>1107</v>
      </c>
      <c r="L40" s="8"/>
      <c r="M40" s="24">
        <v>1094</v>
      </c>
      <c r="N40" s="8"/>
      <c r="O40" s="24">
        <v>1064</v>
      </c>
      <c r="P40" s="8"/>
      <c r="Q40" s="24">
        <v>1043</v>
      </c>
      <c r="R40" s="8"/>
      <c r="S40" s="24">
        <v>1065</v>
      </c>
      <c r="T40" s="8"/>
      <c r="U40" s="24">
        <v>1068</v>
      </c>
      <c r="V40" s="8"/>
      <c r="W40" s="24">
        <v>1077</v>
      </c>
      <c r="X40" s="8"/>
      <c r="Y40" s="24">
        <v>1076</v>
      </c>
      <c r="Z40" s="8"/>
      <c r="AA40" s="24">
        <v>1079</v>
      </c>
      <c r="AB40" s="8"/>
      <c r="AC40" s="8"/>
      <c r="AE40" s="8"/>
      <c r="AG40" s="8"/>
    </row>
    <row r="41" ht="12" customHeight="1">
      <c r="A41" s="8" t="s">
        <v>143</v>
      </c>
      <c r="B41" s="8" t="s">
        <v>144</v>
      </c>
      <c r="C41" s="24">
        <v>1128</v>
      </c>
      <c r="D41" s="8"/>
      <c r="E41" s="24">
        <v>1105</v>
      </c>
      <c r="F41" s="8"/>
      <c r="G41" s="24">
        <v>1092</v>
      </c>
      <c r="H41" s="8"/>
      <c r="I41" s="24">
        <v>1223</v>
      </c>
      <c r="J41" s="8"/>
      <c r="K41" s="24">
        <v>1229</v>
      </c>
      <c r="L41" s="8"/>
      <c r="M41" s="24">
        <v>1211</v>
      </c>
      <c r="N41" s="8"/>
      <c r="O41" s="24">
        <v>1234</v>
      </c>
      <c r="P41" s="8"/>
      <c r="Q41" s="24">
        <v>1182</v>
      </c>
      <c r="R41" s="8"/>
      <c r="S41" s="24">
        <v>1171</v>
      </c>
      <c r="T41" s="8"/>
      <c r="U41" s="24">
        <v>1208</v>
      </c>
      <c r="V41" s="8"/>
      <c r="W41" s="24">
        <v>1187</v>
      </c>
      <c r="X41" s="8"/>
      <c r="Y41" s="24">
        <v>1192</v>
      </c>
      <c r="Z41" s="8"/>
      <c r="AA41" s="24">
        <v>1212</v>
      </c>
      <c r="AB41" s="8"/>
      <c r="AC41" s="8"/>
      <c r="AE41" s="8"/>
      <c r="AG41" s="8"/>
    </row>
    <row r="42" ht="12" customHeight="1">
      <c r="A42" s="8" t="s">
        <v>145</v>
      </c>
      <c r="B42" s="8" t="s">
        <v>146</v>
      </c>
      <c r="C42" s="24">
        <v>1195</v>
      </c>
      <c r="D42" s="8"/>
      <c r="E42" s="24">
        <v>1165</v>
      </c>
      <c r="F42" s="8"/>
      <c r="G42" s="24">
        <v>1147</v>
      </c>
      <c r="H42" s="8"/>
      <c r="I42" s="24">
        <v>1336</v>
      </c>
      <c r="J42" s="8"/>
      <c r="K42" s="24">
        <v>1337</v>
      </c>
      <c r="L42" s="8"/>
      <c r="M42" s="24">
        <v>1306</v>
      </c>
      <c r="N42" s="8"/>
      <c r="O42" s="24">
        <v>1315</v>
      </c>
      <c r="P42" s="8"/>
      <c r="Q42" s="24">
        <v>1231</v>
      </c>
      <c r="R42" s="8"/>
      <c r="S42" s="24">
        <v>1214</v>
      </c>
      <c r="T42" s="8"/>
      <c r="U42" s="24">
        <v>1270</v>
      </c>
      <c r="V42" s="8"/>
      <c r="W42" s="24">
        <v>1210</v>
      </c>
      <c r="X42" s="8"/>
      <c r="Y42" s="24">
        <v>1211</v>
      </c>
      <c r="Z42" s="8"/>
      <c r="AA42" s="24">
        <v>1241</v>
      </c>
      <c r="AB42" s="8"/>
      <c r="AC42" s="8"/>
      <c r="AE42" s="8"/>
      <c r="AG42" s="8"/>
    </row>
    <row r="43" ht="12" customHeight="1">
      <c r="A43" s="8" t="s">
        <v>147</v>
      </c>
      <c r="B43" s="8" t="s">
        <v>148</v>
      </c>
      <c r="C43" s="24">
        <v>1316</v>
      </c>
      <c r="D43" s="8"/>
      <c r="E43" s="24">
        <v>1281</v>
      </c>
      <c r="F43" s="8"/>
      <c r="G43" s="24">
        <v>1189</v>
      </c>
      <c r="H43" s="8"/>
      <c r="I43" s="24">
        <v>1238</v>
      </c>
      <c r="J43" s="8"/>
      <c r="K43" s="24">
        <v>1235</v>
      </c>
      <c r="L43" s="8"/>
      <c r="M43" s="24">
        <v>1171</v>
      </c>
      <c r="N43" s="8"/>
      <c r="O43" s="24">
        <v>1131</v>
      </c>
      <c r="P43" s="8"/>
      <c r="Q43" s="24">
        <v>1162</v>
      </c>
      <c r="R43" s="8"/>
      <c r="S43" s="24">
        <v>1231</v>
      </c>
      <c r="T43" s="8"/>
      <c r="U43" s="24">
        <v>1189</v>
      </c>
      <c r="V43" s="8"/>
      <c r="W43" s="24">
        <v>1164</v>
      </c>
      <c r="X43" s="8"/>
      <c r="Y43" s="24">
        <v>1183</v>
      </c>
      <c r="Z43" s="8"/>
      <c r="AA43" s="24">
        <v>1249</v>
      </c>
      <c r="AB43" s="8"/>
      <c r="AC43" s="8"/>
      <c r="AE43" s="8"/>
      <c r="AG43" s="8"/>
    </row>
    <row r="44" ht="12" customHeight="1">
      <c r="A44" s="11" t="s">
        <v>149</v>
      </c>
      <c r="B44" s="8" t="s">
        <v>150</v>
      </c>
      <c r="C44" s="24">
        <v>852</v>
      </c>
      <c r="D44" s="8"/>
      <c r="E44" s="24">
        <v>855</v>
      </c>
      <c r="F44" s="8"/>
      <c r="G44" s="24">
        <v>858</v>
      </c>
      <c r="H44" s="8"/>
      <c r="I44" s="24">
        <v>871</v>
      </c>
      <c r="J44" s="8"/>
      <c r="K44" s="24">
        <v>887</v>
      </c>
      <c r="L44" s="8"/>
      <c r="M44" s="24">
        <v>891</v>
      </c>
      <c r="N44" s="8"/>
      <c r="O44" s="24">
        <v>899</v>
      </c>
      <c r="P44" s="8"/>
      <c r="Q44" s="24">
        <v>904</v>
      </c>
      <c r="R44" s="8"/>
      <c r="S44" s="24">
        <v>924</v>
      </c>
      <c r="T44" s="8"/>
      <c r="U44" s="24">
        <v>929</v>
      </c>
      <c r="V44" s="8"/>
      <c r="W44" s="24">
        <v>930</v>
      </c>
      <c r="X44" s="8"/>
      <c r="Y44" s="24">
        <v>936</v>
      </c>
      <c r="Z44" s="8"/>
      <c r="AA44" s="24">
        <v>971</v>
      </c>
      <c r="AB44" s="8"/>
      <c r="AC44" s="8"/>
      <c r="AE44" s="8"/>
      <c r="AG44" s="8"/>
    </row>
    <row r="45" ht="12" customHeight="1">
      <c r="A45" s="8" t="s">
        <v>151</v>
      </c>
      <c r="B45" s="8" t="s">
        <v>152</v>
      </c>
      <c r="C45" s="24">
        <v>1411</v>
      </c>
      <c r="D45" s="8"/>
      <c r="E45" s="24">
        <v>1425</v>
      </c>
      <c r="F45" s="8"/>
      <c r="G45" s="24">
        <v>1409</v>
      </c>
      <c r="H45" s="8"/>
      <c r="I45" s="24">
        <v>1501</v>
      </c>
      <c r="J45" s="8"/>
      <c r="K45" s="24">
        <v>1524</v>
      </c>
      <c r="L45" s="8"/>
      <c r="M45" s="24">
        <v>1492</v>
      </c>
      <c r="N45" s="8"/>
      <c r="O45" s="24">
        <v>1487</v>
      </c>
      <c r="P45" s="8"/>
      <c r="Q45" s="24">
        <v>1520</v>
      </c>
      <c r="R45" s="8"/>
      <c r="S45" s="24">
        <v>1523</v>
      </c>
      <c r="T45" s="8"/>
      <c r="U45" s="24">
        <v>1517</v>
      </c>
      <c r="V45" s="8"/>
      <c r="W45" s="24">
        <v>1531</v>
      </c>
      <c r="X45" s="8"/>
      <c r="Y45" s="24">
        <v>1646</v>
      </c>
      <c r="Z45" s="8"/>
      <c r="AA45" s="24">
        <v>1651</v>
      </c>
      <c r="AB45" s="8"/>
      <c r="AC45" s="8"/>
      <c r="AE45" s="8"/>
      <c r="AG45" s="8"/>
    </row>
    <row r="46" ht="12" customHeight="1">
      <c r="A46" s="8" t="s">
        <v>153</v>
      </c>
      <c r="B46" s="8" t="s">
        <v>154</v>
      </c>
      <c r="C46" s="24">
        <v>296</v>
      </c>
      <c r="D46" s="8"/>
      <c r="E46" s="24">
        <v>301</v>
      </c>
      <c r="F46" s="8"/>
      <c r="G46" s="24">
        <v>271</v>
      </c>
      <c r="H46" s="8"/>
      <c r="I46" s="24">
        <v>254</v>
      </c>
      <c r="J46" s="8"/>
      <c r="K46" s="24">
        <v>294</v>
      </c>
      <c r="L46" s="8"/>
      <c r="M46" s="24">
        <v>285</v>
      </c>
      <c r="N46" s="8"/>
      <c r="O46" s="24">
        <v>309</v>
      </c>
      <c r="P46" s="8"/>
      <c r="Q46" s="24">
        <v>262</v>
      </c>
      <c r="R46" s="8"/>
      <c r="S46" s="24">
        <v>262</v>
      </c>
      <c r="T46" s="8"/>
      <c r="U46" s="24">
        <v>248</v>
      </c>
      <c r="V46" s="8"/>
      <c r="W46" s="24">
        <v>231</v>
      </c>
      <c r="X46" s="8"/>
      <c r="Y46" s="24">
        <v>222</v>
      </c>
      <c r="Z46" s="8"/>
      <c r="AA46" s="24">
        <v>248</v>
      </c>
      <c r="AB46" s="8"/>
      <c r="AC46" s="8"/>
      <c r="AE46" s="8"/>
      <c r="AG46" s="8"/>
    </row>
    <row r="47" ht="12" customHeight="1">
      <c r="A47" s="8" t="s">
        <v>155</v>
      </c>
      <c r="B47" s="8" t="s">
        <v>156</v>
      </c>
      <c r="C47" s="24">
        <v>896</v>
      </c>
      <c r="D47" s="8"/>
      <c r="E47" s="24">
        <v>898</v>
      </c>
      <c r="F47" s="8"/>
      <c r="G47" s="24">
        <v>907</v>
      </c>
      <c r="H47" s="8"/>
      <c r="I47" s="24">
        <v>921</v>
      </c>
      <c r="J47" s="8"/>
      <c r="K47" s="24">
        <v>933</v>
      </c>
      <c r="L47" s="8"/>
      <c r="M47" s="24">
        <v>941</v>
      </c>
      <c r="N47" s="8"/>
      <c r="O47" s="24">
        <v>945</v>
      </c>
      <c r="P47" s="8"/>
      <c r="Q47" s="24">
        <v>958</v>
      </c>
      <c r="R47" s="8"/>
      <c r="S47" s="24">
        <v>981</v>
      </c>
      <c r="T47" s="8"/>
      <c r="U47" s="24">
        <v>997</v>
      </c>
      <c r="V47" s="8"/>
      <c r="W47" s="24">
        <v>1011</v>
      </c>
      <c r="X47" s="8"/>
      <c r="Y47" s="24">
        <v>1021</v>
      </c>
      <c r="Z47" s="8"/>
      <c r="AA47" s="24">
        <v>1050</v>
      </c>
      <c r="AB47" s="8"/>
      <c r="AC47" s="8"/>
      <c r="AE47" s="8"/>
      <c r="AG47" s="8"/>
    </row>
    <row r="48" ht="12" customHeight="1">
      <c r="A48" s="11" t="s">
        <v>157</v>
      </c>
      <c r="B48" s="8" t="s">
        <v>158</v>
      </c>
      <c r="C48" s="24">
        <v>1140</v>
      </c>
      <c r="D48" s="8"/>
      <c r="E48" s="24">
        <v>1150</v>
      </c>
      <c r="F48" s="8"/>
      <c r="G48" s="24">
        <v>1160</v>
      </c>
      <c r="H48" s="8"/>
      <c r="I48" s="24">
        <v>1173</v>
      </c>
      <c r="J48" s="8"/>
      <c r="K48" s="24">
        <v>1191</v>
      </c>
      <c r="L48" s="8"/>
      <c r="M48" s="24">
        <v>1216</v>
      </c>
      <c r="N48" s="8"/>
      <c r="O48" s="24">
        <v>1196</v>
      </c>
      <c r="P48" s="8"/>
      <c r="Q48" s="24">
        <v>1201</v>
      </c>
      <c r="R48" s="8"/>
      <c r="S48" s="24">
        <v>1225</v>
      </c>
      <c r="T48" s="8"/>
      <c r="U48" s="24">
        <v>1221</v>
      </c>
      <c r="V48" s="8"/>
      <c r="W48" s="24">
        <v>1228</v>
      </c>
      <c r="X48" s="8"/>
      <c r="Y48" s="24">
        <v>1238</v>
      </c>
      <c r="Z48" s="8"/>
      <c r="AA48" s="24">
        <v>1257</v>
      </c>
      <c r="AB48" s="8"/>
      <c r="AC48" s="8"/>
      <c r="AE48" s="8"/>
      <c r="AG48" s="8"/>
    </row>
    <row r="49" ht="12" customHeight="1">
      <c r="A49" s="8" t="s">
        <v>159</v>
      </c>
      <c r="B49" s="8" t="s">
        <v>160</v>
      </c>
      <c r="C49" s="24">
        <v>449</v>
      </c>
      <c r="D49" s="8"/>
      <c r="E49" s="24">
        <v>429</v>
      </c>
      <c r="F49" s="8"/>
      <c r="G49" s="24">
        <v>372</v>
      </c>
      <c r="H49" s="8"/>
      <c r="I49" s="24">
        <v>383</v>
      </c>
      <c r="J49" s="8"/>
      <c r="K49" s="24">
        <v>411</v>
      </c>
      <c r="L49" s="8"/>
      <c r="M49" s="24">
        <v>377</v>
      </c>
      <c r="N49" s="8"/>
      <c r="O49" s="24">
        <v>348</v>
      </c>
      <c r="P49" s="8"/>
      <c r="Q49" s="24">
        <v>361</v>
      </c>
      <c r="R49" s="8"/>
      <c r="S49" s="24">
        <v>382</v>
      </c>
      <c r="T49" s="8"/>
      <c r="U49" s="24">
        <v>356</v>
      </c>
      <c r="V49" s="8"/>
      <c r="W49" s="24">
        <v>311</v>
      </c>
      <c r="X49" s="8"/>
      <c r="Y49" s="24">
        <v>317</v>
      </c>
      <c r="Z49" s="8"/>
      <c r="AA49" s="24">
        <v>344</v>
      </c>
      <c r="AB49" s="8"/>
      <c r="AC49" s="8"/>
      <c r="AE49" s="8"/>
      <c r="AG49" s="8"/>
    </row>
    <row r="50" ht="12" customHeight="1">
      <c r="A50" s="8" t="s">
        <v>161</v>
      </c>
      <c r="B50" s="8" t="s">
        <v>162</v>
      </c>
      <c r="C50" s="24">
        <v>1321</v>
      </c>
      <c r="D50" s="8"/>
      <c r="E50" s="24">
        <v>1336</v>
      </c>
      <c r="F50" s="8"/>
      <c r="G50" s="24">
        <v>1333</v>
      </c>
      <c r="H50" s="8"/>
      <c r="I50" s="24">
        <v>1339</v>
      </c>
      <c r="J50" s="8"/>
      <c r="K50" s="24">
        <v>1332</v>
      </c>
      <c r="L50" s="8"/>
      <c r="M50" s="24">
        <v>1348</v>
      </c>
      <c r="N50" s="8"/>
      <c r="O50" s="24">
        <v>1355</v>
      </c>
      <c r="P50" s="8"/>
      <c r="Q50" s="24">
        <v>1333</v>
      </c>
      <c r="R50" s="8"/>
      <c r="S50" s="24">
        <v>1337</v>
      </c>
      <c r="T50" s="8"/>
      <c r="U50" s="24">
        <v>1348</v>
      </c>
      <c r="V50" s="8"/>
      <c r="W50" s="24">
        <v>1371</v>
      </c>
      <c r="X50" s="8"/>
      <c r="Y50" s="24">
        <v>1366</v>
      </c>
      <c r="Z50" s="8"/>
      <c r="AA50" s="24">
        <v>1377</v>
      </c>
      <c r="AB50" s="8"/>
      <c r="AC50" s="8"/>
      <c r="AE50" s="8"/>
      <c r="AG50" s="8"/>
    </row>
    <row r="51" ht="12" customHeight="1">
      <c r="A51" s="8" t="s">
        <v>163</v>
      </c>
      <c r="B51" s="8" t="s">
        <v>164</v>
      </c>
      <c r="C51" s="24">
        <v>1249</v>
      </c>
      <c r="D51" s="8"/>
      <c r="E51" s="24">
        <v>1265</v>
      </c>
      <c r="F51" s="8"/>
      <c r="G51" s="24">
        <v>1310</v>
      </c>
      <c r="H51" s="8"/>
      <c r="I51" s="24">
        <v>1308</v>
      </c>
      <c r="J51" s="8"/>
      <c r="K51" s="24">
        <v>1315</v>
      </c>
      <c r="L51" s="8"/>
      <c r="M51" s="24">
        <v>1326</v>
      </c>
      <c r="N51" s="8"/>
      <c r="O51" s="24">
        <v>1294</v>
      </c>
      <c r="P51" s="8"/>
      <c r="Q51" s="24">
        <v>1317</v>
      </c>
      <c r="R51" s="8"/>
      <c r="S51" s="24">
        <v>1339</v>
      </c>
      <c r="T51" s="8"/>
      <c r="U51" s="24">
        <v>1325</v>
      </c>
      <c r="V51" s="8"/>
      <c r="W51" s="24">
        <v>1298</v>
      </c>
      <c r="X51" s="8"/>
      <c r="Y51" s="24">
        <v>1314</v>
      </c>
      <c r="Z51" s="8"/>
      <c r="AA51" s="24">
        <v>1323</v>
      </c>
      <c r="AB51" s="8"/>
      <c r="AC51" s="8"/>
      <c r="AE51" s="8"/>
      <c r="AG51" s="8"/>
    </row>
    <row r="52" ht="12" customHeight="1">
      <c r="A52" s="8" t="s">
        <v>165</v>
      </c>
      <c r="B52" s="8" t="s">
        <v>166</v>
      </c>
      <c r="C52" s="24">
        <v>1106</v>
      </c>
      <c r="D52" s="8"/>
      <c r="E52" s="24">
        <v>1119</v>
      </c>
      <c r="F52" s="8"/>
      <c r="G52" s="24">
        <v>1138</v>
      </c>
      <c r="H52" s="8"/>
      <c r="I52" s="24">
        <v>1153</v>
      </c>
      <c r="J52" s="8"/>
      <c r="K52" s="24">
        <v>1177</v>
      </c>
      <c r="L52" s="8"/>
      <c r="M52" s="24">
        <v>1205</v>
      </c>
      <c r="N52" s="8"/>
      <c r="O52" s="24">
        <v>1233</v>
      </c>
      <c r="P52" s="8"/>
      <c r="Q52" s="24">
        <v>1235</v>
      </c>
      <c r="R52" s="8"/>
      <c r="S52" s="24">
        <v>1245</v>
      </c>
      <c r="T52" s="8"/>
      <c r="U52" s="24">
        <v>1250</v>
      </c>
      <c r="V52" s="8"/>
      <c r="W52" s="24">
        <v>1323</v>
      </c>
      <c r="X52" s="8"/>
      <c r="Y52" s="24">
        <v>1328</v>
      </c>
      <c r="Z52" s="8"/>
      <c r="AA52" s="24">
        <v>1330</v>
      </c>
      <c r="AB52" s="8"/>
      <c r="AC52" s="8"/>
      <c r="AE52" s="8"/>
      <c r="AG52" s="8"/>
    </row>
    <row r="53" ht="12" customHeight="1">
      <c r="A53" s="8" t="s">
        <v>167</v>
      </c>
      <c r="B53" s="8" t="s">
        <v>168</v>
      </c>
      <c r="C53" s="24">
        <v>1408</v>
      </c>
      <c r="D53" s="8"/>
      <c r="E53" s="24">
        <v>1423</v>
      </c>
      <c r="F53" s="8"/>
      <c r="G53" s="24">
        <v>1458</v>
      </c>
      <c r="H53" s="8"/>
      <c r="I53" s="24">
        <v>1492</v>
      </c>
      <c r="J53" s="8"/>
      <c r="K53" s="24">
        <v>1500</v>
      </c>
      <c r="L53" s="8"/>
      <c r="M53" s="24">
        <v>1503</v>
      </c>
      <c r="N53" s="8"/>
      <c r="O53" s="24">
        <v>1526</v>
      </c>
      <c r="P53" s="8"/>
      <c r="Q53" s="24">
        <v>1533</v>
      </c>
      <c r="R53" s="8"/>
      <c r="S53" s="24">
        <v>1552</v>
      </c>
      <c r="T53" s="8"/>
      <c r="U53" s="24">
        <v>1542</v>
      </c>
      <c r="V53" s="8"/>
      <c r="W53" s="24">
        <v>1545</v>
      </c>
      <c r="X53" s="8"/>
      <c r="Y53" s="24">
        <v>1580</v>
      </c>
      <c r="Z53" s="8"/>
      <c r="AA53" s="24">
        <v>1598</v>
      </c>
      <c r="AB53" s="8"/>
      <c r="AC53" s="8"/>
      <c r="AE53" s="8"/>
      <c r="AG53" s="8"/>
    </row>
    <row r="54" ht="12" customHeight="1">
      <c r="A54" s="8" t="s">
        <v>169</v>
      </c>
      <c r="B54" s="8" t="s">
        <v>170</v>
      </c>
      <c r="C54" s="24">
        <v>1681</v>
      </c>
      <c r="D54" s="8"/>
      <c r="E54" s="24">
        <v>1713</v>
      </c>
      <c r="F54" s="8"/>
      <c r="G54" s="24">
        <v>1712</v>
      </c>
      <c r="H54" s="8"/>
      <c r="I54" s="24">
        <v>1736</v>
      </c>
      <c r="J54" s="8"/>
      <c r="K54" s="24">
        <v>1760</v>
      </c>
      <c r="L54" s="8"/>
      <c r="M54" s="24">
        <v>1876</v>
      </c>
      <c r="N54" s="8"/>
      <c r="O54" s="24">
        <v>1772</v>
      </c>
      <c r="P54" s="8"/>
      <c r="Q54" s="24">
        <v>1748</v>
      </c>
      <c r="R54" s="8"/>
      <c r="S54" s="24">
        <v>1811</v>
      </c>
      <c r="T54" s="8"/>
      <c r="U54" s="24">
        <v>1849</v>
      </c>
      <c r="V54" s="8"/>
      <c r="W54" s="24">
        <v>1863</v>
      </c>
      <c r="X54" s="8"/>
      <c r="Y54" s="24">
        <v>1870</v>
      </c>
      <c r="Z54" s="8"/>
      <c r="AA54" s="24">
        <v>1936</v>
      </c>
      <c r="AB54" s="8"/>
      <c r="AC54" s="8"/>
      <c r="AE54" s="8"/>
      <c r="AG54" s="8"/>
    </row>
    <row r="55" ht="12" customHeight="1">
      <c r="A55" s="11" t="s">
        <v>171</v>
      </c>
      <c r="B55" s="8" t="s">
        <v>172</v>
      </c>
      <c r="C55" s="24">
        <v>1099</v>
      </c>
      <c r="D55" s="8"/>
      <c r="E55" s="24">
        <v>1128</v>
      </c>
      <c r="F55" s="8"/>
      <c r="G55" s="24">
        <v>1128</v>
      </c>
      <c r="H55" s="8"/>
      <c r="I55" s="24">
        <v>1143</v>
      </c>
      <c r="J55" s="8"/>
      <c r="K55" s="24">
        <v>1143</v>
      </c>
      <c r="L55" s="8"/>
      <c r="M55" s="24">
        <v>1181</v>
      </c>
      <c r="N55" s="8"/>
      <c r="O55" s="24">
        <v>1181</v>
      </c>
      <c r="P55" s="8"/>
      <c r="Q55" s="24">
        <v>1091</v>
      </c>
      <c r="R55" s="8"/>
      <c r="S55" s="24">
        <v>1091</v>
      </c>
      <c r="T55" s="8"/>
      <c r="U55" s="24">
        <v>1192</v>
      </c>
      <c r="V55" s="8"/>
      <c r="W55" s="24">
        <v>1192</v>
      </c>
      <c r="X55" s="8"/>
      <c r="Y55" s="24">
        <v>1199</v>
      </c>
      <c r="Z55" s="8"/>
      <c r="AA55" s="24">
        <v>1199</v>
      </c>
      <c r="AB55" s="8"/>
      <c r="AC55" s="8"/>
      <c r="AE55" s="8"/>
      <c r="AG55" s="8"/>
    </row>
    <row r="56" ht="12" customHeight="1">
      <c r="A56" s="8" t="s">
        <v>173</v>
      </c>
      <c r="B56" s="8" t="s">
        <v>174</v>
      </c>
      <c r="C56" s="24">
        <v>1219</v>
      </c>
      <c r="D56" s="8"/>
      <c r="E56" s="24">
        <v>1219</v>
      </c>
      <c r="F56" s="8"/>
      <c r="G56" s="24">
        <v>1219</v>
      </c>
      <c r="H56" s="8"/>
      <c r="I56" s="24">
        <v>1263</v>
      </c>
      <c r="J56" s="8"/>
      <c r="K56" s="24">
        <v>1263</v>
      </c>
      <c r="L56" s="8"/>
      <c r="M56" s="24">
        <v>1263</v>
      </c>
      <c r="N56" s="8"/>
      <c r="O56" s="24">
        <v>1263</v>
      </c>
      <c r="P56" s="8"/>
      <c r="Q56" s="24">
        <v>989</v>
      </c>
      <c r="R56" s="8"/>
      <c r="S56" s="24">
        <v>989</v>
      </c>
      <c r="T56" s="8"/>
      <c r="U56" s="24">
        <v>989</v>
      </c>
      <c r="V56" s="8"/>
      <c r="W56" s="24">
        <v>989</v>
      </c>
      <c r="X56" s="8"/>
      <c r="Y56" s="24">
        <v>1013</v>
      </c>
      <c r="Z56" s="8"/>
      <c r="AA56" s="24">
        <v>1013</v>
      </c>
      <c r="AB56" s="8"/>
      <c r="AC56" s="8"/>
      <c r="AE56" s="8"/>
      <c r="AG56" s="8"/>
    </row>
    <row r="57" ht="12" customHeight="1">
      <c r="A57" s="8" t="s">
        <v>175</v>
      </c>
      <c r="B57" s="8" t="s">
        <v>176</v>
      </c>
      <c r="C57" s="24">
        <v>1216</v>
      </c>
      <c r="D57" s="8"/>
      <c r="E57" s="24">
        <v>1253</v>
      </c>
      <c r="F57" s="8"/>
      <c r="G57" s="24">
        <v>1253</v>
      </c>
      <c r="H57" s="8"/>
      <c r="I57" s="24">
        <v>1253</v>
      </c>
      <c r="J57" s="8"/>
      <c r="K57" s="24">
        <v>1253</v>
      </c>
      <c r="L57" s="8"/>
      <c r="M57" s="24">
        <v>1310</v>
      </c>
      <c r="N57" s="8"/>
      <c r="O57" s="24">
        <v>1310</v>
      </c>
      <c r="P57" s="8"/>
      <c r="Q57" s="24">
        <v>1310</v>
      </c>
      <c r="R57" s="8"/>
      <c r="S57" s="24">
        <v>1310</v>
      </c>
      <c r="T57" s="8"/>
      <c r="U57" s="24">
        <v>1364</v>
      </c>
      <c r="V57" s="8"/>
      <c r="W57" s="24">
        <v>1364</v>
      </c>
      <c r="X57" s="8"/>
      <c r="Y57" s="24">
        <v>1364</v>
      </c>
      <c r="Z57" s="8"/>
      <c r="AA57" s="24">
        <v>1364</v>
      </c>
      <c r="AB57" s="8"/>
      <c r="AC57" s="8"/>
      <c r="AE57" s="8"/>
      <c r="AG57" s="8"/>
    </row>
    <row r="58" ht="12" customHeight="1">
      <c r="A58" s="8" t="s">
        <v>177</v>
      </c>
      <c r="B58" s="8" t="s">
        <v>178</v>
      </c>
      <c r="C58" s="24">
        <v>962</v>
      </c>
      <c r="D58" s="8"/>
      <c r="E58" s="24">
        <v>1010</v>
      </c>
      <c r="F58" s="8"/>
      <c r="G58" s="24">
        <v>1010</v>
      </c>
      <c r="H58" s="8"/>
      <c r="I58" s="24">
        <v>1010</v>
      </c>
      <c r="J58" s="8"/>
      <c r="K58" s="24">
        <v>1010</v>
      </c>
      <c r="L58" s="8"/>
      <c r="M58" s="24">
        <v>1069</v>
      </c>
      <c r="N58" s="8"/>
      <c r="O58" s="24">
        <v>1069</v>
      </c>
      <c r="P58" s="8"/>
      <c r="Q58" s="24">
        <v>1069</v>
      </c>
      <c r="R58" s="8"/>
      <c r="S58" s="24">
        <v>1069</v>
      </c>
      <c r="T58" s="8"/>
      <c r="U58" s="24">
        <v>1311</v>
      </c>
      <c r="V58" s="8"/>
      <c r="W58" s="24">
        <v>1311</v>
      </c>
      <c r="X58" s="8"/>
      <c r="Y58" s="24">
        <v>1311</v>
      </c>
      <c r="Z58" s="8"/>
      <c r="AA58" s="24">
        <v>1311</v>
      </c>
      <c r="AB58" s="8"/>
      <c r="AC58" s="8"/>
      <c r="AE58" s="8"/>
      <c r="AG58" s="8"/>
    </row>
    <row r="59" ht="12" customHeight="1">
      <c r="A59" s="8" t="s">
        <v>179</v>
      </c>
      <c r="B59" s="8" t="s">
        <v>180</v>
      </c>
      <c r="C59" s="24">
        <v>1104</v>
      </c>
      <c r="D59" s="8"/>
      <c r="E59" s="24">
        <v>1166</v>
      </c>
      <c r="F59" s="8"/>
      <c r="G59" s="24">
        <v>1166</v>
      </c>
      <c r="H59" s="8"/>
      <c r="I59" s="24">
        <v>1166</v>
      </c>
      <c r="J59" s="8"/>
      <c r="K59" s="24">
        <v>1166</v>
      </c>
      <c r="L59" s="8"/>
      <c r="M59" s="24">
        <v>1216</v>
      </c>
      <c r="N59" s="8"/>
      <c r="O59" s="24">
        <v>1216</v>
      </c>
      <c r="P59" s="8"/>
      <c r="Q59" s="24">
        <v>1216</v>
      </c>
      <c r="R59" s="8"/>
      <c r="S59" s="24">
        <v>1216</v>
      </c>
      <c r="T59" s="8"/>
      <c r="U59" s="24">
        <v>1278</v>
      </c>
      <c r="V59" s="8"/>
      <c r="W59" s="24">
        <v>1278</v>
      </c>
      <c r="X59" s="8"/>
      <c r="Y59" s="24">
        <v>1278</v>
      </c>
      <c r="Z59" s="8"/>
      <c r="AA59" s="24">
        <v>1278</v>
      </c>
      <c r="AB59" s="8"/>
      <c r="AC59" s="8"/>
      <c r="AE59" s="8"/>
      <c r="AG59" s="8"/>
    </row>
    <row r="60" ht="12" customHeight="1">
      <c r="A60" s="11" t="s">
        <v>181</v>
      </c>
      <c r="B60" s="8" t="s">
        <v>182</v>
      </c>
      <c r="C60" s="24">
        <v>1294</v>
      </c>
      <c r="D60" s="8"/>
      <c r="E60" s="24">
        <v>1319</v>
      </c>
      <c r="F60" s="8"/>
      <c r="G60" s="24">
        <v>1356</v>
      </c>
      <c r="H60" s="8"/>
      <c r="I60" s="24">
        <v>1388</v>
      </c>
      <c r="J60" s="8"/>
      <c r="K60" s="24">
        <v>1420</v>
      </c>
      <c r="L60" s="8"/>
      <c r="M60" s="24">
        <v>1460</v>
      </c>
      <c r="N60" s="8"/>
      <c r="O60" s="24">
        <v>1498</v>
      </c>
      <c r="P60" s="8"/>
      <c r="Q60" s="24">
        <v>1522</v>
      </c>
      <c r="R60" s="8"/>
      <c r="S60" s="24">
        <v>1545</v>
      </c>
      <c r="T60" s="8"/>
      <c r="U60" s="24">
        <v>1562</v>
      </c>
      <c r="V60" s="8"/>
      <c r="W60" s="24">
        <v>1581</v>
      </c>
      <c r="X60" s="8"/>
      <c r="Y60" s="24">
        <v>1589</v>
      </c>
      <c r="Z60" s="8"/>
      <c r="AA60" s="24">
        <v>1596</v>
      </c>
      <c r="AB60" s="8"/>
      <c r="AC60" s="8"/>
      <c r="AE60" s="8"/>
      <c r="AG60" s="8"/>
    </row>
    <row r="61" ht="12" customHeight="1">
      <c r="A61" s="8" t="s">
        <v>183</v>
      </c>
      <c r="B61" s="8" t="s">
        <v>184</v>
      </c>
      <c r="C61" s="24">
        <v>1132</v>
      </c>
      <c r="D61" s="8"/>
      <c r="E61" s="24">
        <v>1152</v>
      </c>
      <c r="F61" s="8"/>
      <c r="G61" s="24">
        <v>1178</v>
      </c>
      <c r="H61" s="8"/>
      <c r="I61" s="24">
        <v>1173</v>
      </c>
      <c r="J61" s="8"/>
      <c r="K61" s="24">
        <v>1164</v>
      </c>
      <c r="L61" s="8"/>
      <c r="M61" s="24">
        <v>1167</v>
      </c>
      <c r="N61" s="8"/>
      <c r="O61" s="24">
        <v>1169</v>
      </c>
      <c r="P61" s="8"/>
      <c r="Q61" s="24">
        <v>1165</v>
      </c>
      <c r="R61" s="8"/>
      <c r="S61" s="24">
        <v>1166</v>
      </c>
      <c r="T61" s="8"/>
      <c r="U61" s="24">
        <v>1171</v>
      </c>
      <c r="V61" s="8"/>
      <c r="W61" s="24">
        <v>1184</v>
      </c>
      <c r="X61" s="8"/>
      <c r="Y61" s="24">
        <v>1187</v>
      </c>
      <c r="Z61" s="8"/>
      <c r="AA61" s="24">
        <v>1186</v>
      </c>
      <c r="AB61" s="8"/>
      <c r="AC61" s="8"/>
      <c r="AE61" s="8"/>
      <c r="AG61" s="8"/>
    </row>
    <row r="62" ht="12" customHeight="1">
      <c r="A62" s="8" t="s">
        <v>185</v>
      </c>
      <c r="B62" s="8" t="s">
        <v>186</v>
      </c>
      <c r="C62" s="24">
        <v>1210</v>
      </c>
      <c r="D62" s="8"/>
      <c r="E62" s="24">
        <v>1210</v>
      </c>
      <c r="F62" s="8"/>
      <c r="G62" s="24">
        <v>1195</v>
      </c>
      <c r="H62" s="8"/>
      <c r="I62" s="24">
        <v>1206</v>
      </c>
      <c r="J62" s="8"/>
      <c r="K62" s="24">
        <v>1229</v>
      </c>
      <c r="L62" s="8"/>
      <c r="M62" s="24">
        <v>1238</v>
      </c>
      <c r="N62" s="8"/>
      <c r="O62" s="24">
        <v>1264</v>
      </c>
      <c r="P62" s="8"/>
      <c r="Q62" s="24">
        <v>1277</v>
      </c>
      <c r="R62" s="8"/>
      <c r="S62" s="24">
        <v>1293</v>
      </c>
      <c r="T62" s="8"/>
      <c r="U62" s="24">
        <v>1296</v>
      </c>
      <c r="V62" s="8"/>
      <c r="W62" s="24">
        <v>1333</v>
      </c>
      <c r="X62" s="8"/>
      <c r="Y62" s="24">
        <v>1348</v>
      </c>
      <c r="Z62" s="8"/>
      <c r="AA62" s="24">
        <v>1394</v>
      </c>
      <c r="AB62" s="8"/>
      <c r="AC62" s="8"/>
      <c r="AE62" s="8"/>
      <c r="AG62" s="8"/>
    </row>
    <row r="63" ht="12" customHeight="1">
      <c r="A63" s="8" t="s">
        <v>187</v>
      </c>
      <c r="B63" s="8" t="s">
        <v>188</v>
      </c>
      <c r="C63" s="24">
        <v>1366</v>
      </c>
      <c r="D63" s="8"/>
      <c r="E63" s="24">
        <v>1399</v>
      </c>
      <c r="F63" s="8"/>
      <c r="G63" s="24">
        <v>1454</v>
      </c>
      <c r="H63" s="8"/>
      <c r="I63" s="24">
        <v>1515</v>
      </c>
      <c r="J63" s="8"/>
      <c r="K63" s="24">
        <v>1578</v>
      </c>
      <c r="L63" s="8"/>
      <c r="M63" s="24">
        <v>1650</v>
      </c>
      <c r="N63" s="8"/>
      <c r="O63" s="24">
        <v>1715</v>
      </c>
      <c r="P63" s="8"/>
      <c r="Q63" s="24">
        <v>1763</v>
      </c>
      <c r="R63" s="8"/>
      <c r="S63" s="24">
        <v>1804</v>
      </c>
      <c r="T63" s="8"/>
      <c r="U63" s="24">
        <v>1831</v>
      </c>
      <c r="V63" s="8"/>
      <c r="W63" s="24">
        <v>1854</v>
      </c>
      <c r="X63" s="8"/>
      <c r="Y63" s="24">
        <v>1867</v>
      </c>
      <c r="Z63" s="8"/>
      <c r="AA63" s="24">
        <v>1876</v>
      </c>
      <c r="AB63" s="8"/>
      <c r="AC63" s="8"/>
      <c r="AE63" s="8"/>
      <c r="AG63" s="8"/>
    </row>
    <row r="64" ht="12" customHeight="1">
      <c r="A64" s="8" t="s">
        <v>189</v>
      </c>
      <c r="B64" s="8" t="s">
        <v>190</v>
      </c>
      <c r="C64" s="24">
        <v>730</v>
      </c>
      <c r="D64" s="8"/>
      <c r="E64" s="24">
        <v>723</v>
      </c>
      <c r="F64" s="8"/>
      <c r="G64" s="24">
        <v>723</v>
      </c>
      <c r="H64" s="8"/>
      <c r="I64" s="24">
        <v>723</v>
      </c>
      <c r="J64" s="8"/>
      <c r="K64" s="24">
        <v>723</v>
      </c>
      <c r="L64" s="8"/>
      <c r="M64" s="24">
        <v>723</v>
      </c>
      <c r="N64" s="8"/>
      <c r="O64" s="24">
        <v>723</v>
      </c>
      <c r="P64" s="8"/>
      <c r="Q64" s="24">
        <v>703</v>
      </c>
      <c r="R64" s="8"/>
      <c r="S64" s="24">
        <v>695</v>
      </c>
      <c r="T64" s="8"/>
      <c r="U64" s="24">
        <v>695</v>
      </c>
      <c r="V64" s="8"/>
      <c r="W64" s="24">
        <v>690</v>
      </c>
      <c r="X64" s="8"/>
      <c r="Y64" s="24">
        <v>690</v>
      </c>
      <c r="Z64" s="8"/>
      <c r="AA64" s="24">
        <v>690</v>
      </c>
      <c r="AB64" s="8"/>
      <c r="AC64" s="8"/>
      <c r="AE64" s="8"/>
      <c r="AG64" s="8"/>
    </row>
    <row r="65" ht="12" customHeight="1">
      <c r="A65" s="8" t="s">
        <v>191</v>
      </c>
      <c r="B65" s="8" t="s">
        <v>192</v>
      </c>
      <c r="C65" s="24">
        <v>1347</v>
      </c>
      <c r="D65" s="8"/>
      <c r="E65" s="24">
        <v>1361</v>
      </c>
      <c r="F65" s="8"/>
      <c r="G65" s="24">
        <v>1374</v>
      </c>
      <c r="H65" s="8"/>
      <c r="I65" s="24">
        <v>1389</v>
      </c>
      <c r="J65" s="8"/>
      <c r="K65" s="24">
        <v>1397</v>
      </c>
      <c r="L65" s="8"/>
      <c r="M65" s="24">
        <v>1406</v>
      </c>
      <c r="N65" s="8"/>
      <c r="O65" s="24">
        <v>1429</v>
      </c>
      <c r="P65" s="8"/>
      <c r="Q65" s="24">
        <v>1432</v>
      </c>
      <c r="R65" s="8"/>
      <c r="S65" s="24">
        <v>1441</v>
      </c>
      <c r="T65" s="8"/>
      <c r="U65" s="24">
        <v>1450</v>
      </c>
      <c r="V65" s="8"/>
      <c r="W65" s="24">
        <v>1468</v>
      </c>
      <c r="X65" s="8"/>
      <c r="Y65" s="24">
        <v>1458</v>
      </c>
      <c r="Z65" s="8"/>
      <c r="AA65" s="24">
        <v>1458</v>
      </c>
      <c r="AB65" s="8"/>
      <c r="AC65" s="8"/>
      <c r="AE65" s="8"/>
      <c r="AG65" s="8"/>
    </row>
    <row r="66" ht="12" customHeight="1">
      <c r="A66" s="11" t="s">
        <v>193</v>
      </c>
      <c r="B66" s="8" t="s">
        <v>194</v>
      </c>
      <c r="C66" s="24">
        <v>1482</v>
      </c>
      <c r="D66" s="8"/>
      <c r="E66" s="24">
        <v>1584</v>
      </c>
      <c r="F66" s="8"/>
      <c r="G66" s="24">
        <v>1637</v>
      </c>
      <c r="H66" s="8"/>
      <c r="I66" s="24">
        <v>1773</v>
      </c>
      <c r="J66" s="8"/>
      <c r="K66" s="24">
        <v>1944</v>
      </c>
      <c r="L66" s="8"/>
      <c r="M66" s="24">
        <v>2031</v>
      </c>
      <c r="N66" s="8"/>
      <c r="O66" s="24">
        <v>2074</v>
      </c>
      <c r="P66" s="8"/>
      <c r="Q66" s="24">
        <v>2095</v>
      </c>
      <c r="R66" s="8"/>
      <c r="S66" s="24">
        <v>2082</v>
      </c>
      <c r="T66" s="8"/>
      <c r="U66" s="24">
        <v>2041</v>
      </c>
      <c r="V66" s="8"/>
      <c r="W66" s="24">
        <v>1914</v>
      </c>
      <c r="X66" s="8"/>
      <c r="Y66" s="24">
        <v>1795</v>
      </c>
      <c r="Z66" s="8"/>
      <c r="AA66" s="24">
        <v>1722</v>
      </c>
      <c r="AB66" s="8"/>
      <c r="AC66" s="8"/>
      <c r="AE66" s="8"/>
      <c r="AG66" s="8"/>
    </row>
    <row r="67" ht="12" customHeight="1">
      <c r="A67" s="8" t="s">
        <v>195</v>
      </c>
      <c r="B67" s="8" t="s">
        <v>196</v>
      </c>
      <c r="C67" s="24">
        <v>1482</v>
      </c>
      <c r="D67" s="8"/>
      <c r="E67" s="24">
        <v>1584</v>
      </c>
      <c r="F67" s="8"/>
      <c r="G67" s="24">
        <v>1637</v>
      </c>
      <c r="H67" s="8"/>
      <c r="I67" s="24">
        <v>1773</v>
      </c>
      <c r="J67" s="8"/>
      <c r="K67" s="24">
        <v>1944</v>
      </c>
      <c r="L67" s="8"/>
      <c r="M67" s="24">
        <v>2031</v>
      </c>
      <c r="N67" s="8"/>
      <c r="O67" s="24">
        <v>2074</v>
      </c>
      <c r="P67" s="8"/>
      <c r="Q67" s="24">
        <v>2095</v>
      </c>
      <c r="R67" s="8"/>
      <c r="S67" s="24">
        <v>2082</v>
      </c>
      <c r="T67" s="8"/>
      <c r="U67" s="24">
        <v>2041</v>
      </c>
      <c r="V67" s="8"/>
      <c r="W67" s="24">
        <v>1914</v>
      </c>
      <c r="X67" s="8"/>
      <c r="Y67" s="24">
        <v>1795</v>
      </c>
      <c r="Z67" s="8"/>
      <c r="AA67" s="24">
        <v>1722</v>
      </c>
      <c r="AB67" s="8"/>
      <c r="AC67" s="8"/>
      <c r="AE67" s="8"/>
      <c r="AG67" s="8"/>
    </row>
    <row r="68" ht="12" customHeight="1">
      <c r="A68" s="13" t="s">
        <v>69</v>
      </c>
      <c r="B68" s="10" t="s">
        <v>40</v>
      </c>
      <c r="C68" s="25">
        <v>1229</v>
      </c>
      <c r="D68" s="10"/>
      <c r="E68" s="25">
        <v>1251</v>
      </c>
      <c r="F68" s="10"/>
      <c r="G68" s="25">
        <v>1268</v>
      </c>
      <c r="H68" s="10"/>
      <c r="I68" s="25">
        <v>1300</v>
      </c>
      <c r="J68" s="10"/>
      <c r="K68" s="25">
        <v>1315</v>
      </c>
      <c r="L68" s="10"/>
      <c r="M68" s="25">
        <v>1328</v>
      </c>
      <c r="N68" s="10"/>
      <c r="O68" s="25">
        <v>1336</v>
      </c>
      <c r="P68" s="10"/>
      <c r="Q68" s="25">
        <v>1350</v>
      </c>
      <c r="R68" s="10"/>
      <c r="S68" s="25">
        <v>1355</v>
      </c>
      <c r="T68" s="10"/>
      <c r="U68" s="25">
        <v>1367</v>
      </c>
      <c r="V68" s="10"/>
      <c r="W68" s="25">
        <v>1371</v>
      </c>
      <c r="X68" s="10"/>
      <c r="Y68" s="25">
        <v>1382</v>
      </c>
      <c r="Z68" s="10"/>
      <c r="AA68" s="25">
        <v>1385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  <mergeCell ref="AA7:AB7"/>
  </mergeCells>
  <pageMargins left="0.69999999999999996" right="0.69999999999999996" top="0.75" bottom="0.75" header="0.29999999999999999" footer="0.29999999999999999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zoomScaleNormal="100"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197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78</v>
      </c>
      <c r="C8" s="22">
        <v>2</v>
      </c>
      <c r="D8" s="22"/>
      <c r="E8" s="22">
        <v>4</v>
      </c>
      <c r="F8" s="22"/>
      <c r="G8" s="22">
        <v>2.1000000000000001</v>
      </c>
      <c r="H8" s="22"/>
      <c r="I8" s="22">
        <v>0.69999999999999996</v>
      </c>
      <c r="J8" s="22"/>
      <c r="K8" s="22">
        <v>-1.1000000000000001</v>
      </c>
      <c r="L8" s="22"/>
      <c r="M8" s="22">
        <v>0.5</v>
      </c>
      <c r="N8" s="22"/>
      <c r="O8" s="22">
        <v>-0.20000000000000001</v>
      </c>
      <c r="P8" s="22"/>
      <c r="Q8" s="22">
        <v>1.3999999999999999</v>
      </c>
      <c r="R8" s="22"/>
      <c r="S8" s="22">
        <v>-0.5</v>
      </c>
      <c r="T8" s="22"/>
      <c r="U8" s="22">
        <v>1.8</v>
      </c>
      <c r="V8" s="22"/>
      <c r="W8" s="22">
        <v>1.6000000000000001</v>
      </c>
      <c r="X8" s="22"/>
      <c r="Y8" s="22">
        <v>1.8</v>
      </c>
      <c r="Z8" s="22"/>
      <c r="AA8" s="22">
        <v>-0.90000000000000002</v>
      </c>
      <c r="AB8" s="18"/>
    </row>
    <row r="9" ht="12" customHeight="1">
      <c r="A9" s="8" t="s">
        <v>79</v>
      </c>
      <c r="B9" s="8" t="s">
        <v>80</v>
      </c>
      <c r="C9" s="26">
        <v>-4.4000000000000004</v>
      </c>
      <c r="D9" s="8"/>
      <c r="E9" s="26">
        <v>9.6999999999999993</v>
      </c>
      <c r="F9" s="8"/>
      <c r="G9" s="26">
        <v>-0.59999999999999998</v>
      </c>
      <c r="H9" s="8"/>
      <c r="I9" s="26">
        <v>0.80000000000000004</v>
      </c>
      <c r="J9" s="8"/>
      <c r="K9" s="26">
        <v>-5.7999999999999998</v>
      </c>
      <c r="L9" s="8"/>
      <c r="M9" s="26">
        <v>-2</v>
      </c>
      <c r="N9" s="8"/>
      <c r="O9" s="26">
        <v>-7.4000000000000004</v>
      </c>
      <c r="P9" s="8"/>
      <c r="Q9" s="26">
        <v>4.9000000000000004</v>
      </c>
      <c r="R9" s="8"/>
      <c r="S9" s="26">
        <v>-4.5</v>
      </c>
      <c r="T9" s="8"/>
      <c r="U9" s="26">
        <v>1.5</v>
      </c>
      <c r="V9" s="8"/>
      <c r="W9" s="26">
        <v>2.8999999999999999</v>
      </c>
      <c r="X9" s="8"/>
      <c r="Y9" s="26">
        <v>8.3000000000000007</v>
      </c>
      <c r="Z9" s="8"/>
      <c r="AA9" s="26">
        <v>-8.1999999999999993</v>
      </c>
      <c r="AB9" s="8"/>
    </row>
    <row r="10" ht="12" customHeight="1">
      <c r="A10" s="8" t="s">
        <v>81</v>
      </c>
      <c r="B10" s="8" t="s">
        <v>82</v>
      </c>
      <c r="C10" s="26">
        <v>4.2000000000000002</v>
      </c>
      <c r="D10" s="8"/>
      <c r="E10" s="26">
        <v>1.6000000000000001</v>
      </c>
      <c r="F10" s="8"/>
      <c r="G10" s="26">
        <v>1.7</v>
      </c>
      <c r="H10" s="8"/>
      <c r="I10" s="26">
        <v>0.29999999999999999</v>
      </c>
      <c r="J10" s="8"/>
      <c r="K10" s="26">
        <v>-1.1000000000000001</v>
      </c>
      <c r="L10" s="8"/>
      <c r="M10" s="26">
        <v>-0.29999999999999999</v>
      </c>
      <c r="N10" s="8"/>
      <c r="O10" s="26">
        <v>0.40000000000000002</v>
      </c>
      <c r="P10" s="8"/>
      <c r="Q10" s="26">
        <v>1.2</v>
      </c>
      <c r="R10" s="8"/>
      <c r="S10" s="26">
        <v>0.69999999999999996</v>
      </c>
      <c r="T10" s="8"/>
      <c r="U10" s="26">
        <v>1.5</v>
      </c>
      <c r="V10" s="8"/>
      <c r="W10" s="26">
        <v>1.3</v>
      </c>
      <c r="X10" s="8"/>
      <c r="Y10" s="26">
        <v>3.6000000000000001</v>
      </c>
      <c r="Z10" s="8"/>
      <c r="AA10" s="26">
        <v>0.69999999999999996</v>
      </c>
      <c r="AB10" s="8"/>
    </row>
    <row r="11" ht="12" customHeight="1">
      <c r="A11" s="8" t="s">
        <v>83</v>
      </c>
      <c r="B11" s="8" t="s">
        <v>84</v>
      </c>
      <c r="C11" s="26">
        <v>3.5</v>
      </c>
      <c r="D11" s="8"/>
      <c r="E11" s="26">
        <v>4.4000000000000004</v>
      </c>
      <c r="F11" s="8"/>
      <c r="G11" s="26">
        <v>2.7000000000000002</v>
      </c>
      <c r="H11" s="8"/>
      <c r="I11" s="26">
        <v>0.20000000000000001</v>
      </c>
      <c r="J11" s="8"/>
      <c r="K11" s="26">
        <v>-0.80000000000000004</v>
      </c>
      <c r="L11" s="8"/>
      <c r="M11" s="26">
        <v>1.2</v>
      </c>
      <c r="N11" s="8"/>
      <c r="O11" s="26">
        <v>1</v>
      </c>
      <c r="P11" s="8"/>
      <c r="Q11" s="26">
        <v>0.90000000000000002</v>
      </c>
      <c r="R11" s="8"/>
      <c r="S11" s="26">
        <v>-0.40000000000000002</v>
      </c>
      <c r="T11" s="8"/>
      <c r="U11" s="26">
        <v>3</v>
      </c>
      <c r="V11" s="8"/>
      <c r="W11" s="26">
        <v>1.5</v>
      </c>
      <c r="X11" s="8"/>
      <c r="Y11" s="26">
        <v>0.40000000000000002</v>
      </c>
      <c r="Z11" s="8"/>
      <c r="AA11" s="26">
        <v>-0.29999999999999999</v>
      </c>
      <c r="AB11" s="8"/>
    </row>
    <row r="12" ht="12" customHeight="1">
      <c r="A12" s="8" t="s">
        <v>85</v>
      </c>
      <c r="B12" s="8" t="s">
        <v>86</v>
      </c>
      <c r="C12" s="26">
        <v>2.8999999999999999</v>
      </c>
      <c r="D12" s="8"/>
      <c r="E12" s="26">
        <v>2.3999999999999999</v>
      </c>
      <c r="F12" s="8"/>
      <c r="G12" s="26">
        <v>2.7000000000000002</v>
      </c>
      <c r="H12" s="8"/>
      <c r="I12" s="26">
        <v>0.80000000000000004</v>
      </c>
      <c r="J12" s="8"/>
      <c r="K12" s="26">
        <v>0</v>
      </c>
      <c r="L12" s="8"/>
      <c r="M12" s="26">
        <v>1.1000000000000001</v>
      </c>
      <c r="N12" s="8"/>
      <c r="O12" s="26">
        <v>2.2999999999999998</v>
      </c>
      <c r="P12" s="8"/>
      <c r="Q12" s="26">
        <v>0.69999999999999996</v>
      </c>
      <c r="R12" s="8"/>
      <c r="S12" s="26">
        <v>0</v>
      </c>
      <c r="T12" s="8"/>
      <c r="U12" s="26">
        <v>2.5</v>
      </c>
      <c r="V12" s="8"/>
      <c r="W12" s="26">
        <v>2.6000000000000001</v>
      </c>
      <c r="X12" s="8"/>
      <c r="Y12" s="26">
        <v>-0.80000000000000004</v>
      </c>
      <c r="Z12" s="8"/>
      <c r="AA12" s="26">
        <v>0.5</v>
      </c>
      <c r="AB12" s="8"/>
    </row>
    <row r="13" ht="12" customHeight="1">
      <c r="A13" s="8" t="s">
        <v>87</v>
      </c>
      <c r="B13" s="8" t="s">
        <v>88</v>
      </c>
      <c r="C13" s="26">
        <v>2.1000000000000001</v>
      </c>
      <c r="D13" s="8"/>
      <c r="E13" s="26">
        <v>1.8999999999999999</v>
      </c>
      <c r="F13" s="8"/>
      <c r="G13" s="26">
        <v>3</v>
      </c>
      <c r="H13" s="8"/>
      <c r="I13" s="26">
        <v>1.7</v>
      </c>
      <c r="J13" s="8"/>
      <c r="K13" s="26">
        <v>0.80000000000000004</v>
      </c>
      <c r="L13" s="8"/>
      <c r="M13" s="26">
        <v>1</v>
      </c>
      <c r="N13" s="8"/>
      <c r="O13" s="26">
        <v>1.3</v>
      </c>
      <c r="P13" s="8"/>
      <c r="Q13" s="26">
        <v>0.5</v>
      </c>
      <c r="R13" s="8"/>
      <c r="S13" s="26">
        <v>0.40000000000000002</v>
      </c>
      <c r="T13" s="8"/>
      <c r="U13" s="26">
        <v>0.29999999999999999</v>
      </c>
      <c r="V13" s="8"/>
      <c r="W13" s="26">
        <v>0.90000000000000002</v>
      </c>
      <c r="X13" s="8"/>
      <c r="Y13" s="26">
        <v>0.80000000000000004</v>
      </c>
      <c r="Z13" s="8"/>
      <c r="AA13" s="26">
        <v>0.5</v>
      </c>
      <c r="AB13" s="8"/>
    </row>
    <row r="14" ht="12" customHeight="1">
      <c r="A14" s="11" t="s">
        <v>89</v>
      </c>
      <c r="B14" s="8" t="s">
        <v>90</v>
      </c>
      <c r="C14" s="26">
        <v>0.69999999999999996</v>
      </c>
      <c r="D14" s="8"/>
      <c r="E14" s="26">
        <v>4.2999999999999998</v>
      </c>
      <c r="F14" s="8"/>
      <c r="G14" s="26">
        <v>1.1000000000000001</v>
      </c>
      <c r="H14" s="8"/>
      <c r="I14" s="26">
        <v>1.2</v>
      </c>
      <c r="J14" s="8"/>
      <c r="K14" s="26">
        <v>1.3999999999999999</v>
      </c>
      <c r="L14" s="8"/>
      <c r="M14" s="26">
        <v>3.6000000000000001</v>
      </c>
      <c r="N14" s="8"/>
      <c r="O14" s="26">
        <v>0.80000000000000004</v>
      </c>
      <c r="P14" s="8"/>
      <c r="Q14" s="26">
        <v>0.5</v>
      </c>
      <c r="R14" s="8"/>
      <c r="S14" s="26">
        <v>0.20000000000000001</v>
      </c>
      <c r="T14" s="8"/>
      <c r="U14" s="26">
        <v>1.8999999999999999</v>
      </c>
      <c r="V14" s="8"/>
      <c r="W14" s="26">
        <v>-0.20000000000000001</v>
      </c>
      <c r="X14" s="8"/>
      <c r="Y14" s="26">
        <v>0.40000000000000002</v>
      </c>
      <c r="Z14" s="8"/>
      <c r="AA14" s="26">
        <v>0</v>
      </c>
      <c r="AB14" s="8"/>
    </row>
    <row r="15" ht="12" customHeight="1">
      <c r="A15" s="8" t="s">
        <v>91</v>
      </c>
      <c r="B15" s="8" t="s">
        <v>92</v>
      </c>
      <c r="C15" s="26">
        <v>0.69999999999999996</v>
      </c>
      <c r="D15" s="8"/>
      <c r="E15" s="26">
        <v>1.6000000000000001</v>
      </c>
      <c r="F15" s="8"/>
      <c r="G15" s="26">
        <v>2.1000000000000001</v>
      </c>
      <c r="H15" s="8"/>
      <c r="I15" s="26">
        <v>1.7</v>
      </c>
      <c r="J15" s="8"/>
      <c r="K15" s="26">
        <v>0.10000000000000001</v>
      </c>
      <c r="L15" s="8"/>
      <c r="M15" s="26">
        <v>1</v>
      </c>
      <c r="N15" s="8"/>
      <c r="O15" s="26">
        <v>1.5</v>
      </c>
      <c r="P15" s="8"/>
      <c r="Q15" s="26">
        <v>0.69999999999999996</v>
      </c>
      <c r="R15" s="8"/>
      <c r="S15" s="26">
        <v>-0.40000000000000002</v>
      </c>
      <c r="T15" s="8"/>
      <c r="U15" s="26">
        <v>0.80000000000000004</v>
      </c>
      <c r="V15" s="8"/>
      <c r="W15" s="26">
        <v>-0.40000000000000002</v>
      </c>
      <c r="X15" s="8"/>
      <c r="Y15" s="26">
        <v>0.59999999999999998</v>
      </c>
      <c r="Z15" s="8"/>
      <c r="AA15" s="26">
        <v>-0.80000000000000004</v>
      </c>
      <c r="AB15" s="8"/>
    </row>
    <row r="16" ht="12" customHeight="1">
      <c r="A16" s="8" t="s">
        <v>93</v>
      </c>
      <c r="B16" s="8" t="s">
        <v>94</v>
      </c>
      <c r="C16" s="26">
        <v>0.69999999999999996</v>
      </c>
      <c r="D16" s="8"/>
      <c r="E16" s="26">
        <v>7.5999999999999996</v>
      </c>
      <c r="F16" s="8"/>
      <c r="G16" s="26">
        <v>0.10000000000000001</v>
      </c>
      <c r="H16" s="8"/>
      <c r="I16" s="26">
        <v>0.59999999999999998</v>
      </c>
      <c r="J16" s="8"/>
      <c r="K16" s="26">
        <v>2.8999999999999999</v>
      </c>
      <c r="L16" s="8"/>
      <c r="M16" s="26">
        <v>6.5</v>
      </c>
      <c r="N16" s="8"/>
      <c r="O16" s="26">
        <v>0</v>
      </c>
      <c r="P16" s="8"/>
      <c r="Q16" s="26">
        <v>0.29999999999999999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</row>
    <row r="17" ht="12" customHeight="1">
      <c r="A17" s="11" t="s">
        <v>95</v>
      </c>
      <c r="B17" s="8" t="s">
        <v>96</v>
      </c>
      <c r="C17" s="26">
        <v>1</v>
      </c>
      <c r="D17" s="8"/>
      <c r="E17" s="26">
        <v>-0.29999999999999999</v>
      </c>
      <c r="F17" s="8"/>
      <c r="G17" s="26">
        <v>3</v>
      </c>
      <c r="H17" s="8"/>
      <c r="I17" s="26">
        <v>0.20000000000000001</v>
      </c>
      <c r="J17" s="8"/>
      <c r="K17" s="26">
        <v>0.69999999999999996</v>
      </c>
      <c r="L17" s="8"/>
      <c r="M17" s="26">
        <v>0.10000000000000001</v>
      </c>
      <c r="N17" s="8"/>
      <c r="O17" s="26">
        <v>0.29999999999999999</v>
      </c>
      <c r="P17" s="8"/>
      <c r="Q17" s="26">
        <v>-0.29999999999999999</v>
      </c>
      <c r="R17" s="8"/>
      <c r="S17" s="26">
        <v>-0.90000000000000002</v>
      </c>
      <c r="T17" s="8"/>
      <c r="U17" s="26">
        <v>0.29999999999999999</v>
      </c>
      <c r="V17" s="8"/>
      <c r="W17" s="26">
        <v>0.10000000000000001</v>
      </c>
      <c r="X17" s="8"/>
      <c r="Y17" s="26">
        <v>0.5</v>
      </c>
      <c r="Z17" s="8"/>
      <c r="AA17" s="26">
        <v>0.80000000000000004</v>
      </c>
      <c r="AB17" s="8"/>
    </row>
    <row r="18" ht="12" customHeight="1">
      <c r="A18" s="8" t="s">
        <v>97</v>
      </c>
      <c r="B18" s="8" t="s">
        <v>98</v>
      </c>
      <c r="C18" s="26">
        <v>1.1000000000000001</v>
      </c>
      <c r="D18" s="8"/>
      <c r="E18" s="26">
        <v>-0.40000000000000002</v>
      </c>
      <c r="F18" s="8"/>
      <c r="G18" s="26">
        <v>3.3999999999999999</v>
      </c>
      <c r="H18" s="8"/>
      <c r="I18" s="26">
        <v>0.40000000000000002</v>
      </c>
      <c r="J18" s="8"/>
      <c r="K18" s="26">
        <v>0.90000000000000002</v>
      </c>
      <c r="L18" s="8"/>
      <c r="M18" s="26">
        <v>0.20000000000000001</v>
      </c>
      <c r="N18" s="8"/>
      <c r="O18" s="26">
        <v>-0.10000000000000001</v>
      </c>
      <c r="P18" s="8"/>
      <c r="Q18" s="26">
        <v>-0.20000000000000001</v>
      </c>
      <c r="R18" s="8"/>
      <c r="S18" s="26">
        <v>-1.1000000000000001</v>
      </c>
      <c r="T18" s="8"/>
      <c r="U18" s="26">
        <v>-0.20000000000000001</v>
      </c>
      <c r="V18" s="8"/>
      <c r="W18" s="26">
        <v>0.69999999999999996</v>
      </c>
      <c r="X18" s="8"/>
      <c r="Y18" s="26">
        <v>0.20000000000000001</v>
      </c>
      <c r="Z18" s="8"/>
      <c r="AA18" s="26">
        <v>1.1000000000000001</v>
      </c>
      <c r="AB18" s="8"/>
    </row>
    <row r="19" ht="12" customHeight="1">
      <c r="A19" s="8" t="s">
        <v>99</v>
      </c>
      <c r="B19" s="8" t="s">
        <v>100</v>
      </c>
      <c r="C19" s="26">
        <v>0.29999999999999999</v>
      </c>
      <c r="D19" s="8"/>
      <c r="E19" s="26">
        <v>0.69999999999999996</v>
      </c>
      <c r="F19" s="8"/>
      <c r="G19" s="26">
        <v>1.5</v>
      </c>
      <c r="H19" s="8"/>
      <c r="I19" s="26">
        <v>-0.69999999999999996</v>
      </c>
      <c r="J19" s="8"/>
      <c r="K19" s="26">
        <v>0.20000000000000001</v>
      </c>
      <c r="L19" s="8"/>
      <c r="M19" s="26">
        <v>-0.5</v>
      </c>
      <c r="N19" s="8"/>
      <c r="O19" s="26">
        <v>1.8</v>
      </c>
      <c r="P19" s="8"/>
      <c r="Q19" s="26">
        <v>-0.40000000000000002</v>
      </c>
      <c r="R19" s="8"/>
      <c r="S19" s="26">
        <v>-0.5</v>
      </c>
      <c r="T19" s="8"/>
      <c r="U19" s="26">
        <v>2.1000000000000001</v>
      </c>
      <c r="V19" s="8"/>
      <c r="W19" s="26">
        <v>-2.3999999999999999</v>
      </c>
      <c r="X19" s="8"/>
      <c r="Y19" s="26">
        <v>1.7</v>
      </c>
      <c r="Z19" s="8"/>
      <c r="AA19" s="26">
        <v>-0.29999999999999999</v>
      </c>
      <c r="AB19" s="8"/>
    </row>
    <row r="20" ht="12" customHeight="1">
      <c r="A20" s="11" t="s">
        <v>101</v>
      </c>
      <c r="B20" s="8" t="s">
        <v>102</v>
      </c>
      <c r="C20" s="26">
        <v>0.90000000000000002</v>
      </c>
      <c r="D20" s="8"/>
      <c r="E20" s="26">
        <v>1.2</v>
      </c>
      <c r="F20" s="8"/>
      <c r="G20" s="26">
        <v>1.3999999999999999</v>
      </c>
      <c r="H20" s="8"/>
      <c r="I20" s="26">
        <v>2.2999999999999998</v>
      </c>
      <c r="J20" s="8"/>
      <c r="K20" s="26">
        <v>1</v>
      </c>
      <c r="L20" s="8"/>
      <c r="M20" s="26">
        <v>0.69999999999999996</v>
      </c>
      <c r="N20" s="8"/>
      <c r="O20" s="26">
        <v>1.3</v>
      </c>
      <c r="P20" s="8"/>
      <c r="Q20" s="26">
        <v>3.1000000000000001</v>
      </c>
      <c r="R20" s="8"/>
      <c r="S20" s="26">
        <v>0.59999999999999998</v>
      </c>
      <c r="T20" s="8"/>
      <c r="U20" s="26">
        <v>0.90000000000000002</v>
      </c>
      <c r="V20" s="8"/>
      <c r="W20" s="26">
        <v>1.3</v>
      </c>
      <c r="X20" s="8"/>
      <c r="Y20" s="26">
        <v>2.3999999999999999</v>
      </c>
      <c r="Z20" s="8"/>
      <c r="AA20" s="26">
        <v>0.40000000000000002</v>
      </c>
      <c r="AB20" s="8"/>
    </row>
    <row r="21" ht="12" customHeight="1">
      <c r="A21" s="8" t="s">
        <v>103</v>
      </c>
      <c r="B21" s="8" t="s">
        <v>104</v>
      </c>
      <c r="C21" s="26">
        <v>1.1000000000000001</v>
      </c>
      <c r="D21" s="8"/>
      <c r="E21" s="26">
        <v>1.2</v>
      </c>
      <c r="F21" s="8"/>
      <c r="G21" s="26">
        <v>1.3</v>
      </c>
      <c r="H21" s="8"/>
      <c r="I21" s="26">
        <v>1.3</v>
      </c>
      <c r="J21" s="8"/>
      <c r="K21" s="26">
        <v>1.2</v>
      </c>
      <c r="L21" s="8"/>
      <c r="M21" s="26">
        <v>1.3</v>
      </c>
      <c r="N21" s="8"/>
      <c r="O21" s="26">
        <v>1.3</v>
      </c>
      <c r="P21" s="8"/>
      <c r="Q21" s="26">
        <v>1</v>
      </c>
      <c r="R21" s="8"/>
      <c r="S21" s="26">
        <v>0.80000000000000004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</row>
    <row r="22" ht="12" customHeight="1">
      <c r="A22" s="8" t="s">
        <v>105</v>
      </c>
      <c r="B22" s="8" t="s">
        <v>106</v>
      </c>
      <c r="C22" s="26">
        <v>1.1000000000000001</v>
      </c>
      <c r="D22" s="8"/>
      <c r="E22" s="26">
        <v>1.2</v>
      </c>
      <c r="F22" s="8"/>
      <c r="G22" s="26">
        <v>1.3</v>
      </c>
      <c r="H22" s="8"/>
      <c r="I22" s="26">
        <v>1.3</v>
      </c>
      <c r="J22" s="8"/>
      <c r="K22" s="26">
        <v>1.2</v>
      </c>
      <c r="L22" s="8"/>
      <c r="M22" s="26">
        <v>1.3</v>
      </c>
      <c r="N22" s="8"/>
      <c r="O22" s="26">
        <v>1.3</v>
      </c>
      <c r="P22" s="8"/>
      <c r="Q22" s="26">
        <v>1</v>
      </c>
      <c r="R22" s="8"/>
      <c r="S22" s="26">
        <v>0.80000000000000004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</row>
    <row r="23" ht="12" customHeight="1">
      <c r="A23" s="8" t="s">
        <v>107</v>
      </c>
      <c r="B23" s="8" t="s">
        <v>108</v>
      </c>
      <c r="C23" s="26">
        <v>1.5</v>
      </c>
      <c r="D23" s="8"/>
      <c r="E23" s="26">
        <v>-0.10000000000000001</v>
      </c>
      <c r="F23" s="8"/>
      <c r="G23" s="26">
        <v>2</v>
      </c>
      <c r="H23" s="8"/>
      <c r="I23" s="26">
        <v>0.59999999999999998</v>
      </c>
      <c r="J23" s="8"/>
      <c r="K23" s="26">
        <v>0.20000000000000001</v>
      </c>
      <c r="L23" s="8"/>
      <c r="M23" s="26">
        <v>0.10000000000000001</v>
      </c>
      <c r="N23" s="8"/>
      <c r="O23" s="26">
        <v>1.5</v>
      </c>
      <c r="P23" s="8"/>
      <c r="Q23" s="26">
        <v>0.90000000000000002</v>
      </c>
      <c r="R23" s="8"/>
      <c r="S23" s="26">
        <v>-0.20000000000000001</v>
      </c>
      <c r="T23" s="8"/>
      <c r="U23" s="26">
        <v>0.5</v>
      </c>
      <c r="V23" s="8"/>
      <c r="W23" s="26">
        <v>0.29999999999999999</v>
      </c>
      <c r="X23" s="8"/>
      <c r="Y23" s="26">
        <v>0.69999999999999996</v>
      </c>
      <c r="Z23" s="8"/>
      <c r="AA23" s="26">
        <v>0.80000000000000004</v>
      </c>
      <c r="AB23" s="8"/>
    </row>
    <row r="24" ht="12" customHeight="1">
      <c r="A24" s="8" t="s">
        <v>109</v>
      </c>
      <c r="B24" s="8" t="s">
        <v>110</v>
      </c>
      <c r="C24" s="26">
        <v>0</v>
      </c>
      <c r="D24" s="8"/>
      <c r="E24" s="26">
        <v>0</v>
      </c>
      <c r="F24" s="8"/>
      <c r="G24" s="26">
        <v>0.10000000000000001</v>
      </c>
      <c r="H24" s="8"/>
      <c r="I24" s="26">
        <v>9.5999999999999996</v>
      </c>
      <c r="J24" s="8"/>
      <c r="K24" s="26">
        <v>0</v>
      </c>
      <c r="L24" s="8"/>
      <c r="M24" s="26">
        <v>0</v>
      </c>
      <c r="N24" s="8"/>
      <c r="O24" s="26">
        <v>0.10000000000000001</v>
      </c>
      <c r="P24" s="8"/>
      <c r="Q24" s="26">
        <v>11.800000000000001</v>
      </c>
      <c r="R24" s="8"/>
      <c r="S24" s="26">
        <v>0.10000000000000001</v>
      </c>
      <c r="T24" s="8"/>
      <c r="U24" s="26">
        <v>0</v>
      </c>
      <c r="V24" s="8"/>
      <c r="W24" s="26">
        <v>0</v>
      </c>
      <c r="X24" s="8"/>
      <c r="Y24" s="26">
        <v>8.3000000000000007</v>
      </c>
      <c r="Z24" s="8"/>
      <c r="AA24" s="26">
        <v>0</v>
      </c>
      <c r="AB24" s="8"/>
    </row>
    <row r="25" ht="12" customHeight="1">
      <c r="A25" s="8" t="s">
        <v>111</v>
      </c>
      <c r="B25" s="8" t="s">
        <v>112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12.1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</row>
    <row r="26" ht="12" customHeight="1">
      <c r="A26" s="8" t="s">
        <v>113</v>
      </c>
      <c r="B26" s="8" t="s">
        <v>114</v>
      </c>
      <c r="C26" s="26">
        <v>1.1000000000000001</v>
      </c>
      <c r="D26" s="8"/>
      <c r="E26" s="26">
        <v>2.3999999999999999</v>
      </c>
      <c r="F26" s="8"/>
      <c r="G26" s="26">
        <v>2.7000000000000002</v>
      </c>
      <c r="H26" s="8"/>
      <c r="I26" s="26">
        <v>-1.2</v>
      </c>
      <c r="J26" s="8"/>
      <c r="K26" s="26">
        <v>1.8</v>
      </c>
      <c r="L26" s="8"/>
      <c r="M26" s="26">
        <v>0.29999999999999999</v>
      </c>
      <c r="N26" s="8"/>
      <c r="O26" s="26">
        <v>2.7999999999999998</v>
      </c>
      <c r="P26" s="8"/>
      <c r="Q26" s="26">
        <v>0.80000000000000004</v>
      </c>
      <c r="R26" s="8"/>
      <c r="S26" s="26">
        <v>0.80000000000000004</v>
      </c>
      <c r="T26" s="8"/>
      <c r="U26" s="26">
        <v>2.2999999999999998</v>
      </c>
      <c r="V26" s="8"/>
      <c r="W26" s="26">
        <v>4.7999999999999998</v>
      </c>
      <c r="X26" s="8"/>
      <c r="Y26" s="26">
        <v>2.8999999999999999</v>
      </c>
      <c r="Z26" s="8"/>
      <c r="AA26" s="26">
        <v>1.5</v>
      </c>
      <c r="AB26" s="8"/>
    </row>
    <row r="27" ht="12" customHeight="1">
      <c r="A27" s="8" t="s">
        <v>115</v>
      </c>
      <c r="B27" s="8" t="s">
        <v>116</v>
      </c>
      <c r="C27" s="26">
        <v>1</v>
      </c>
      <c r="D27" s="8"/>
      <c r="E27" s="26">
        <v>2.2999999999999998</v>
      </c>
      <c r="F27" s="8"/>
      <c r="G27" s="26">
        <v>2.6000000000000001</v>
      </c>
      <c r="H27" s="8"/>
      <c r="I27" s="26">
        <v>-1.7</v>
      </c>
      <c r="J27" s="8"/>
      <c r="K27" s="26">
        <v>1.8</v>
      </c>
      <c r="L27" s="8"/>
      <c r="M27" s="26">
        <v>0.29999999999999999</v>
      </c>
      <c r="N27" s="8"/>
      <c r="O27" s="26">
        <v>3</v>
      </c>
      <c r="P27" s="8"/>
      <c r="Q27" s="26">
        <v>0.59999999999999998</v>
      </c>
      <c r="R27" s="8"/>
      <c r="S27" s="26">
        <v>0.5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</row>
    <row r="28" ht="12" customHeight="1">
      <c r="A28" s="11" t="s">
        <v>117</v>
      </c>
      <c r="B28" s="8" t="s">
        <v>118</v>
      </c>
      <c r="C28" s="26">
        <v>3.3999999999999999</v>
      </c>
      <c r="D28" s="8"/>
      <c r="E28" s="26">
        <v>-0.59999999999999998</v>
      </c>
      <c r="F28" s="8"/>
      <c r="G28" s="26">
        <v>2.8999999999999999</v>
      </c>
      <c r="H28" s="8"/>
      <c r="I28" s="26">
        <v>-1.3999999999999999</v>
      </c>
      <c r="J28" s="8"/>
      <c r="K28" s="26">
        <v>0.5</v>
      </c>
      <c r="L28" s="8"/>
      <c r="M28" s="26">
        <v>-1.3</v>
      </c>
      <c r="N28" s="8"/>
      <c r="O28" s="26">
        <v>0.40000000000000002</v>
      </c>
      <c r="P28" s="8"/>
      <c r="Q28" s="26">
        <v>0.20000000000000001</v>
      </c>
      <c r="R28" s="8"/>
      <c r="S28" s="26">
        <v>-0.40000000000000002</v>
      </c>
      <c r="T28" s="8"/>
      <c r="U28" s="26">
        <v>-0.5</v>
      </c>
      <c r="V28" s="8"/>
      <c r="W28" s="26">
        <v>0.29999999999999999</v>
      </c>
      <c r="X28" s="8"/>
      <c r="Y28" s="26">
        <v>-0.90000000000000002</v>
      </c>
      <c r="Z28" s="8"/>
      <c r="AA28" s="26">
        <v>0.59999999999999998</v>
      </c>
      <c r="AB28" s="8"/>
    </row>
    <row r="29" ht="12" customHeight="1">
      <c r="A29" s="8" t="s">
        <v>119</v>
      </c>
      <c r="B29" s="8" t="s">
        <v>120</v>
      </c>
      <c r="C29" s="26">
        <v>5.5999999999999996</v>
      </c>
      <c r="D29" s="8"/>
      <c r="E29" s="26">
        <v>-3</v>
      </c>
      <c r="F29" s="8"/>
      <c r="G29" s="26">
        <v>2.8999999999999999</v>
      </c>
      <c r="H29" s="8"/>
      <c r="I29" s="26">
        <v>-1.8</v>
      </c>
      <c r="J29" s="8"/>
      <c r="K29" s="26">
        <v>-0.40000000000000002</v>
      </c>
      <c r="L29" s="8"/>
      <c r="M29" s="26">
        <v>-4.5999999999999996</v>
      </c>
      <c r="N29" s="8"/>
      <c r="O29" s="26">
        <v>0.59999999999999998</v>
      </c>
      <c r="P29" s="8"/>
      <c r="Q29" s="26">
        <v>2.6000000000000001</v>
      </c>
      <c r="R29" s="8"/>
      <c r="S29" s="26">
        <v>0.10000000000000001</v>
      </c>
      <c r="T29" s="8"/>
      <c r="U29" s="26">
        <v>-1.1000000000000001</v>
      </c>
      <c r="V29" s="8"/>
      <c r="W29" s="26">
        <v>-1.5</v>
      </c>
      <c r="X29" s="8"/>
      <c r="Y29" s="26">
        <v>-2.2999999999999998</v>
      </c>
      <c r="Z29" s="8"/>
      <c r="AA29" s="26">
        <v>4.4000000000000004</v>
      </c>
      <c r="AB29" s="8"/>
    </row>
    <row r="30" ht="12" customHeight="1">
      <c r="A30" s="8" t="s">
        <v>121</v>
      </c>
      <c r="B30" s="8" t="s">
        <v>122</v>
      </c>
      <c r="C30" s="26">
        <v>2.3999999999999999</v>
      </c>
      <c r="D30" s="8"/>
      <c r="E30" s="26">
        <v>1.8</v>
      </c>
      <c r="F30" s="8"/>
      <c r="G30" s="26">
        <v>0.40000000000000002</v>
      </c>
      <c r="H30" s="8"/>
      <c r="I30" s="26">
        <v>-3.1000000000000001</v>
      </c>
      <c r="J30" s="8"/>
      <c r="K30" s="26">
        <v>5.9000000000000004</v>
      </c>
      <c r="L30" s="8"/>
      <c r="M30" s="26">
        <v>-2.2999999999999998</v>
      </c>
      <c r="N30" s="8"/>
      <c r="O30" s="26">
        <v>8.9000000000000004</v>
      </c>
      <c r="P30" s="8"/>
      <c r="Q30" s="26">
        <v>-3.7000000000000002</v>
      </c>
      <c r="R30" s="8"/>
      <c r="S30" s="26">
        <v>-7</v>
      </c>
      <c r="T30" s="8"/>
      <c r="U30" s="26">
        <v>4.4000000000000004</v>
      </c>
      <c r="V30" s="8"/>
      <c r="W30" s="26">
        <v>3.7000000000000002</v>
      </c>
      <c r="X30" s="8"/>
      <c r="Y30" s="26">
        <v>-1</v>
      </c>
      <c r="Z30" s="8"/>
      <c r="AA30" s="26">
        <v>-2</v>
      </c>
      <c r="AB30" s="8"/>
    </row>
    <row r="31" ht="12" customHeight="1">
      <c r="A31" s="8" t="s">
        <v>123</v>
      </c>
      <c r="B31" s="8" t="s">
        <v>124</v>
      </c>
      <c r="C31" s="26">
        <v>1.1000000000000001</v>
      </c>
      <c r="D31" s="8"/>
      <c r="E31" s="26">
        <v>-1.2</v>
      </c>
      <c r="F31" s="8"/>
      <c r="G31" s="26">
        <v>3.7999999999999998</v>
      </c>
      <c r="H31" s="8"/>
      <c r="I31" s="26">
        <v>-1.6000000000000001</v>
      </c>
      <c r="J31" s="8"/>
      <c r="K31" s="26">
        <v>-0.59999999999999998</v>
      </c>
      <c r="L31" s="8"/>
      <c r="M31" s="26">
        <v>-1.3999999999999999</v>
      </c>
      <c r="N31" s="8"/>
      <c r="O31" s="26">
        <v>-0.59999999999999998</v>
      </c>
      <c r="P31" s="8"/>
      <c r="Q31" s="26">
        <v>-1.3</v>
      </c>
      <c r="R31" s="8"/>
      <c r="S31" s="26">
        <v>1.1000000000000001</v>
      </c>
      <c r="T31" s="8"/>
      <c r="U31" s="26">
        <v>-1.5</v>
      </c>
      <c r="V31" s="8"/>
      <c r="W31" s="26">
        <v>0.80000000000000004</v>
      </c>
      <c r="X31" s="8"/>
      <c r="Y31" s="26">
        <v>-0.5</v>
      </c>
      <c r="Z31" s="8"/>
      <c r="AA31" s="26">
        <v>0.10000000000000001</v>
      </c>
      <c r="AB31" s="8"/>
    </row>
    <row r="32" ht="12" customHeight="1">
      <c r="A32" s="8" t="s">
        <v>125</v>
      </c>
      <c r="B32" s="8" t="s">
        <v>126</v>
      </c>
      <c r="C32" s="26">
        <v>6.5999999999999996</v>
      </c>
      <c r="D32" s="8"/>
      <c r="E32" s="26">
        <v>-3.8999999999999999</v>
      </c>
      <c r="F32" s="8"/>
      <c r="G32" s="26">
        <v>3.2000000000000002</v>
      </c>
      <c r="H32" s="8"/>
      <c r="I32" s="26">
        <v>-2.2999999999999998</v>
      </c>
      <c r="J32" s="8"/>
      <c r="K32" s="26">
        <v>6.7999999999999998</v>
      </c>
      <c r="L32" s="8"/>
      <c r="M32" s="26">
        <v>0.80000000000000004</v>
      </c>
      <c r="N32" s="8"/>
      <c r="O32" s="26">
        <v>-1.2</v>
      </c>
      <c r="P32" s="8"/>
      <c r="Q32" s="26">
        <v>-2.7999999999999998</v>
      </c>
      <c r="R32" s="8"/>
      <c r="S32" s="26">
        <v>1.5</v>
      </c>
      <c r="T32" s="8"/>
      <c r="U32" s="26">
        <v>1.8</v>
      </c>
      <c r="V32" s="8"/>
      <c r="W32" s="26">
        <v>-1.3</v>
      </c>
      <c r="X32" s="8"/>
      <c r="Y32" s="26">
        <v>-0.90000000000000002</v>
      </c>
      <c r="Z32" s="8"/>
      <c r="AA32" s="26">
        <v>-2.2999999999999998</v>
      </c>
      <c r="AB32" s="8"/>
    </row>
    <row r="33" ht="12" customHeight="1">
      <c r="A33" s="8" t="s">
        <v>127</v>
      </c>
      <c r="B33" s="8" t="s">
        <v>128</v>
      </c>
      <c r="C33" s="26">
        <v>2.1000000000000001</v>
      </c>
      <c r="D33" s="8"/>
      <c r="E33" s="26">
        <v>0.40000000000000002</v>
      </c>
      <c r="F33" s="8"/>
      <c r="G33" s="26">
        <v>3.7000000000000002</v>
      </c>
      <c r="H33" s="8"/>
      <c r="I33" s="26">
        <v>0.10000000000000001</v>
      </c>
      <c r="J33" s="8"/>
      <c r="K33" s="26">
        <v>-0.29999999999999999</v>
      </c>
      <c r="L33" s="8"/>
      <c r="M33" s="26">
        <v>0.90000000000000002</v>
      </c>
      <c r="N33" s="8"/>
      <c r="O33" s="26">
        <v>-3.6000000000000001</v>
      </c>
      <c r="P33" s="8"/>
      <c r="Q33" s="26">
        <v>-0.29999999999999999</v>
      </c>
      <c r="R33" s="8"/>
      <c r="S33" s="26">
        <v>0</v>
      </c>
      <c r="T33" s="8"/>
      <c r="U33" s="26">
        <v>-1</v>
      </c>
      <c r="V33" s="8"/>
      <c r="W33" s="26">
        <v>0.29999999999999999</v>
      </c>
      <c r="X33" s="8"/>
      <c r="Y33" s="26">
        <v>-0.10000000000000001</v>
      </c>
      <c r="Z33" s="8"/>
      <c r="AA33" s="26">
        <v>-2</v>
      </c>
      <c r="AB33" s="8"/>
    </row>
    <row r="34" ht="12" customHeight="1">
      <c r="A34" s="8" t="s">
        <v>129</v>
      </c>
      <c r="B34" s="8" t="s">
        <v>130</v>
      </c>
      <c r="C34" s="26">
        <v>3.1000000000000001</v>
      </c>
      <c r="D34" s="8"/>
      <c r="E34" s="26">
        <v>2</v>
      </c>
      <c r="F34" s="8"/>
      <c r="G34" s="26">
        <v>2.5</v>
      </c>
      <c r="H34" s="8"/>
      <c r="I34" s="26">
        <v>-0.69999999999999996</v>
      </c>
      <c r="J34" s="8"/>
      <c r="K34" s="26">
        <v>-0.5</v>
      </c>
      <c r="L34" s="8"/>
      <c r="M34" s="26">
        <v>0.59999999999999998</v>
      </c>
      <c r="N34" s="8"/>
      <c r="O34" s="26">
        <v>0.5</v>
      </c>
      <c r="P34" s="8"/>
      <c r="Q34" s="26">
        <v>1.6000000000000001</v>
      </c>
      <c r="R34" s="8"/>
      <c r="S34" s="26">
        <v>-0.59999999999999998</v>
      </c>
      <c r="T34" s="8"/>
      <c r="U34" s="26">
        <v>-1</v>
      </c>
      <c r="V34" s="8"/>
      <c r="W34" s="26">
        <v>1.5</v>
      </c>
      <c r="X34" s="8"/>
      <c r="Y34" s="26">
        <v>-0.40000000000000002</v>
      </c>
      <c r="Z34" s="8"/>
      <c r="AA34" s="26">
        <v>-0.20000000000000001</v>
      </c>
      <c r="AB34" s="8"/>
    </row>
    <row r="35" ht="12" customHeight="1">
      <c r="A35" s="11" t="s">
        <v>131</v>
      </c>
      <c r="B35" s="8" t="s">
        <v>132</v>
      </c>
      <c r="C35" s="26">
        <v>1.6000000000000001</v>
      </c>
      <c r="D35" s="8"/>
      <c r="E35" s="26">
        <v>0.59999999999999998</v>
      </c>
      <c r="F35" s="8"/>
      <c r="G35" s="26">
        <v>1.3999999999999999</v>
      </c>
      <c r="H35" s="8"/>
      <c r="I35" s="26">
        <v>-2.6000000000000001</v>
      </c>
      <c r="J35" s="8"/>
      <c r="K35" s="26">
        <v>2</v>
      </c>
      <c r="L35" s="8"/>
      <c r="M35" s="26">
        <v>1.8</v>
      </c>
      <c r="N35" s="8"/>
      <c r="O35" s="26">
        <v>0.29999999999999999</v>
      </c>
      <c r="P35" s="8"/>
      <c r="Q35" s="26">
        <v>5.0999999999999996</v>
      </c>
      <c r="R35" s="8"/>
      <c r="S35" s="26">
        <v>-0.59999999999999998</v>
      </c>
      <c r="T35" s="8"/>
      <c r="U35" s="26">
        <v>0.40000000000000002</v>
      </c>
      <c r="V35" s="8"/>
      <c r="W35" s="26">
        <v>0</v>
      </c>
      <c r="X35" s="8"/>
      <c r="Y35" s="26">
        <v>0.20000000000000001</v>
      </c>
      <c r="Z35" s="8"/>
      <c r="AA35" s="26">
        <v>-0.29999999999999999</v>
      </c>
      <c r="AB35" s="8"/>
    </row>
    <row r="36" ht="12" customHeight="1">
      <c r="A36" s="8" t="s">
        <v>133</v>
      </c>
      <c r="B36" s="8" t="s">
        <v>134</v>
      </c>
      <c r="C36" s="26">
        <v>1.6000000000000001</v>
      </c>
      <c r="D36" s="8"/>
      <c r="E36" s="26">
        <v>0.29999999999999999</v>
      </c>
      <c r="F36" s="8"/>
      <c r="G36" s="26">
        <v>1.3</v>
      </c>
      <c r="H36" s="8"/>
      <c r="I36" s="26">
        <v>-11.5</v>
      </c>
      <c r="J36" s="8"/>
      <c r="K36" s="26">
        <v>0.29999999999999999</v>
      </c>
      <c r="L36" s="8"/>
      <c r="M36" s="26">
        <v>-0.40000000000000002</v>
      </c>
      <c r="N36" s="8"/>
      <c r="O36" s="26">
        <v>0.40000000000000002</v>
      </c>
      <c r="P36" s="8"/>
      <c r="Q36" s="26">
        <v>15.4</v>
      </c>
      <c r="R36" s="8"/>
      <c r="S36" s="26">
        <v>-4.5999999999999996</v>
      </c>
      <c r="T36" s="8"/>
      <c r="U36" s="26">
        <v>0.20000000000000001</v>
      </c>
      <c r="V36" s="8"/>
      <c r="W36" s="26">
        <v>-0.59999999999999998</v>
      </c>
      <c r="X36" s="8"/>
      <c r="Y36" s="26">
        <v>-2.8999999999999999</v>
      </c>
      <c r="Z36" s="8"/>
      <c r="AA36" s="26">
        <v>-2.7000000000000002</v>
      </c>
      <c r="AB36" s="8"/>
    </row>
    <row r="37" ht="12" customHeight="1">
      <c r="A37" s="8" t="s">
        <v>135</v>
      </c>
      <c r="B37" s="8" t="s">
        <v>136</v>
      </c>
      <c r="C37" s="26">
        <v>1.6000000000000001</v>
      </c>
      <c r="D37" s="8"/>
      <c r="E37" s="26">
        <v>0.59999999999999998</v>
      </c>
      <c r="F37" s="8"/>
      <c r="G37" s="26">
        <v>1.3</v>
      </c>
      <c r="H37" s="8"/>
      <c r="I37" s="26">
        <v>1.2</v>
      </c>
      <c r="J37" s="8"/>
      <c r="K37" s="26">
        <v>2.3999999999999999</v>
      </c>
      <c r="L37" s="8"/>
      <c r="M37" s="26">
        <v>2.6000000000000001</v>
      </c>
      <c r="N37" s="8"/>
      <c r="O37" s="26">
        <v>0.20000000000000001</v>
      </c>
      <c r="P37" s="8"/>
      <c r="Q37" s="26">
        <v>1</v>
      </c>
      <c r="R37" s="8"/>
      <c r="S37" s="26">
        <v>1.1000000000000001</v>
      </c>
      <c r="T37" s="8"/>
      <c r="U37" s="26">
        <v>0.40000000000000002</v>
      </c>
      <c r="V37" s="8"/>
      <c r="W37" s="26">
        <v>0.40000000000000002</v>
      </c>
      <c r="X37" s="8"/>
      <c r="Y37" s="26">
        <v>1.7</v>
      </c>
      <c r="Z37" s="8"/>
      <c r="AA37" s="26">
        <v>0.90000000000000002</v>
      </c>
      <c r="AB37" s="8"/>
    </row>
    <row r="38" ht="12" customHeight="1">
      <c r="A38" s="8" t="s">
        <v>137</v>
      </c>
      <c r="B38" s="8" t="s">
        <v>138</v>
      </c>
      <c r="C38" s="26">
        <v>1.3</v>
      </c>
      <c r="D38" s="8"/>
      <c r="E38" s="26">
        <v>1.8</v>
      </c>
      <c r="F38" s="8"/>
      <c r="G38" s="26">
        <v>2.5</v>
      </c>
      <c r="H38" s="8"/>
      <c r="I38" s="26">
        <v>3.7000000000000002</v>
      </c>
      <c r="J38" s="8"/>
      <c r="K38" s="26">
        <v>4.5999999999999996</v>
      </c>
      <c r="L38" s="8"/>
      <c r="M38" s="26">
        <v>2.1000000000000001</v>
      </c>
      <c r="N38" s="8"/>
      <c r="O38" s="26">
        <v>0.80000000000000004</v>
      </c>
      <c r="P38" s="8"/>
      <c r="Q38" s="26">
        <v>6.7999999999999998</v>
      </c>
      <c r="R38" s="8"/>
      <c r="S38" s="26">
        <v>1.1000000000000001</v>
      </c>
      <c r="T38" s="8"/>
      <c r="U38" s="26">
        <v>0.10000000000000001</v>
      </c>
      <c r="V38" s="8"/>
      <c r="W38" s="26">
        <v>0.90000000000000002</v>
      </c>
      <c r="X38" s="8"/>
      <c r="Y38" s="26">
        <v>1.3999999999999999</v>
      </c>
      <c r="Z38" s="8"/>
      <c r="AA38" s="26">
        <v>1</v>
      </c>
      <c r="AB38" s="8"/>
    </row>
    <row r="39" ht="12" customHeight="1">
      <c r="A39" s="11" t="s">
        <v>139</v>
      </c>
      <c r="B39" s="8" t="s">
        <v>140</v>
      </c>
      <c r="C39" s="26">
        <v>-0.29999999999999999</v>
      </c>
      <c r="D39" s="8"/>
      <c r="E39" s="26">
        <v>-1.3999999999999999</v>
      </c>
      <c r="F39" s="8"/>
      <c r="G39" s="26">
        <v>-1.7</v>
      </c>
      <c r="H39" s="8"/>
      <c r="I39" s="26">
        <v>8.1999999999999993</v>
      </c>
      <c r="J39" s="8"/>
      <c r="K39" s="26">
        <v>-0.20000000000000001</v>
      </c>
      <c r="L39" s="8"/>
      <c r="M39" s="26">
        <v>-2.1000000000000001</v>
      </c>
      <c r="N39" s="8"/>
      <c r="O39" s="26">
        <v>-0.10000000000000001</v>
      </c>
      <c r="P39" s="8"/>
      <c r="Q39" s="26">
        <v>-2.6000000000000001</v>
      </c>
      <c r="R39" s="8"/>
      <c r="S39" s="26">
        <v>1</v>
      </c>
      <c r="T39" s="8"/>
      <c r="U39" s="26">
        <v>1.3</v>
      </c>
      <c r="V39" s="8"/>
      <c r="W39" s="26">
        <v>-1.3</v>
      </c>
      <c r="X39" s="8"/>
      <c r="Y39" s="26">
        <v>0.5</v>
      </c>
      <c r="Z39" s="8"/>
      <c r="AA39" s="26">
        <v>2.2000000000000002</v>
      </c>
      <c r="AB39" s="8"/>
    </row>
    <row r="40" ht="12" customHeight="1">
      <c r="A40" s="8" t="s">
        <v>141</v>
      </c>
      <c r="B40" s="8" t="s">
        <v>142</v>
      </c>
      <c r="C40" s="26">
        <v>0.10000000000000001</v>
      </c>
      <c r="D40" s="8"/>
      <c r="E40" s="26">
        <v>1</v>
      </c>
      <c r="F40" s="8"/>
      <c r="G40" s="26">
        <v>1.2</v>
      </c>
      <c r="H40" s="8"/>
      <c r="I40" s="26">
        <v>2.6000000000000001</v>
      </c>
      <c r="J40" s="8"/>
      <c r="K40" s="26">
        <v>-2.2000000000000002</v>
      </c>
      <c r="L40" s="8"/>
      <c r="M40" s="26">
        <v>-1.2</v>
      </c>
      <c r="N40" s="8"/>
      <c r="O40" s="26">
        <v>-2.7000000000000002</v>
      </c>
      <c r="P40" s="8"/>
      <c r="Q40" s="26">
        <v>-2</v>
      </c>
      <c r="R40" s="8"/>
      <c r="S40" s="26">
        <v>2.1000000000000001</v>
      </c>
      <c r="T40" s="8"/>
      <c r="U40" s="26">
        <v>0.29999999999999999</v>
      </c>
      <c r="V40" s="8"/>
      <c r="W40" s="26">
        <v>0.80000000000000004</v>
      </c>
      <c r="X40" s="8"/>
      <c r="Y40" s="26">
        <v>-0.10000000000000001</v>
      </c>
      <c r="Z40" s="8"/>
      <c r="AA40" s="26">
        <v>0.29999999999999999</v>
      </c>
      <c r="AB40" s="8"/>
    </row>
    <row r="41" ht="12" customHeight="1">
      <c r="A41" s="8" t="s">
        <v>143</v>
      </c>
      <c r="B41" s="8" t="s">
        <v>144</v>
      </c>
      <c r="C41" s="26">
        <v>-4.4000000000000004</v>
      </c>
      <c r="D41" s="8"/>
      <c r="E41" s="26">
        <v>-2</v>
      </c>
      <c r="F41" s="8"/>
      <c r="G41" s="26">
        <v>-1.2</v>
      </c>
      <c r="H41" s="8"/>
      <c r="I41" s="26">
        <v>12</v>
      </c>
      <c r="J41" s="8"/>
      <c r="K41" s="26">
        <v>0.5</v>
      </c>
      <c r="L41" s="8"/>
      <c r="M41" s="26">
        <v>-1.5</v>
      </c>
      <c r="N41" s="8"/>
      <c r="O41" s="26">
        <v>1.8999999999999999</v>
      </c>
      <c r="P41" s="8"/>
      <c r="Q41" s="26">
        <v>-4.2000000000000002</v>
      </c>
      <c r="R41" s="8"/>
      <c r="S41" s="26">
        <v>-0.90000000000000002</v>
      </c>
      <c r="T41" s="8"/>
      <c r="U41" s="26">
        <v>3.2000000000000002</v>
      </c>
      <c r="V41" s="8"/>
      <c r="W41" s="26">
        <v>-1.7</v>
      </c>
      <c r="X41" s="8"/>
      <c r="Y41" s="26">
        <v>0.40000000000000002</v>
      </c>
      <c r="Z41" s="8"/>
      <c r="AA41" s="26">
        <v>1.7</v>
      </c>
      <c r="AB41" s="8"/>
    </row>
    <row r="42" ht="12" customHeight="1">
      <c r="A42" s="8" t="s">
        <v>145</v>
      </c>
      <c r="B42" s="8" t="s">
        <v>146</v>
      </c>
      <c r="C42" s="26">
        <v>-7.0999999999999996</v>
      </c>
      <c r="D42" s="8"/>
      <c r="E42" s="26">
        <v>-2.5</v>
      </c>
      <c r="F42" s="8"/>
      <c r="G42" s="26">
        <v>-1.5</v>
      </c>
      <c r="H42" s="8"/>
      <c r="I42" s="26">
        <v>16.5</v>
      </c>
      <c r="J42" s="8"/>
      <c r="K42" s="26">
        <v>0.10000000000000001</v>
      </c>
      <c r="L42" s="8"/>
      <c r="M42" s="26">
        <v>-2.2999999999999998</v>
      </c>
      <c r="N42" s="8"/>
      <c r="O42" s="26">
        <v>0.69999999999999996</v>
      </c>
      <c r="P42" s="8"/>
      <c r="Q42" s="26">
        <v>-6.4000000000000004</v>
      </c>
      <c r="R42" s="8"/>
      <c r="S42" s="26">
        <v>-1.3999999999999999</v>
      </c>
      <c r="T42" s="8"/>
      <c r="U42" s="26">
        <v>4.5999999999999996</v>
      </c>
      <c r="V42" s="8"/>
      <c r="W42" s="26">
        <v>-4.7000000000000002</v>
      </c>
      <c r="X42" s="8"/>
      <c r="Y42" s="26">
        <v>0.10000000000000001</v>
      </c>
      <c r="Z42" s="8"/>
      <c r="AA42" s="26">
        <v>2.5</v>
      </c>
      <c r="AB42" s="8"/>
    </row>
    <row r="43" ht="12" customHeight="1">
      <c r="A43" s="8" t="s">
        <v>147</v>
      </c>
      <c r="B43" s="8" t="s">
        <v>148</v>
      </c>
      <c r="C43" s="26">
        <v>13.9</v>
      </c>
      <c r="D43" s="8"/>
      <c r="E43" s="26">
        <v>-2.7000000000000002</v>
      </c>
      <c r="F43" s="8"/>
      <c r="G43" s="26">
        <v>-7.2000000000000002</v>
      </c>
      <c r="H43" s="8"/>
      <c r="I43" s="26">
        <v>4.0999999999999996</v>
      </c>
      <c r="J43" s="8"/>
      <c r="K43" s="26">
        <v>-0.20000000000000001</v>
      </c>
      <c r="L43" s="8"/>
      <c r="M43" s="26">
        <v>-5.2000000000000002</v>
      </c>
      <c r="N43" s="8"/>
      <c r="O43" s="26">
        <v>-3.3999999999999999</v>
      </c>
      <c r="P43" s="8"/>
      <c r="Q43" s="26">
        <v>2.7000000000000002</v>
      </c>
      <c r="R43" s="8"/>
      <c r="S43" s="26">
        <v>5.9000000000000004</v>
      </c>
      <c r="T43" s="8"/>
      <c r="U43" s="26">
        <v>-3.3999999999999999</v>
      </c>
      <c r="V43" s="8"/>
      <c r="W43" s="26">
        <v>-2.1000000000000001</v>
      </c>
      <c r="X43" s="8"/>
      <c r="Y43" s="26">
        <v>1.6000000000000001</v>
      </c>
      <c r="Z43" s="8"/>
      <c r="AA43" s="26">
        <v>5.5999999999999996</v>
      </c>
      <c r="AB43" s="8"/>
    </row>
    <row r="44" ht="12" customHeight="1">
      <c r="A44" s="11" t="s">
        <v>149</v>
      </c>
      <c r="B44" s="8" t="s">
        <v>150</v>
      </c>
      <c r="C44" s="26">
        <v>0.10000000000000001</v>
      </c>
      <c r="D44" s="8"/>
      <c r="E44" s="26">
        <v>0.40000000000000002</v>
      </c>
      <c r="F44" s="8"/>
      <c r="G44" s="26">
        <v>0.40000000000000002</v>
      </c>
      <c r="H44" s="8"/>
      <c r="I44" s="26">
        <v>1.5</v>
      </c>
      <c r="J44" s="8"/>
      <c r="K44" s="26">
        <v>1.8</v>
      </c>
      <c r="L44" s="8"/>
      <c r="M44" s="26">
        <v>0.5</v>
      </c>
      <c r="N44" s="8"/>
      <c r="O44" s="26">
        <v>0.90000000000000002</v>
      </c>
      <c r="P44" s="8"/>
      <c r="Q44" s="26">
        <v>0.59999999999999998</v>
      </c>
      <c r="R44" s="8"/>
      <c r="S44" s="26">
        <v>2.2000000000000002</v>
      </c>
      <c r="T44" s="8"/>
      <c r="U44" s="26">
        <v>0.5</v>
      </c>
      <c r="V44" s="8"/>
      <c r="W44" s="26">
        <v>0.10000000000000001</v>
      </c>
      <c r="X44" s="8"/>
      <c r="Y44" s="26">
        <v>0.59999999999999998</v>
      </c>
      <c r="Z44" s="8"/>
      <c r="AA44" s="26">
        <v>3.7000000000000002</v>
      </c>
      <c r="AB44" s="8"/>
    </row>
    <row r="45" ht="12" customHeight="1">
      <c r="A45" s="8" t="s">
        <v>151</v>
      </c>
      <c r="B45" s="8" t="s">
        <v>152</v>
      </c>
      <c r="C45" s="26">
        <v>1.3999999999999999</v>
      </c>
      <c r="D45" s="8"/>
      <c r="E45" s="26">
        <v>1</v>
      </c>
      <c r="F45" s="8"/>
      <c r="G45" s="26">
        <v>-1.1000000000000001</v>
      </c>
      <c r="H45" s="8"/>
      <c r="I45" s="26">
        <v>6.5</v>
      </c>
      <c r="J45" s="8"/>
      <c r="K45" s="26">
        <v>1.5</v>
      </c>
      <c r="L45" s="8"/>
      <c r="M45" s="26">
        <v>-2.1000000000000001</v>
      </c>
      <c r="N45" s="8"/>
      <c r="O45" s="26">
        <v>-0.29999999999999999</v>
      </c>
      <c r="P45" s="8"/>
      <c r="Q45" s="26">
        <v>2.2000000000000002</v>
      </c>
      <c r="R45" s="8"/>
      <c r="S45" s="26">
        <v>0.20000000000000001</v>
      </c>
      <c r="T45" s="8"/>
      <c r="U45" s="26">
        <v>-0.40000000000000002</v>
      </c>
      <c r="V45" s="8"/>
      <c r="W45" s="26">
        <v>0.90000000000000002</v>
      </c>
      <c r="X45" s="8"/>
      <c r="Y45" s="26">
        <v>7.5</v>
      </c>
      <c r="Z45" s="8"/>
      <c r="AA45" s="26">
        <v>0.29999999999999999</v>
      </c>
      <c r="AB45" s="8"/>
    </row>
    <row r="46" ht="12" customHeight="1">
      <c r="A46" s="8" t="s">
        <v>153</v>
      </c>
      <c r="B46" s="8" t="s">
        <v>154</v>
      </c>
      <c r="C46" s="26">
        <v>-0.29999999999999999</v>
      </c>
      <c r="D46" s="8"/>
      <c r="E46" s="26">
        <v>1.7</v>
      </c>
      <c r="F46" s="8"/>
      <c r="G46" s="26">
        <v>-10</v>
      </c>
      <c r="H46" s="8"/>
      <c r="I46" s="26">
        <v>-6.2999999999999998</v>
      </c>
      <c r="J46" s="8"/>
      <c r="K46" s="26">
        <v>15.699999999999999</v>
      </c>
      <c r="L46" s="8"/>
      <c r="M46" s="26">
        <v>-3.1000000000000001</v>
      </c>
      <c r="N46" s="8"/>
      <c r="O46" s="26">
        <v>8.4000000000000004</v>
      </c>
      <c r="P46" s="8"/>
      <c r="Q46" s="26">
        <v>-15.199999999999999</v>
      </c>
      <c r="R46" s="8"/>
      <c r="S46" s="26">
        <v>0</v>
      </c>
      <c r="T46" s="8"/>
      <c r="U46" s="26">
        <v>-5.2999999999999998</v>
      </c>
      <c r="V46" s="8"/>
      <c r="W46" s="26">
        <v>-6.9000000000000004</v>
      </c>
      <c r="X46" s="8"/>
      <c r="Y46" s="26">
        <v>-3.8999999999999999</v>
      </c>
      <c r="Z46" s="8"/>
      <c r="AA46" s="26">
        <v>11.699999999999999</v>
      </c>
      <c r="AB46" s="8"/>
    </row>
    <row r="47" ht="12" customHeight="1">
      <c r="A47" s="8" t="s">
        <v>155</v>
      </c>
      <c r="B47" s="8" t="s">
        <v>156</v>
      </c>
      <c r="C47" s="26">
        <v>0.20000000000000001</v>
      </c>
      <c r="D47" s="8"/>
      <c r="E47" s="26">
        <v>0.20000000000000001</v>
      </c>
      <c r="F47" s="8"/>
      <c r="G47" s="26">
        <v>1</v>
      </c>
      <c r="H47" s="8"/>
      <c r="I47" s="26">
        <v>1.5</v>
      </c>
      <c r="J47" s="8"/>
      <c r="K47" s="26">
        <v>1.3</v>
      </c>
      <c r="L47" s="8"/>
      <c r="M47" s="26">
        <v>0.90000000000000002</v>
      </c>
      <c r="N47" s="8"/>
      <c r="O47" s="26">
        <v>0.40000000000000002</v>
      </c>
      <c r="P47" s="8"/>
      <c r="Q47" s="26">
        <v>1.3999999999999999</v>
      </c>
      <c r="R47" s="8"/>
      <c r="S47" s="26">
        <v>2.3999999999999999</v>
      </c>
      <c r="T47" s="8"/>
      <c r="U47" s="26">
        <v>1.6000000000000001</v>
      </c>
      <c r="V47" s="8"/>
      <c r="W47" s="26">
        <v>1.3999999999999999</v>
      </c>
      <c r="X47" s="8"/>
      <c r="Y47" s="26">
        <v>1</v>
      </c>
      <c r="Z47" s="8"/>
      <c r="AA47" s="26">
        <v>2.7999999999999998</v>
      </c>
      <c r="AB47" s="8"/>
    </row>
    <row r="48" ht="12" customHeight="1">
      <c r="A48" s="11" t="s">
        <v>157</v>
      </c>
      <c r="B48" s="8" t="s">
        <v>158</v>
      </c>
      <c r="C48" s="26">
        <v>3.3999999999999999</v>
      </c>
      <c r="D48" s="8"/>
      <c r="E48" s="26">
        <v>0.90000000000000002</v>
      </c>
      <c r="F48" s="8"/>
      <c r="G48" s="26">
        <v>0.90000000000000002</v>
      </c>
      <c r="H48" s="8"/>
      <c r="I48" s="26">
        <v>1.1000000000000001</v>
      </c>
      <c r="J48" s="8"/>
      <c r="K48" s="26">
        <v>1.5</v>
      </c>
      <c r="L48" s="8"/>
      <c r="M48" s="26">
        <v>2.1000000000000001</v>
      </c>
      <c r="N48" s="8"/>
      <c r="O48" s="26">
        <v>-1.6000000000000001</v>
      </c>
      <c r="P48" s="8"/>
      <c r="Q48" s="26">
        <v>0.40000000000000002</v>
      </c>
      <c r="R48" s="8"/>
      <c r="S48" s="26">
        <v>2</v>
      </c>
      <c r="T48" s="8"/>
      <c r="U48" s="26">
        <v>-0.29999999999999999</v>
      </c>
      <c r="V48" s="8"/>
      <c r="W48" s="26">
        <v>0.59999999999999998</v>
      </c>
      <c r="X48" s="8"/>
      <c r="Y48" s="26">
        <v>0.80000000000000004</v>
      </c>
      <c r="Z48" s="8"/>
      <c r="AA48" s="26">
        <v>1.5</v>
      </c>
      <c r="AB48" s="8"/>
    </row>
    <row r="49" ht="12" customHeight="1">
      <c r="A49" s="8" t="s">
        <v>159</v>
      </c>
      <c r="B49" s="8" t="s">
        <v>160</v>
      </c>
      <c r="C49" s="26">
        <v>5.5999999999999996</v>
      </c>
      <c r="D49" s="8"/>
      <c r="E49" s="26">
        <v>-4.5</v>
      </c>
      <c r="F49" s="8"/>
      <c r="G49" s="26">
        <v>-13.300000000000001</v>
      </c>
      <c r="H49" s="8"/>
      <c r="I49" s="26">
        <v>3</v>
      </c>
      <c r="J49" s="8"/>
      <c r="K49" s="26">
        <v>7.2999999999999998</v>
      </c>
      <c r="L49" s="8"/>
      <c r="M49" s="26">
        <v>-8.3000000000000007</v>
      </c>
      <c r="N49" s="8"/>
      <c r="O49" s="26">
        <v>-7.7000000000000002</v>
      </c>
      <c r="P49" s="8"/>
      <c r="Q49" s="26">
        <v>3.7000000000000002</v>
      </c>
      <c r="R49" s="8"/>
      <c r="S49" s="26">
        <v>5.7999999999999998</v>
      </c>
      <c r="T49" s="8"/>
      <c r="U49" s="26">
        <v>-6.7999999999999998</v>
      </c>
      <c r="V49" s="8"/>
      <c r="W49" s="26">
        <v>-12.6</v>
      </c>
      <c r="X49" s="8"/>
      <c r="Y49" s="26">
        <v>1.8999999999999999</v>
      </c>
      <c r="Z49" s="8"/>
      <c r="AA49" s="26">
        <v>8.5</v>
      </c>
      <c r="AB49" s="8"/>
    </row>
    <row r="50" ht="12" customHeight="1">
      <c r="A50" s="8" t="s">
        <v>161</v>
      </c>
      <c r="B50" s="8" t="s">
        <v>162</v>
      </c>
      <c r="C50" s="26">
        <v>1.8999999999999999</v>
      </c>
      <c r="D50" s="8"/>
      <c r="E50" s="26">
        <v>1.1000000000000001</v>
      </c>
      <c r="F50" s="8"/>
      <c r="G50" s="26">
        <v>-0.20000000000000001</v>
      </c>
      <c r="H50" s="8"/>
      <c r="I50" s="26">
        <v>0.5</v>
      </c>
      <c r="J50" s="8"/>
      <c r="K50" s="26">
        <v>-0.5</v>
      </c>
      <c r="L50" s="8"/>
      <c r="M50" s="26">
        <v>1.2</v>
      </c>
      <c r="N50" s="8"/>
      <c r="O50" s="26">
        <v>0.5</v>
      </c>
      <c r="P50" s="8"/>
      <c r="Q50" s="26">
        <v>-1.6000000000000001</v>
      </c>
      <c r="R50" s="8"/>
      <c r="S50" s="26">
        <v>0.29999999999999999</v>
      </c>
      <c r="T50" s="8"/>
      <c r="U50" s="26">
        <v>0.80000000000000004</v>
      </c>
      <c r="V50" s="8"/>
      <c r="W50" s="26">
        <v>1.7</v>
      </c>
      <c r="X50" s="8"/>
      <c r="Y50" s="26">
        <v>-0.40000000000000002</v>
      </c>
      <c r="Z50" s="8"/>
      <c r="AA50" s="26">
        <v>0.80000000000000004</v>
      </c>
      <c r="AB50" s="8"/>
    </row>
    <row r="51" ht="12" customHeight="1">
      <c r="A51" s="8" t="s">
        <v>163</v>
      </c>
      <c r="B51" s="8" t="s">
        <v>164</v>
      </c>
      <c r="C51" s="26">
        <v>2.7999999999999998</v>
      </c>
      <c r="D51" s="8"/>
      <c r="E51" s="26">
        <v>1.3</v>
      </c>
      <c r="F51" s="8"/>
      <c r="G51" s="26">
        <v>3.6000000000000001</v>
      </c>
      <c r="H51" s="8"/>
      <c r="I51" s="26">
        <v>-0.20000000000000001</v>
      </c>
      <c r="J51" s="8"/>
      <c r="K51" s="26">
        <v>0.5</v>
      </c>
      <c r="L51" s="8"/>
      <c r="M51" s="26">
        <v>0.80000000000000004</v>
      </c>
      <c r="N51" s="8"/>
      <c r="O51" s="26">
        <v>-2.3999999999999999</v>
      </c>
      <c r="P51" s="8"/>
      <c r="Q51" s="26">
        <v>1.8</v>
      </c>
      <c r="R51" s="8"/>
      <c r="S51" s="26">
        <v>1.7</v>
      </c>
      <c r="T51" s="8"/>
      <c r="U51" s="26">
        <v>-1</v>
      </c>
      <c r="V51" s="8"/>
      <c r="W51" s="26">
        <v>-2</v>
      </c>
      <c r="X51" s="8"/>
      <c r="Y51" s="26">
        <v>1.2</v>
      </c>
      <c r="Z51" s="8"/>
      <c r="AA51" s="26">
        <v>0.69999999999999996</v>
      </c>
      <c r="AB51" s="8"/>
    </row>
    <row r="52" ht="12" customHeight="1">
      <c r="A52" s="8" t="s">
        <v>165</v>
      </c>
      <c r="B52" s="8" t="s">
        <v>166</v>
      </c>
      <c r="C52" s="26">
        <v>2.6000000000000001</v>
      </c>
      <c r="D52" s="8"/>
      <c r="E52" s="26">
        <v>1.2</v>
      </c>
      <c r="F52" s="8"/>
      <c r="G52" s="26">
        <v>1.7</v>
      </c>
      <c r="H52" s="8"/>
      <c r="I52" s="26">
        <v>1.3</v>
      </c>
      <c r="J52" s="8"/>
      <c r="K52" s="26">
        <v>2.1000000000000001</v>
      </c>
      <c r="L52" s="8"/>
      <c r="M52" s="26">
        <v>2.3999999999999999</v>
      </c>
      <c r="N52" s="8"/>
      <c r="O52" s="26">
        <v>2.2999999999999998</v>
      </c>
      <c r="P52" s="8"/>
      <c r="Q52" s="26">
        <v>0.20000000000000001</v>
      </c>
      <c r="R52" s="8"/>
      <c r="S52" s="26">
        <v>0.80000000000000004</v>
      </c>
      <c r="T52" s="8"/>
      <c r="U52" s="26">
        <v>0.40000000000000002</v>
      </c>
      <c r="V52" s="8"/>
      <c r="W52" s="26">
        <v>5.7999999999999998</v>
      </c>
      <c r="X52" s="8"/>
      <c r="Y52" s="26">
        <v>0.40000000000000002</v>
      </c>
      <c r="Z52" s="8"/>
      <c r="AA52" s="26">
        <v>0.20000000000000001</v>
      </c>
      <c r="AB52" s="8"/>
    </row>
    <row r="53" ht="12" customHeight="1">
      <c r="A53" s="8" t="s">
        <v>167</v>
      </c>
      <c r="B53" s="8" t="s">
        <v>168</v>
      </c>
      <c r="C53" s="26">
        <v>3.2000000000000002</v>
      </c>
      <c r="D53" s="8"/>
      <c r="E53" s="26">
        <v>1.1000000000000001</v>
      </c>
      <c r="F53" s="8"/>
      <c r="G53" s="26">
        <v>2.5</v>
      </c>
      <c r="H53" s="8"/>
      <c r="I53" s="26">
        <v>2.2999999999999998</v>
      </c>
      <c r="J53" s="8"/>
      <c r="K53" s="26">
        <v>0.5</v>
      </c>
      <c r="L53" s="8"/>
      <c r="M53" s="26">
        <v>0.20000000000000001</v>
      </c>
      <c r="N53" s="8"/>
      <c r="O53" s="26">
        <v>1.5</v>
      </c>
      <c r="P53" s="8"/>
      <c r="Q53" s="26">
        <v>0.5</v>
      </c>
      <c r="R53" s="8"/>
      <c r="S53" s="26">
        <v>1.2</v>
      </c>
      <c r="T53" s="8"/>
      <c r="U53" s="26">
        <v>-0.59999999999999998</v>
      </c>
      <c r="V53" s="8"/>
      <c r="W53" s="26">
        <v>0.20000000000000001</v>
      </c>
      <c r="X53" s="8"/>
      <c r="Y53" s="26">
        <v>2.2999999999999998</v>
      </c>
      <c r="Z53" s="8"/>
      <c r="AA53" s="26">
        <v>1.1000000000000001</v>
      </c>
      <c r="AB53" s="8"/>
    </row>
    <row r="54" ht="12" customHeight="1">
      <c r="A54" s="8" t="s">
        <v>169</v>
      </c>
      <c r="B54" s="8" t="s">
        <v>170</v>
      </c>
      <c r="C54" s="26">
        <v>5.2000000000000002</v>
      </c>
      <c r="D54" s="8"/>
      <c r="E54" s="26">
        <v>1.8999999999999999</v>
      </c>
      <c r="F54" s="8"/>
      <c r="G54" s="26">
        <v>-0.10000000000000001</v>
      </c>
      <c r="H54" s="8"/>
      <c r="I54" s="26">
        <v>1.3999999999999999</v>
      </c>
      <c r="J54" s="8"/>
      <c r="K54" s="26">
        <v>1.3999999999999999</v>
      </c>
      <c r="L54" s="8"/>
      <c r="M54" s="26">
        <v>6.5999999999999996</v>
      </c>
      <c r="N54" s="8"/>
      <c r="O54" s="26">
        <v>-5.5</v>
      </c>
      <c r="P54" s="8"/>
      <c r="Q54" s="26">
        <v>-1.3999999999999999</v>
      </c>
      <c r="R54" s="8"/>
      <c r="S54" s="26">
        <v>3.6000000000000001</v>
      </c>
      <c r="T54" s="8"/>
      <c r="U54" s="26">
        <v>2.1000000000000001</v>
      </c>
      <c r="V54" s="8"/>
      <c r="W54" s="26">
        <v>0.80000000000000004</v>
      </c>
      <c r="X54" s="8"/>
      <c r="Y54" s="26">
        <v>0.40000000000000002</v>
      </c>
      <c r="Z54" s="8"/>
      <c r="AA54" s="26">
        <v>3.5</v>
      </c>
      <c r="AB54" s="8"/>
    </row>
    <row r="55" ht="12" customHeight="1">
      <c r="A55" s="11" t="s">
        <v>171</v>
      </c>
      <c r="B55" s="8" t="s">
        <v>172</v>
      </c>
      <c r="C55" s="26">
        <v>0</v>
      </c>
      <c r="D55" s="8"/>
      <c r="E55" s="26">
        <v>2.6000000000000001</v>
      </c>
      <c r="F55" s="8"/>
      <c r="G55" s="26">
        <v>0</v>
      </c>
      <c r="H55" s="8"/>
      <c r="I55" s="26">
        <v>1.3</v>
      </c>
      <c r="J55" s="8"/>
      <c r="K55" s="26">
        <v>0</v>
      </c>
      <c r="L55" s="8"/>
      <c r="M55" s="26">
        <v>3.2999999999999998</v>
      </c>
      <c r="N55" s="8"/>
      <c r="O55" s="26">
        <v>0</v>
      </c>
      <c r="P55" s="8"/>
      <c r="Q55" s="26">
        <v>-7.5999999999999996</v>
      </c>
      <c r="R55" s="8"/>
      <c r="S55" s="26">
        <v>0</v>
      </c>
      <c r="T55" s="8"/>
      <c r="U55" s="26">
        <v>9.3000000000000007</v>
      </c>
      <c r="V55" s="8"/>
      <c r="W55" s="26">
        <v>0</v>
      </c>
      <c r="X55" s="8"/>
      <c r="Y55" s="26">
        <v>0.59999999999999998</v>
      </c>
      <c r="Z55" s="8"/>
      <c r="AA55" s="26">
        <v>0</v>
      </c>
      <c r="AB55" s="8"/>
    </row>
    <row r="56" ht="12" customHeight="1">
      <c r="A56" s="8" t="s">
        <v>173</v>
      </c>
      <c r="B56" s="8" t="s">
        <v>174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3.6000000000000001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-21.699999999999999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2.3999999999999999</v>
      </c>
      <c r="Z56" s="8"/>
      <c r="AA56" s="26">
        <v>0</v>
      </c>
      <c r="AB56" s="8"/>
    </row>
    <row r="57" ht="12" customHeight="1">
      <c r="A57" s="8" t="s">
        <v>175</v>
      </c>
      <c r="B57" s="8" t="s">
        <v>176</v>
      </c>
      <c r="C57" s="26">
        <v>0</v>
      </c>
      <c r="D57" s="8"/>
      <c r="E57" s="26">
        <v>3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4.5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</row>
    <row r="58" ht="12" customHeight="1">
      <c r="A58" s="8" t="s">
        <v>177</v>
      </c>
      <c r="B58" s="8" t="s">
        <v>178</v>
      </c>
      <c r="C58" s="26">
        <v>0</v>
      </c>
      <c r="D58" s="8"/>
      <c r="E58" s="26">
        <v>5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5.7999999999999998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</row>
    <row r="59" ht="12" customHeight="1">
      <c r="A59" s="8" t="s">
        <v>179</v>
      </c>
      <c r="B59" s="8" t="s">
        <v>180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4.2999999999999998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</row>
    <row r="60" ht="12" customHeight="1">
      <c r="A60" s="11" t="s">
        <v>181</v>
      </c>
      <c r="B60" s="8" t="s">
        <v>182</v>
      </c>
      <c r="C60" s="26">
        <v>1.7</v>
      </c>
      <c r="D60" s="8"/>
      <c r="E60" s="26">
        <v>1.8999999999999999</v>
      </c>
      <c r="F60" s="8"/>
      <c r="G60" s="26">
        <v>2.7999999999999998</v>
      </c>
      <c r="H60" s="8"/>
      <c r="I60" s="26">
        <v>2.3999999999999999</v>
      </c>
      <c r="J60" s="8"/>
      <c r="K60" s="26">
        <v>2.2999999999999998</v>
      </c>
      <c r="L60" s="8"/>
      <c r="M60" s="26">
        <v>2.7999999999999998</v>
      </c>
      <c r="N60" s="8"/>
      <c r="O60" s="26">
        <v>2.6000000000000001</v>
      </c>
      <c r="P60" s="8"/>
      <c r="Q60" s="26">
        <v>1.6000000000000001</v>
      </c>
      <c r="R60" s="8"/>
      <c r="S60" s="26">
        <v>1.5</v>
      </c>
      <c r="T60" s="8"/>
      <c r="U60" s="26">
        <v>1.1000000000000001</v>
      </c>
      <c r="V60" s="8"/>
      <c r="W60" s="26">
        <v>1.2</v>
      </c>
      <c r="X60" s="8"/>
      <c r="Y60" s="26">
        <v>0.5</v>
      </c>
      <c r="Z60" s="8"/>
      <c r="AA60" s="26">
        <v>0.40000000000000002</v>
      </c>
      <c r="AB60" s="8"/>
    </row>
    <row r="61" ht="12" customHeight="1">
      <c r="A61" s="8" t="s">
        <v>183</v>
      </c>
      <c r="B61" s="8" t="s">
        <v>184</v>
      </c>
      <c r="C61" s="26">
        <v>2.3999999999999999</v>
      </c>
      <c r="D61" s="8"/>
      <c r="E61" s="26">
        <v>1.8</v>
      </c>
      <c r="F61" s="8"/>
      <c r="G61" s="26">
        <v>2.2999999999999998</v>
      </c>
      <c r="H61" s="8"/>
      <c r="I61" s="26">
        <v>-0.40000000000000002</v>
      </c>
      <c r="J61" s="8"/>
      <c r="K61" s="26">
        <v>-0.80000000000000004</v>
      </c>
      <c r="L61" s="8"/>
      <c r="M61" s="26">
        <v>0.29999999999999999</v>
      </c>
      <c r="N61" s="8"/>
      <c r="O61" s="26">
        <v>0.20000000000000001</v>
      </c>
      <c r="P61" s="8"/>
      <c r="Q61" s="26">
        <v>-0.29999999999999999</v>
      </c>
      <c r="R61" s="8"/>
      <c r="S61" s="26">
        <v>0.10000000000000001</v>
      </c>
      <c r="T61" s="8"/>
      <c r="U61" s="26">
        <v>0.40000000000000002</v>
      </c>
      <c r="V61" s="8"/>
      <c r="W61" s="26">
        <v>1.1000000000000001</v>
      </c>
      <c r="X61" s="8"/>
      <c r="Y61" s="26">
        <v>0.29999999999999999</v>
      </c>
      <c r="Z61" s="8"/>
      <c r="AA61" s="26">
        <v>-0.10000000000000001</v>
      </c>
      <c r="AB61" s="8"/>
    </row>
    <row r="62" ht="12" customHeight="1">
      <c r="A62" s="8" t="s">
        <v>185</v>
      </c>
      <c r="B62" s="8" t="s">
        <v>186</v>
      </c>
      <c r="C62" s="26">
        <v>2.5</v>
      </c>
      <c r="D62" s="8"/>
      <c r="E62" s="26">
        <v>0</v>
      </c>
      <c r="F62" s="8"/>
      <c r="G62" s="26">
        <v>-1.2</v>
      </c>
      <c r="H62" s="8"/>
      <c r="I62" s="26">
        <v>0.90000000000000002</v>
      </c>
      <c r="J62" s="8"/>
      <c r="K62" s="26">
        <v>1.8999999999999999</v>
      </c>
      <c r="L62" s="8"/>
      <c r="M62" s="26">
        <v>0.69999999999999996</v>
      </c>
      <c r="N62" s="8"/>
      <c r="O62" s="26">
        <v>2.1000000000000001</v>
      </c>
      <c r="P62" s="8"/>
      <c r="Q62" s="26">
        <v>1</v>
      </c>
      <c r="R62" s="8"/>
      <c r="S62" s="26">
        <v>1.3</v>
      </c>
      <c r="T62" s="8"/>
      <c r="U62" s="26">
        <v>0.20000000000000001</v>
      </c>
      <c r="V62" s="8"/>
      <c r="W62" s="26">
        <v>2.8999999999999999</v>
      </c>
      <c r="X62" s="8"/>
      <c r="Y62" s="26">
        <v>1.1000000000000001</v>
      </c>
      <c r="Z62" s="8"/>
      <c r="AA62" s="26">
        <v>3.3999999999999999</v>
      </c>
      <c r="AB62" s="8"/>
    </row>
    <row r="63" ht="12" customHeight="1">
      <c r="A63" s="8" t="s">
        <v>187</v>
      </c>
      <c r="B63" s="8" t="s">
        <v>188</v>
      </c>
      <c r="C63" s="26">
        <v>1.8</v>
      </c>
      <c r="D63" s="8"/>
      <c r="E63" s="26">
        <v>2.3999999999999999</v>
      </c>
      <c r="F63" s="8"/>
      <c r="G63" s="26">
        <v>3.8999999999999999</v>
      </c>
      <c r="H63" s="8"/>
      <c r="I63" s="26">
        <v>4.2000000000000002</v>
      </c>
      <c r="J63" s="8"/>
      <c r="K63" s="26">
        <v>4.2000000000000002</v>
      </c>
      <c r="L63" s="8"/>
      <c r="M63" s="26">
        <v>4.5999999999999996</v>
      </c>
      <c r="N63" s="8"/>
      <c r="O63" s="26">
        <v>3.8999999999999999</v>
      </c>
      <c r="P63" s="8"/>
      <c r="Q63" s="26">
        <v>2.7999999999999998</v>
      </c>
      <c r="R63" s="8"/>
      <c r="S63" s="26">
        <v>2.2999999999999998</v>
      </c>
      <c r="T63" s="8"/>
      <c r="U63" s="26">
        <v>1.5</v>
      </c>
      <c r="V63" s="8"/>
      <c r="W63" s="26">
        <v>1.3</v>
      </c>
      <c r="X63" s="8"/>
      <c r="Y63" s="26">
        <v>0.69999999999999996</v>
      </c>
      <c r="Z63" s="8"/>
      <c r="AA63" s="26">
        <v>0.5</v>
      </c>
      <c r="AB63" s="8"/>
    </row>
    <row r="64" ht="12" customHeight="1">
      <c r="A64" s="8" t="s">
        <v>189</v>
      </c>
      <c r="B64" s="8" t="s">
        <v>190</v>
      </c>
      <c r="C64" s="26">
        <v>-2.1000000000000001</v>
      </c>
      <c r="D64" s="8"/>
      <c r="E64" s="26">
        <v>-1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-2.7999999999999998</v>
      </c>
      <c r="R64" s="8"/>
      <c r="S64" s="26">
        <v>-1.1000000000000001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</row>
    <row r="65" ht="12" customHeight="1">
      <c r="A65" s="8" t="s">
        <v>191</v>
      </c>
      <c r="B65" s="8" t="s">
        <v>192</v>
      </c>
      <c r="C65" s="26">
        <v>-0.10000000000000001</v>
      </c>
      <c r="D65" s="8"/>
      <c r="E65" s="26">
        <v>1</v>
      </c>
      <c r="F65" s="8"/>
      <c r="G65" s="26">
        <v>1</v>
      </c>
      <c r="H65" s="8"/>
      <c r="I65" s="26">
        <v>1.1000000000000001</v>
      </c>
      <c r="J65" s="8"/>
      <c r="K65" s="26">
        <v>0.59999999999999998</v>
      </c>
      <c r="L65" s="8"/>
      <c r="M65" s="26">
        <v>0.59999999999999998</v>
      </c>
      <c r="N65" s="8"/>
      <c r="O65" s="26">
        <v>1.6000000000000001</v>
      </c>
      <c r="P65" s="8"/>
      <c r="Q65" s="26">
        <v>0.20000000000000001</v>
      </c>
      <c r="R65" s="8"/>
      <c r="S65" s="26">
        <v>0.59999999999999998</v>
      </c>
      <c r="T65" s="8"/>
      <c r="U65" s="26">
        <v>0.59999999999999998</v>
      </c>
      <c r="V65" s="8"/>
      <c r="W65" s="26">
        <v>1.2</v>
      </c>
      <c r="X65" s="8"/>
      <c r="Y65" s="26">
        <v>-0.69999999999999996</v>
      </c>
      <c r="Z65" s="8"/>
      <c r="AA65" s="26">
        <v>0</v>
      </c>
      <c r="AB65" s="8"/>
    </row>
    <row r="66" ht="12" customHeight="1">
      <c r="A66" s="11" t="s">
        <v>193</v>
      </c>
      <c r="B66" s="8" t="s">
        <v>194</v>
      </c>
      <c r="C66" s="26">
        <v>6.4000000000000004</v>
      </c>
      <c r="D66" s="8"/>
      <c r="E66" s="26">
        <v>6.9000000000000004</v>
      </c>
      <c r="F66" s="8"/>
      <c r="G66" s="26">
        <v>3.2999999999999998</v>
      </c>
      <c r="H66" s="8"/>
      <c r="I66" s="26">
        <v>8.3000000000000007</v>
      </c>
      <c r="J66" s="8"/>
      <c r="K66" s="26">
        <v>9.5999999999999996</v>
      </c>
      <c r="L66" s="8"/>
      <c r="M66" s="26">
        <v>4.5</v>
      </c>
      <c r="N66" s="8"/>
      <c r="O66" s="26">
        <v>2.1000000000000001</v>
      </c>
      <c r="P66" s="8"/>
      <c r="Q66" s="26">
        <v>1</v>
      </c>
      <c r="R66" s="8"/>
      <c r="S66" s="26">
        <v>-0.59999999999999998</v>
      </c>
      <c r="T66" s="8"/>
      <c r="U66" s="26">
        <v>-2</v>
      </c>
      <c r="V66" s="8"/>
      <c r="W66" s="26">
        <v>-6.2000000000000002</v>
      </c>
      <c r="X66" s="8"/>
      <c r="Y66" s="26">
        <v>-6.2000000000000002</v>
      </c>
      <c r="Z66" s="8"/>
      <c r="AA66" s="26">
        <v>-4.0999999999999996</v>
      </c>
      <c r="AB66" s="8"/>
    </row>
    <row r="67" ht="12" customHeight="1">
      <c r="A67" s="8" t="s">
        <v>195</v>
      </c>
      <c r="B67" s="8" t="s">
        <v>196</v>
      </c>
      <c r="C67" s="26">
        <v>6.4000000000000004</v>
      </c>
      <c r="D67" s="8"/>
      <c r="E67" s="26">
        <v>6.9000000000000004</v>
      </c>
      <c r="F67" s="8"/>
      <c r="G67" s="26">
        <v>3.2999999999999998</v>
      </c>
      <c r="H67" s="8"/>
      <c r="I67" s="26">
        <v>8.3000000000000007</v>
      </c>
      <c r="J67" s="8"/>
      <c r="K67" s="26">
        <v>9.5999999999999996</v>
      </c>
      <c r="L67" s="8"/>
      <c r="M67" s="26">
        <v>4.5</v>
      </c>
      <c r="N67" s="8"/>
      <c r="O67" s="26">
        <v>2.1000000000000001</v>
      </c>
      <c r="P67" s="8"/>
      <c r="Q67" s="26">
        <v>1</v>
      </c>
      <c r="R67" s="8"/>
      <c r="S67" s="26">
        <v>-0.59999999999999998</v>
      </c>
      <c r="T67" s="8"/>
      <c r="U67" s="26">
        <v>-2</v>
      </c>
      <c r="V67" s="8"/>
      <c r="W67" s="26">
        <v>-6.2000000000000002</v>
      </c>
      <c r="X67" s="8"/>
      <c r="Y67" s="26">
        <v>-6.2000000000000002</v>
      </c>
      <c r="Z67" s="8"/>
      <c r="AA67" s="26">
        <v>-4.0999999999999996</v>
      </c>
      <c r="AB67" s="8"/>
    </row>
    <row r="68" ht="12" customHeight="1">
      <c r="A68" s="13" t="s">
        <v>69</v>
      </c>
      <c r="B68" s="10" t="s">
        <v>40</v>
      </c>
      <c r="C68" s="27">
        <v>1.6000000000000001</v>
      </c>
      <c r="D68" s="10"/>
      <c r="E68" s="27">
        <v>1.8</v>
      </c>
      <c r="F68" s="10"/>
      <c r="G68" s="27">
        <v>1.3999999999999999</v>
      </c>
      <c r="H68" s="10"/>
      <c r="I68" s="27">
        <v>2.5</v>
      </c>
      <c r="J68" s="10"/>
      <c r="K68" s="27">
        <v>1.2</v>
      </c>
      <c r="L68" s="10"/>
      <c r="M68" s="27">
        <v>1</v>
      </c>
      <c r="N68" s="10"/>
      <c r="O68" s="27">
        <v>0.59999999999999998</v>
      </c>
      <c r="P68" s="10"/>
      <c r="Q68" s="27">
        <v>1</v>
      </c>
      <c r="R68" s="10"/>
      <c r="S68" s="27">
        <v>0.40000000000000002</v>
      </c>
      <c r="T68" s="10"/>
      <c r="U68" s="27">
        <v>0.90000000000000002</v>
      </c>
      <c r="V68" s="10"/>
      <c r="W68" s="27">
        <v>0.29999999999999999</v>
      </c>
      <c r="X68" s="10"/>
      <c r="Y68" s="27">
        <v>0.80000000000000004</v>
      </c>
      <c r="Z68" s="10"/>
      <c r="AA68" s="27">
        <v>0.20000000000000001</v>
      </c>
      <c r="AB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fitToPage="1"/>
  </sheetPr>
  <sheetViews>
    <sheetView zoomScaleNormal="100"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199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74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78</v>
      </c>
      <c r="C8" s="22">
        <v>10.9</v>
      </c>
      <c r="D8" s="22"/>
      <c r="E8" s="22">
        <v>11.699999999999999</v>
      </c>
      <c r="F8" s="22"/>
      <c r="G8" s="22">
        <v>12.699999999999999</v>
      </c>
      <c r="H8" s="22"/>
      <c r="I8" s="22">
        <v>9</v>
      </c>
      <c r="J8" s="22"/>
      <c r="K8" s="22">
        <v>5.7000000000000002</v>
      </c>
      <c r="L8" s="22"/>
      <c r="M8" s="22">
        <v>2.1000000000000001</v>
      </c>
      <c r="N8" s="22"/>
      <c r="O8" s="22">
        <v>-0.20000000000000001</v>
      </c>
      <c r="P8" s="22"/>
      <c r="Q8" s="22">
        <v>0.5</v>
      </c>
      <c r="R8" s="22"/>
      <c r="S8" s="22">
        <v>1.1000000000000001</v>
      </c>
      <c r="T8" s="22"/>
      <c r="U8" s="22">
        <v>2.5</v>
      </c>
      <c r="V8" s="22"/>
      <c r="W8" s="22">
        <v>4.2999999999999998</v>
      </c>
      <c r="X8" s="22"/>
      <c r="Y8" s="22">
        <v>4.7999999999999998</v>
      </c>
      <c r="Z8" s="22"/>
      <c r="AA8" s="22">
        <v>4.5</v>
      </c>
      <c r="AB8" s="18"/>
    </row>
    <row r="9" ht="12" customHeight="1">
      <c r="A9" s="8" t="s">
        <v>79</v>
      </c>
      <c r="B9" s="8" t="s">
        <v>80</v>
      </c>
      <c r="C9" s="26">
        <v>20.399999999999999</v>
      </c>
      <c r="D9" s="8"/>
      <c r="E9" s="26">
        <v>20.699999999999999</v>
      </c>
      <c r="F9" s="8"/>
      <c r="G9" s="26">
        <v>21.199999999999999</v>
      </c>
      <c r="H9" s="8"/>
      <c r="I9" s="26">
        <v>5.0999999999999996</v>
      </c>
      <c r="J9" s="8"/>
      <c r="K9" s="26">
        <v>3.5</v>
      </c>
      <c r="L9" s="8"/>
      <c r="M9" s="26">
        <v>-7.5</v>
      </c>
      <c r="N9" s="8"/>
      <c r="O9" s="26">
        <v>-13.9</v>
      </c>
      <c r="P9" s="8"/>
      <c r="Q9" s="26">
        <v>-10.4</v>
      </c>
      <c r="R9" s="8"/>
      <c r="S9" s="26">
        <v>-9.1999999999999993</v>
      </c>
      <c r="T9" s="8"/>
      <c r="U9" s="26">
        <v>-5.9000000000000004</v>
      </c>
      <c r="V9" s="8"/>
      <c r="W9" s="26">
        <v>4.5999999999999996</v>
      </c>
      <c r="X9" s="8"/>
      <c r="Y9" s="26">
        <v>8</v>
      </c>
      <c r="Z9" s="8"/>
      <c r="AA9" s="26">
        <v>3.8999999999999999</v>
      </c>
      <c r="AB9" s="8"/>
    </row>
    <row r="10" ht="12" customHeight="1">
      <c r="A10" s="8" t="s">
        <v>81</v>
      </c>
      <c r="B10" s="8" t="s">
        <v>82</v>
      </c>
      <c r="C10" s="26">
        <v>10.800000000000001</v>
      </c>
      <c r="D10" s="8"/>
      <c r="E10" s="26">
        <v>8.8000000000000007</v>
      </c>
      <c r="F10" s="8"/>
      <c r="G10" s="26">
        <v>10.6</v>
      </c>
      <c r="H10" s="8"/>
      <c r="I10" s="26">
        <v>7.9000000000000004</v>
      </c>
      <c r="J10" s="8"/>
      <c r="K10" s="26">
        <v>2.3999999999999999</v>
      </c>
      <c r="L10" s="8"/>
      <c r="M10" s="26">
        <v>0.59999999999999998</v>
      </c>
      <c r="N10" s="8"/>
      <c r="O10" s="26">
        <v>-0.69999999999999996</v>
      </c>
      <c r="P10" s="8"/>
      <c r="Q10" s="26">
        <v>0.20000000000000001</v>
      </c>
      <c r="R10" s="8"/>
      <c r="S10" s="26">
        <v>2</v>
      </c>
      <c r="T10" s="8"/>
      <c r="U10" s="26">
        <v>3.7999999999999998</v>
      </c>
      <c r="V10" s="8"/>
      <c r="W10" s="26">
        <v>4.7999999999999998</v>
      </c>
      <c r="X10" s="8"/>
      <c r="Y10" s="26">
        <v>7.2000000000000002</v>
      </c>
      <c r="Z10" s="8"/>
      <c r="AA10" s="26">
        <v>7.2999999999999998</v>
      </c>
      <c r="AB10" s="8"/>
    </row>
    <row r="11" ht="12" customHeight="1">
      <c r="A11" s="8" t="s">
        <v>83</v>
      </c>
      <c r="B11" s="8" t="s">
        <v>84</v>
      </c>
      <c r="C11" s="26">
        <v>10.300000000000001</v>
      </c>
      <c r="D11" s="8"/>
      <c r="E11" s="26">
        <v>12.4</v>
      </c>
      <c r="F11" s="8"/>
      <c r="G11" s="26">
        <v>13.199999999999999</v>
      </c>
      <c r="H11" s="8"/>
      <c r="I11" s="26">
        <v>11.1</v>
      </c>
      <c r="J11" s="8"/>
      <c r="K11" s="26">
        <v>6.5</v>
      </c>
      <c r="L11" s="8"/>
      <c r="M11" s="26">
        <v>3.2999999999999998</v>
      </c>
      <c r="N11" s="8"/>
      <c r="O11" s="26">
        <v>1.5</v>
      </c>
      <c r="P11" s="8"/>
      <c r="Q11" s="26">
        <v>2.2000000000000002</v>
      </c>
      <c r="R11" s="8"/>
      <c r="S11" s="26">
        <v>2.7000000000000002</v>
      </c>
      <c r="T11" s="8"/>
      <c r="U11" s="26">
        <v>4.5</v>
      </c>
      <c r="V11" s="8"/>
      <c r="W11" s="26">
        <v>5</v>
      </c>
      <c r="X11" s="8"/>
      <c r="Y11" s="26">
        <v>4.5</v>
      </c>
      <c r="Z11" s="8"/>
      <c r="AA11" s="26">
        <v>4.5999999999999996</v>
      </c>
      <c r="AB11" s="8"/>
    </row>
    <row r="12" ht="12" customHeight="1">
      <c r="A12" s="8" t="s">
        <v>85</v>
      </c>
      <c r="B12" s="8" t="s">
        <v>86</v>
      </c>
      <c r="C12" s="26">
        <v>8</v>
      </c>
      <c r="D12" s="8"/>
      <c r="E12" s="26">
        <v>8.1999999999999993</v>
      </c>
      <c r="F12" s="8"/>
      <c r="G12" s="26">
        <v>10.1</v>
      </c>
      <c r="H12" s="8"/>
      <c r="I12" s="26">
        <v>9</v>
      </c>
      <c r="J12" s="8"/>
      <c r="K12" s="26">
        <v>6</v>
      </c>
      <c r="L12" s="8"/>
      <c r="M12" s="26">
        <v>4.5999999999999996</v>
      </c>
      <c r="N12" s="8"/>
      <c r="O12" s="26">
        <v>4.2000000000000002</v>
      </c>
      <c r="P12" s="8"/>
      <c r="Q12" s="26">
        <v>4.0999999999999996</v>
      </c>
      <c r="R12" s="8"/>
      <c r="S12" s="26">
        <v>4.0999999999999996</v>
      </c>
      <c r="T12" s="8"/>
      <c r="U12" s="26">
        <v>5.5999999999999996</v>
      </c>
      <c r="V12" s="8"/>
      <c r="W12" s="26">
        <v>5.9000000000000004</v>
      </c>
      <c r="X12" s="8"/>
      <c r="Y12" s="26">
        <v>4.4000000000000004</v>
      </c>
      <c r="Z12" s="8"/>
      <c r="AA12" s="26">
        <v>4.9000000000000004</v>
      </c>
      <c r="AB12" s="8"/>
    </row>
    <row r="13" ht="12" customHeight="1">
      <c r="A13" s="8" t="s">
        <v>87</v>
      </c>
      <c r="B13" s="8" t="s">
        <v>88</v>
      </c>
      <c r="C13" s="26">
        <v>7.9000000000000004</v>
      </c>
      <c r="D13" s="8"/>
      <c r="E13" s="26">
        <v>8.6999999999999993</v>
      </c>
      <c r="F13" s="8"/>
      <c r="G13" s="26">
        <v>9.1999999999999993</v>
      </c>
      <c r="H13" s="8"/>
      <c r="I13" s="26">
        <v>9</v>
      </c>
      <c r="J13" s="8"/>
      <c r="K13" s="26">
        <v>7.5999999999999996</v>
      </c>
      <c r="L13" s="8"/>
      <c r="M13" s="26">
        <v>6.7000000000000002</v>
      </c>
      <c r="N13" s="8"/>
      <c r="O13" s="26">
        <v>4.9000000000000004</v>
      </c>
      <c r="P13" s="8"/>
      <c r="Q13" s="26">
        <v>3.6000000000000001</v>
      </c>
      <c r="R13" s="8"/>
      <c r="S13" s="26">
        <v>3.2000000000000002</v>
      </c>
      <c r="T13" s="8"/>
      <c r="U13" s="26">
        <v>2.5</v>
      </c>
      <c r="V13" s="8"/>
      <c r="W13" s="26">
        <v>2</v>
      </c>
      <c r="X13" s="8"/>
      <c r="Y13" s="26">
        <v>2.3999999999999999</v>
      </c>
      <c r="Z13" s="8"/>
      <c r="AA13" s="26">
        <v>2.3999999999999999</v>
      </c>
      <c r="AB13" s="8"/>
    </row>
    <row r="14" ht="12" customHeight="1">
      <c r="A14" s="11" t="s">
        <v>89</v>
      </c>
      <c r="B14" s="8" t="s">
        <v>90</v>
      </c>
      <c r="C14" s="26">
        <v>5.7999999999999998</v>
      </c>
      <c r="D14" s="8"/>
      <c r="E14" s="26">
        <v>7.5</v>
      </c>
      <c r="F14" s="8"/>
      <c r="G14" s="26">
        <v>7.5999999999999996</v>
      </c>
      <c r="H14" s="8"/>
      <c r="I14" s="26">
        <v>7.5</v>
      </c>
      <c r="J14" s="8"/>
      <c r="K14" s="26">
        <v>8.1999999999999993</v>
      </c>
      <c r="L14" s="8"/>
      <c r="M14" s="26">
        <v>7.4000000000000004</v>
      </c>
      <c r="N14" s="8"/>
      <c r="O14" s="26">
        <v>7.2000000000000002</v>
      </c>
      <c r="P14" s="8"/>
      <c r="Q14" s="26">
        <v>6.4000000000000004</v>
      </c>
      <c r="R14" s="8"/>
      <c r="S14" s="26">
        <v>5.0999999999999996</v>
      </c>
      <c r="T14" s="8"/>
      <c r="U14" s="26">
        <v>3.3999999999999999</v>
      </c>
      <c r="V14" s="8"/>
      <c r="W14" s="26">
        <v>2.3999999999999999</v>
      </c>
      <c r="X14" s="8"/>
      <c r="Y14" s="26">
        <v>2.2999999999999998</v>
      </c>
      <c r="Z14" s="8"/>
      <c r="AA14" s="26">
        <v>2.1000000000000001</v>
      </c>
      <c r="AB14" s="8"/>
    </row>
    <row r="15" ht="12" customHeight="1">
      <c r="A15" s="8" t="s">
        <v>91</v>
      </c>
      <c r="B15" s="8" t="s">
        <v>92</v>
      </c>
      <c r="C15" s="26">
        <v>6.5</v>
      </c>
      <c r="D15" s="8"/>
      <c r="E15" s="26">
        <v>6.5999999999999996</v>
      </c>
      <c r="F15" s="8"/>
      <c r="G15" s="26">
        <v>7</v>
      </c>
      <c r="H15" s="8"/>
      <c r="I15" s="26">
        <v>6.0999999999999996</v>
      </c>
      <c r="J15" s="8"/>
      <c r="K15" s="26">
        <v>5.5</v>
      </c>
      <c r="L15" s="8"/>
      <c r="M15" s="26">
        <v>4.9000000000000004</v>
      </c>
      <c r="N15" s="8"/>
      <c r="O15" s="26">
        <v>4.2999999999999998</v>
      </c>
      <c r="P15" s="8"/>
      <c r="Q15" s="26">
        <v>3.2999999999999998</v>
      </c>
      <c r="R15" s="8"/>
      <c r="S15" s="26">
        <v>2.7999999999999998</v>
      </c>
      <c r="T15" s="8"/>
      <c r="U15" s="26">
        <v>2.6000000000000001</v>
      </c>
      <c r="V15" s="8"/>
      <c r="W15" s="26">
        <v>0.69999999999999996</v>
      </c>
      <c r="X15" s="8"/>
      <c r="Y15" s="26">
        <v>0.59999999999999998</v>
      </c>
      <c r="Z15" s="8"/>
      <c r="AA15" s="26">
        <v>0.20000000000000001</v>
      </c>
      <c r="AB15" s="8"/>
    </row>
    <row r="16" ht="12" customHeight="1">
      <c r="A16" s="8" t="s">
        <v>93</v>
      </c>
      <c r="B16" s="8" t="s">
        <v>94</v>
      </c>
      <c r="C16" s="26">
        <v>5</v>
      </c>
      <c r="D16" s="8"/>
      <c r="E16" s="26">
        <v>8.4000000000000004</v>
      </c>
      <c r="F16" s="8"/>
      <c r="G16" s="26">
        <v>8.4000000000000004</v>
      </c>
      <c r="H16" s="8"/>
      <c r="I16" s="26">
        <v>9</v>
      </c>
      <c r="J16" s="8"/>
      <c r="K16" s="26">
        <v>11.5</v>
      </c>
      <c r="L16" s="8"/>
      <c r="M16" s="26">
        <v>10.4</v>
      </c>
      <c r="N16" s="8"/>
      <c r="O16" s="26">
        <v>10.300000000000001</v>
      </c>
      <c r="P16" s="8"/>
      <c r="Q16" s="26">
        <v>10.1</v>
      </c>
      <c r="R16" s="8"/>
      <c r="S16" s="26">
        <v>7.7000000000000002</v>
      </c>
      <c r="T16" s="8"/>
      <c r="U16" s="26">
        <v>5</v>
      </c>
      <c r="V16" s="8"/>
      <c r="W16" s="26">
        <v>5.2999999999999998</v>
      </c>
      <c r="X16" s="8"/>
      <c r="Y16" s="26">
        <v>4.9000000000000004</v>
      </c>
      <c r="Z16" s="8"/>
      <c r="AA16" s="26">
        <v>5.7999999999999998</v>
      </c>
      <c r="AB16" s="8"/>
    </row>
    <row r="17" ht="12" customHeight="1">
      <c r="A17" s="11" t="s">
        <v>95</v>
      </c>
      <c r="B17" s="8" t="s">
        <v>96</v>
      </c>
      <c r="C17" s="26">
        <v>2.2999999999999998</v>
      </c>
      <c r="D17" s="8"/>
      <c r="E17" s="26">
        <v>2.7000000000000002</v>
      </c>
      <c r="F17" s="8"/>
      <c r="G17" s="26">
        <v>5</v>
      </c>
      <c r="H17" s="8"/>
      <c r="I17" s="26">
        <v>3.8999999999999999</v>
      </c>
      <c r="J17" s="8"/>
      <c r="K17" s="26">
        <v>3.7000000000000002</v>
      </c>
      <c r="L17" s="8"/>
      <c r="M17" s="26">
        <v>4.0999999999999996</v>
      </c>
      <c r="N17" s="8"/>
      <c r="O17" s="26">
        <v>1.3</v>
      </c>
      <c r="P17" s="8"/>
      <c r="Q17" s="26">
        <v>0.80000000000000004</v>
      </c>
      <c r="R17" s="8"/>
      <c r="S17" s="26">
        <v>-0.80000000000000004</v>
      </c>
      <c r="T17" s="8"/>
      <c r="U17" s="26">
        <v>-0.59999999999999998</v>
      </c>
      <c r="V17" s="8"/>
      <c r="W17" s="26">
        <v>-0.80000000000000004</v>
      </c>
      <c r="X17" s="8"/>
      <c r="Y17" s="26">
        <v>-0.10000000000000001</v>
      </c>
      <c r="Z17" s="8"/>
      <c r="AA17" s="26">
        <v>1.7</v>
      </c>
      <c r="AB17" s="8"/>
    </row>
    <row r="18" ht="12" customHeight="1">
      <c r="A18" s="8" t="s">
        <v>97</v>
      </c>
      <c r="B18" s="8" t="s">
        <v>98</v>
      </c>
      <c r="C18" s="26">
        <v>2</v>
      </c>
      <c r="D18" s="8"/>
      <c r="E18" s="26">
        <v>2.3999999999999999</v>
      </c>
      <c r="F18" s="8"/>
      <c r="G18" s="26">
        <v>5.2999999999999998</v>
      </c>
      <c r="H18" s="8"/>
      <c r="I18" s="26">
        <v>4.4000000000000004</v>
      </c>
      <c r="J18" s="8"/>
      <c r="K18" s="26">
        <v>4.2999999999999998</v>
      </c>
      <c r="L18" s="8"/>
      <c r="M18" s="26">
        <v>4.9000000000000004</v>
      </c>
      <c r="N18" s="8"/>
      <c r="O18" s="26">
        <v>1.3999999999999999</v>
      </c>
      <c r="P18" s="8"/>
      <c r="Q18" s="26">
        <v>0.80000000000000004</v>
      </c>
      <c r="R18" s="8"/>
      <c r="S18" s="26">
        <v>-1.2</v>
      </c>
      <c r="T18" s="8"/>
      <c r="U18" s="26">
        <v>-1.6000000000000001</v>
      </c>
      <c r="V18" s="8"/>
      <c r="W18" s="26">
        <v>-0.69999999999999996</v>
      </c>
      <c r="X18" s="8"/>
      <c r="Y18" s="26">
        <v>-0.40000000000000002</v>
      </c>
      <c r="Z18" s="8"/>
      <c r="AA18" s="26">
        <v>1.8999999999999999</v>
      </c>
      <c r="AB18" s="8"/>
    </row>
    <row r="19" ht="12" customHeight="1">
      <c r="A19" s="8" t="s">
        <v>99</v>
      </c>
      <c r="B19" s="8" t="s">
        <v>100</v>
      </c>
      <c r="C19" s="26">
        <v>3.1000000000000001</v>
      </c>
      <c r="D19" s="8"/>
      <c r="E19" s="26">
        <v>5</v>
      </c>
      <c r="F19" s="8"/>
      <c r="G19" s="26">
        <v>4</v>
      </c>
      <c r="H19" s="8"/>
      <c r="I19" s="26">
        <v>1.7</v>
      </c>
      <c r="J19" s="8"/>
      <c r="K19" s="26">
        <v>1.6000000000000001</v>
      </c>
      <c r="L19" s="8"/>
      <c r="M19" s="26">
        <v>0.5</v>
      </c>
      <c r="N19" s="8"/>
      <c r="O19" s="26">
        <v>0.80000000000000004</v>
      </c>
      <c r="P19" s="8"/>
      <c r="Q19" s="26">
        <v>1.2</v>
      </c>
      <c r="R19" s="8"/>
      <c r="S19" s="26">
        <v>0.5</v>
      </c>
      <c r="T19" s="8"/>
      <c r="U19" s="26">
        <v>3.1000000000000001</v>
      </c>
      <c r="V19" s="8"/>
      <c r="W19" s="26">
        <v>-1.2</v>
      </c>
      <c r="X19" s="8"/>
      <c r="Y19" s="26">
        <v>0.90000000000000002</v>
      </c>
      <c r="Z19" s="8"/>
      <c r="AA19" s="26">
        <v>1.1000000000000001</v>
      </c>
      <c r="AB19" s="8"/>
    </row>
    <row r="20" ht="12" customHeight="1">
      <c r="A20" s="11" t="s">
        <v>101</v>
      </c>
      <c r="B20" s="8" t="s">
        <v>102</v>
      </c>
      <c r="C20" s="26">
        <v>5</v>
      </c>
      <c r="D20" s="8"/>
      <c r="E20" s="26">
        <v>5.2000000000000002</v>
      </c>
      <c r="F20" s="8"/>
      <c r="G20" s="26">
        <v>5.2999999999999998</v>
      </c>
      <c r="H20" s="8"/>
      <c r="I20" s="26">
        <v>5.9000000000000004</v>
      </c>
      <c r="J20" s="8"/>
      <c r="K20" s="26">
        <v>6</v>
      </c>
      <c r="L20" s="8"/>
      <c r="M20" s="26">
        <v>5.5999999999999996</v>
      </c>
      <c r="N20" s="8"/>
      <c r="O20" s="26">
        <v>5.5</v>
      </c>
      <c r="P20" s="8"/>
      <c r="Q20" s="26">
        <v>6.2999999999999998</v>
      </c>
      <c r="R20" s="8"/>
      <c r="S20" s="26">
        <v>5.7999999999999998</v>
      </c>
      <c r="T20" s="8"/>
      <c r="U20" s="26">
        <v>6</v>
      </c>
      <c r="V20" s="8"/>
      <c r="W20" s="26">
        <v>6</v>
      </c>
      <c r="X20" s="8"/>
      <c r="Y20" s="26">
        <v>5.2999999999999998</v>
      </c>
      <c r="Z20" s="8"/>
      <c r="AA20" s="26">
        <v>5.0999999999999996</v>
      </c>
      <c r="AB20" s="8"/>
    </row>
    <row r="21" ht="12" customHeight="1">
      <c r="A21" s="8" t="s">
        <v>103</v>
      </c>
      <c r="B21" s="8" t="s">
        <v>104</v>
      </c>
      <c r="C21" s="26">
        <v>5</v>
      </c>
      <c r="D21" s="8"/>
      <c r="E21" s="26">
        <v>5</v>
      </c>
      <c r="F21" s="8"/>
      <c r="G21" s="26">
        <v>4.7999999999999998</v>
      </c>
      <c r="H21" s="8"/>
      <c r="I21" s="26">
        <v>5</v>
      </c>
      <c r="J21" s="8"/>
      <c r="K21" s="26">
        <v>5.0999999999999996</v>
      </c>
      <c r="L21" s="8"/>
      <c r="M21" s="26">
        <v>5.0999999999999996</v>
      </c>
      <c r="N21" s="8"/>
      <c r="O21" s="26">
        <v>5.0999999999999996</v>
      </c>
      <c r="P21" s="8"/>
      <c r="Q21" s="26">
        <v>4.7999999999999998</v>
      </c>
      <c r="R21" s="8"/>
      <c r="S21" s="26">
        <v>4.4000000000000004</v>
      </c>
      <c r="T21" s="8"/>
      <c r="U21" s="26">
        <v>3.8999999999999999</v>
      </c>
      <c r="V21" s="8"/>
      <c r="W21" s="26">
        <v>3.3999999999999999</v>
      </c>
      <c r="X21" s="8"/>
      <c r="Y21" s="26">
        <v>2.6000000000000001</v>
      </c>
      <c r="Z21" s="8"/>
      <c r="AA21" s="26">
        <v>2</v>
      </c>
      <c r="AB21" s="8"/>
    </row>
    <row r="22" ht="12" customHeight="1">
      <c r="A22" s="8" t="s">
        <v>105</v>
      </c>
      <c r="B22" s="8" t="s">
        <v>106</v>
      </c>
      <c r="C22" s="26">
        <v>5</v>
      </c>
      <c r="D22" s="8"/>
      <c r="E22" s="26">
        <v>5</v>
      </c>
      <c r="F22" s="8"/>
      <c r="G22" s="26">
        <v>4.7999999999999998</v>
      </c>
      <c r="H22" s="8"/>
      <c r="I22" s="26">
        <v>5</v>
      </c>
      <c r="J22" s="8"/>
      <c r="K22" s="26">
        <v>5.0999999999999996</v>
      </c>
      <c r="L22" s="8"/>
      <c r="M22" s="26">
        <v>5.0999999999999996</v>
      </c>
      <c r="N22" s="8"/>
      <c r="O22" s="26">
        <v>5.0999999999999996</v>
      </c>
      <c r="P22" s="8"/>
      <c r="Q22" s="26">
        <v>4.7999999999999998</v>
      </c>
      <c r="R22" s="8"/>
      <c r="S22" s="26">
        <v>4.4000000000000004</v>
      </c>
      <c r="T22" s="8"/>
      <c r="U22" s="26">
        <v>3.8999999999999999</v>
      </c>
      <c r="V22" s="8"/>
      <c r="W22" s="26">
        <v>3.3999999999999999</v>
      </c>
      <c r="X22" s="8"/>
      <c r="Y22" s="26">
        <v>2.6000000000000001</v>
      </c>
      <c r="Z22" s="8"/>
      <c r="AA22" s="26">
        <v>2</v>
      </c>
      <c r="AB22" s="8"/>
    </row>
    <row r="23" ht="12" customHeight="1">
      <c r="A23" s="8" t="s">
        <v>107</v>
      </c>
      <c r="B23" s="8" t="s">
        <v>108</v>
      </c>
      <c r="C23" s="26">
        <v>7.2000000000000002</v>
      </c>
      <c r="D23" s="8"/>
      <c r="E23" s="26">
        <v>5.4000000000000004</v>
      </c>
      <c r="F23" s="8"/>
      <c r="G23" s="26">
        <v>5.2999999999999998</v>
      </c>
      <c r="H23" s="8"/>
      <c r="I23" s="26">
        <v>4</v>
      </c>
      <c r="J23" s="8"/>
      <c r="K23" s="26">
        <v>2.7000000000000002</v>
      </c>
      <c r="L23" s="8"/>
      <c r="M23" s="26">
        <v>2.8999999999999999</v>
      </c>
      <c r="N23" s="8"/>
      <c r="O23" s="26">
        <v>2.5</v>
      </c>
      <c r="P23" s="8"/>
      <c r="Q23" s="26">
        <v>2.7000000000000002</v>
      </c>
      <c r="R23" s="8"/>
      <c r="S23" s="26">
        <v>2.2999999999999998</v>
      </c>
      <c r="T23" s="8"/>
      <c r="U23" s="26">
        <v>2.7000000000000002</v>
      </c>
      <c r="V23" s="8"/>
      <c r="W23" s="26">
        <v>1.5</v>
      </c>
      <c r="X23" s="8"/>
      <c r="Y23" s="26">
        <v>1.3</v>
      </c>
      <c r="Z23" s="8"/>
      <c r="AA23" s="26">
        <v>2.2000000000000002</v>
      </c>
      <c r="AB23" s="8"/>
    </row>
    <row r="24" ht="12" customHeight="1">
      <c r="A24" s="8" t="s">
        <v>109</v>
      </c>
      <c r="B24" s="8" t="s">
        <v>110</v>
      </c>
      <c r="C24" s="26">
        <v>7.0999999999999996</v>
      </c>
      <c r="D24" s="8"/>
      <c r="E24" s="26">
        <v>7.0999999999999996</v>
      </c>
      <c r="F24" s="8"/>
      <c r="G24" s="26">
        <v>7.0999999999999996</v>
      </c>
      <c r="H24" s="8"/>
      <c r="I24" s="26">
        <v>9.5999999999999996</v>
      </c>
      <c r="J24" s="8"/>
      <c r="K24" s="26">
        <v>9.5999999999999996</v>
      </c>
      <c r="L24" s="8"/>
      <c r="M24" s="26">
        <v>9.5999999999999996</v>
      </c>
      <c r="N24" s="8"/>
      <c r="O24" s="26">
        <v>9.5999999999999996</v>
      </c>
      <c r="P24" s="8"/>
      <c r="Q24" s="26">
        <v>11.9</v>
      </c>
      <c r="R24" s="8"/>
      <c r="S24" s="26">
        <v>12</v>
      </c>
      <c r="T24" s="8"/>
      <c r="U24" s="26">
        <v>12</v>
      </c>
      <c r="V24" s="8"/>
      <c r="W24" s="26">
        <v>11.9</v>
      </c>
      <c r="X24" s="8"/>
      <c r="Y24" s="26">
        <v>8.4000000000000004</v>
      </c>
      <c r="Z24" s="8"/>
      <c r="AA24" s="26">
        <v>8.3000000000000007</v>
      </c>
      <c r="AB24" s="8"/>
    </row>
    <row r="25" ht="12" customHeight="1">
      <c r="A25" s="8" t="s">
        <v>111</v>
      </c>
      <c r="B25" s="8" t="s">
        <v>112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12.1</v>
      </c>
      <c r="R25" s="8"/>
      <c r="S25" s="26">
        <v>12.1</v>
      </c>
      <c r="T25" s="8"/>
      <c r="U25" s="26">
        <v>12.1</v>
      </c>
      <c r="V25" s="8"/>
      <c r="W25" s="26">
        <v>12.1</v>
      </c>
      <c r="X25" s="8"/>
      <c r="Y25" s="26">
        <v>8.8000000000000007</v>
      </c>
      <c r="Z25" s="8"/>
      <c r="AA25" s="26">
        <v>8.8000000000000007</v>
      </c>
      <c r="AB25" s="8"/>
    </row>
    <row r="26" ht="12" customHeight="1">
      <c r="A26" s="8" t="s">
        <v>113</v>
      </c>
      <c r="B26" s="8" t="s">
        <v>114</v>
      </c>
      <c r="C26" s="26">
        <v>2.7999999999999998</v>
      </c>
      <c r="D26" s="8"/>
      <c r="E26" s="26">
        <v>3.8999999999999999</v>
      </c>
      <c r="F26" s="8"/>
      <c r="G26" s="26">
        <v>4.7999999999999998</v>
      </c>
      <c r="H26" s="8"/>
      <c r="I26" s="26">
        <v>5.0999999999999996</v>
      </c>
      <c r="J26" s="8"/>
      <c r="K26" s="26">
        <v>5.7999999999999998</v>
      </c>
      <c r="L26" s="8"/>
      <c r="M26" s="26">
        <v>3.7000000000000002</v>
      </c>
      <c r="N26" s="8"/>
      <c r="O26" s="26">
        <v>3.7999999999999998</v>
      </c>
      <c r="P26" s="8"/>
      <c r="Q26" s="26">
        <v>5.9000000000000004</v>
      </c>
      <c r="R26" s="8"/>
      <c r="S26" s="26">
        <v>4.7999999999999998</v>
      </c>
      <c r="T26" s="8"/>
      <c r="U26" s="26">
        <v>6.9000000000000004</v>
      </c>
      <c r="V26" s="8"/>
      <c r="W26" s="26">
        <v>9</v>
      </c>
      <c r="X26" s="8"/>
      <c r="Y26" s="26">
        <v>11.300000000000001</v>
      </c>
      <c r="Z26" s="8"/>
      <c r="AA26" s="26">
        <v>12.1</v>
      </c>
      <c r="AB26" s="8"/>
    </row>
    <row r="27" ht="12" customHeight="1">
      <c r="A27" s="8" t="s">
        <v>115</v>
      </c>
      <c r="B27" s="8" t="s">
        <v>116</v>
      </c>
      <c r="C27" s="26">
        <v>2.3999999999999999</v>
      </c>
      <c r="D27" s="8"/>
      <c r="E27" s="26">
        <v>3.2999999999999998</v>
      </c>
      <c r="F27" s="8"/>
      <c r="G27" s="26">
        <v>4.2000000000000002</v>
      </c>
      <c r="H27" s="8"/>
      <c r="I27" s="26">
        <v>4.0999999999999996</v>
      </c>
      <c r="J27" s="8"/>
      <c r="K27" s="26">
        <v>4.9000000000000004</v>
      </c>
      <c r="L27" s="8"/>
      <c r="M27" s="26">
        <v>2.8999999999999999</v>
      </c>
      <c r="N27" s="8"/>
      <c r="O27" s="26">
        <v>3.3999999999999999</v>
      </c>
      <c r="P27" s="8"/>
      <c r="Q27" s="26">
        <v>5.7999999999999998</v>
      </c>
      <c r="R27" s="8"/>
      <c r="S27" s="26">
        <v>4.5</v>
      </c>
      <c r="T27" s="8"/>
      <c r="U27" s="26">
        <v>6.4000000000000004</v>
      </c>
      <c r="V27" s="8"/>
      <c r="W27" s="26">
        <v>8.5</v>
      </c>
      <c r="X27" s="8"/>
      <c r="Y27" s="26">
        <v>11.300000000000001</v>
      </c>
      <c r="Z27" s="8"/>
      <c r="AA27" s="26">
        <v>12.199999999999999</v>
      </c>
      <c r="AB27" s="8"/>
    </row>
    <row r="28" ht="12" customHeight="1">
      <c r="A28" s="11" t="s">
        <v>117</v>
      </c>
      <c r="B28" s="8" t="s">
        <v>118</v>
      </c>
      <c r="C28" s="26">
        <v>8.1999999999999993</v>
      </c>
      <c r="D28" s="8"/>
      <c r="E28" s="26">
        <v>7</v>
      </c>
      <c r="F28" s="8"/>
      <c r="G28" s="26">
        <v>7.5</v>
      </c>
      <c r="H28" s="8"/>
      <c r="I28" s="26">
        <v>4.2000000000000002</v>
      </c>
      <c r="J28" s="8"/>
      <c r="K28" s="26">
        <v>1.3999999999999999</v>
      </c>
      <c r="L28" s="8"/>
      <c r="M28" s="26">
        <v>0.59999999999999998</v>
      </c>
      <c r="N28" s="8"/>
      <c r="O28" s="26">
        <v>-1.8</v>
      </c>
      <c r="P28" s="8"/>
      <c r="Q28" s="26">
        <v>-0.29999999999999999</v>
      </c>
      <c r="R28" s="8"/>
      <c r="S28" s="26">
        <v>-1.2</v>
      </c>
      <c r="T28" s="8"/>
      <c r="U28" s="26">
        <v>-0.29999999999999999</v>
      </c>
      <c r="V28" s="8"/>
      <c r="W28" s="26">
        <v>-0.5</v>
      </c>
      <c r="X28" s="8"/>
      <c r="Y28" s="26">
        <v>-1.6000000000000001</v>
      </c>
      <c r="Z28" s="8"/>
      <c r="AA28" s="26">
        <v>-0.59999999999999998</v>
      </c>
      <c r="AB28" s="8"/>
    </row>
    <row r="29" ht="12" customHeight="1">
      <c r="A29" s="8" t="s">
        <v>119</v>
      </c>
      <c r="B29" s="8" t="s">
        <v>120</v>
      </c>
      <c r="C29" s="26">
        <v>7.2000000000000002</v>
      </c>
      <c r="D29" s="8"/>
      <c r="E29" s="26">
        <v>6.7000000000000002</v>
      </c>
      <c r="F29" s="8"/>
      <c r="G29" s="26">
        <v>7.5</v>
      </c>
      <c r="H29" s="8"/>
      <c r="I29" s="26">
        <v>3.5</v>
      </c>
      <c r="J29" s="8"/>
      <c r="K29" s="26">
        <v>-2.3999999999999999</v>
      </c>
      <c r="L29" s="8"/>
      <c r="M29" s="26">
        <v>-4</v>
      </c>
      <c r="N29" s="8"/>
      <c r="O29" s="26">
        <v>-6.0999999999999996</v>
      </c>
      <c r="P29" s="8"/>
      <c r="Q29" s="26">
        <v>-1.8999999999999999</v>
      </c>
      <c r="R29" s="8"/>
      <c r="S29" s="26">
        <v>-1.3999999999999999</v>
      </c>
      <c r="T29" s="8"/>
      <c r="U29" s="26">
        <v>2.2000000000000002</v>
      </c>
      <c r="V29" s="8"/>
      <c r="W29" s="26">
        <v>0.10000000000000001</v>
      </c>
      <c r="X29" s="8"/>
      <c r="Y29" s="26">
        <v>-4.7000000000000002</v>
      </c>
      <c r="Z29" s="8"/>
      <c r="AA29" s="26">
        <v>-0.69999999999999996</v>
      </c>
      <c r="AB29" s="8"/>
    </row>
    <row r="30" ht="12" customHeight="1">
      <c r="A30" s="8" t="s">
        <v>121</v>
      </c>
      <c r="B30" s="8" t="s">
        <v>122</v>
      </c>
      <c r="C30" s="26">
        <v>3.6000000000000001</v>
      </c>
      <c r="D30" s="8"/>
      <c r="E30" s="26">
        <v>6.5</v>
      </c>
      <c r="F30" s="8"/>
      <c r="G30" s="26">
        <v>1.3999999999999999</v>
      </c>
      <c r="H30" s="8"/>
      <c r="I30" s="26">
        <v>1.5</v>
      </c>
      <c r="J30" s="8"/>
      <c r="K30" s="26">
        <v>4.9000000000000004</v>
      </c>
      <c r="L30" s="8"/>
      <c r="M30" s="26">
        <v>0.59999999999999998</v>
      </c>
      <c r="N30" s="8"/>
      <c r="O30" s="26">
        <v>9.0999999999999996</v>
      </c>
      <c r="P30" s="8"/>
      <c r="Q30" s="26">
        <v>8.5</v>
      </c>
      <c r="R30" s="8"/>
      <c r="S30" s="26">
        <v>-4.7000000000000002</v>
      </c>
      <c r="T30" s="8"/>
      <c r="U30" s="26">
        <v>1.8999999999999999</v>
      </c>
      <c r="V30" s="8"/>
      <c r="W30" s="26">
        <v>-3</v>
      </c>
      <c r="X30" s="8"/>
      <c r="Y30" s="26">
        <v>-0.29999999999999999</v>
      </c>
      <c r="Z30" s="8"/>
      <c r="AA30" s="26">
        <v>4.9000000000000004</v>
      </c>
      <c r="AB30" s="8"/>
    </row>
    <row r="31" ht="12" customHeight="1">
      <c r="A31" s="8" t="s">
        <v>123</v>
      </c>
      <c r="B31" s="8" t="s">
        <v>124</v>
      </c>
      <c r="C31" s="26">
        <v>5.2999999999999998</v>
      </c>
      <c r="D31" s="8"/>
      <c r="E31" s="26">
        <v>1.8</v>
      </c>
      <c r="F31" s="8"/>
      <c r="G31" s="26">
        <v>4.0999999999999996</v>
      </c>
      <c r="H31" s="8"/>
      <c r="I31" s="26">
        <v>2</v>
      </c>
      <c r="J31" s="8"/>
      <c r="K31" s="26">
        <v>0.29999999999999999</v>
      </c>
      <c r="L31" s="8"/>
      <c r="M31" s="26">
        <v>0</v>
      </c>
      <c r="N31" s="8"/>
      <c r="O31" s="26">
        <v>-4.2000000000000002</v>
      </c>
      <c r="P31" s="8"/>
      <c r="Q31" s="26">
        <v>-3.8999999999999999</v>
      </c>
      <c r="R31" s="8"/>
      <c r="S31" s="26">
        <v>-2.2000000000000002</v>
      </c>
      <c r="T31" s="8"/>
      <c r="U31" s="26">
        <v>-2.2000000000000002</v>
      </c>
      <c r="V31" s="8"/>
      <c r="W31" s="26">
        <v>-0.90000000000000002</v>
      </c>
      <c r="X31" s="8"/>
      <c r="Y31" s="26">
        <v>-0.10000000000000001</v>
      </c>
      <c r="Z31" s="8"/>
      <c r="AA31" s="26">
        <v>-1.1000000000000001</v>
      </c>
      <c r="AB31" s="8"/>
    </row>
    <row r="32" ht="12" customHeight="1">
      <c r="A32" s="8" t="s">
        <v>125</v>
      </c>
      <c r="B32" s="8" t="s">
        <v>126</v>
      </c>
      <c r="C32" s="26">
        <v>13.199999999999999</v>
      </c>
      <c r="D32" s="8"/>
      <c r="E32" s="26">
        <v>9.1999999999999993</v>
      </c>
      <c r="F32" s="8"/>
      <c r="G32" s="26">
        <v>8.9000000000000004</v>
      </c>
      <c r="H32" s="8"/>
      <c r="I32" s="26">
        <v>3.2000000000000002</v>
      </c>
      <c r="J32" s="8"/>
      <c r="K32" s="26">
        <v>3.5</v>
      </c>
      <c r="L32" s="8"/>
      <c r="M32" s="26">
        <v>8.5</v>
      </c>
      <c r="N32" s="8"/>
      <c r="O32" s="26">
        <v>4</v>
      </c>
      <c r="P32" s="8"/>
      <c r="Q32" s="26">
        <v>3.3999999999999999</v>
      </c>
      <c r="R32" s="8"/>
      <c r="S32" s="26">
        <v>-1.8</v>
      </c>
      <c r="T32" s="8"/>
      <c r="U32" s="26">
        <v>-0.80000000000000004</v>
      </c>
      <c r="V32" s="8"/>
      <c r="W32" s="26">
        <v>-0.90000000000000002</v>
      </c>
      <c r="X32" s="8"/>
      <c r="Y32" s="26">
        <v>1</v>
      </c>
      <c r="Z32" s="8"/>
      <c r="AA32" s="26">
        <v>-2.7999999999999998</v>
      </c>
      <c r="AB32" s="8"/>
    </row>
    <row r="33" ht="12" customHeight="1">
      <c r="A33" s="8" t="s">
        <v>127</v>
      </c>
      <c r="B33" s="8" t="s">
        <v>128</v>
      </c>
      <c r="C33" s="26">
        <v>9.5999999999999996</v>
      </c>
      <c r="D33" s="8"/>
      <c r="E33" s="26">
        <v>8.5</v>
      </c>
      <c r="F33" s="8"/>
      <c r="G33" s="26">
        <v>8.4000000000000004</v>
      </c>
      <c r="H33" s="8"/>
      <c r="I33" s="26">
        <v>6.4000000000000004</v>
      </c>
      <c r="J33" s="8"/>
      <c r="K33" s="26">
        <v>3.8999999999999999</v>
      </c>
      <c r="L33" s="8"/>
      <c r="M33" s="26">
        <v>4.4000000000000004</v>
      </c>
      <c r="N33" s="8"/>
      <c r="O33" s="26">
        <v>-3</v>
      </c>
      <c r="P33" s="8"/>
      <c r="Q33" s="26">
        <v>-3.3999999999999999</v>
      </c>
      <c r="R33" s="8"/>
      <c r="S33" s="26">
        <v>-3.1000000000000001</v>
      </c>
      <c r="T33" s="8"/>
      <c r="U33" s="26">
        <v>-4.9000000000000004</v>
      </c>
      <c r="V33" s="8"/>
      <c r="W33" s="26">
        <v>-1</v>
      </c>
      <c r="X33" s="8"/>
      <c r="Y33" s="26">
        <v>-0.80000000000000004</v>
      </c>
      <c r="Z33" s="8"/>
      <c r="AA33" s="26">
        <v>-2.7999999999999998</v>
      </c>
      <c r="AB33" s="8"/>
    </row>
    <row r="34" ht="12" customHeight="1">
      <c r="A34" s="8" t="s">
        <v>129</v>
      </c>
      <c r="B34" s="8" t="s">
        <v>130</v>
      </c>
      <c r="C34" s="26">
        <v>11.9</v>
      </c>
      <c r="D34" s="8"/>
      <c r="E34" s="26">
        <v>11.199999999999999</v>
      </c>
      <c r="F34" s="8"/>
      <c r="G34" s="26">
        <v>12.1</v>
      </c>
      <c r="H34" s="8"/>
      <c r="I34" s="26">
        <v>7</v>
      </c>
      <c r="J34" s="8"/>
      <c r="K34" s="26">
        <v>3.2999999999999998</v>
      </c>
      <c r="L34" s="8"/>
      <c r="M34" s="26">
        <v>1.8</v>
      </c>
      <c r="N34" s="8"/>
      <c r="O34" s="26">
        <v>-0.20000000000000001</v>
      </c>
      <c r="P34" s="8"/>
      <c r="Q34" s="26">
        <v>2.2000000000000002</v>
      </c>
      <c r="R34" s="8"/>
      <c r="S34" s="26">
        <v>2</v>
      </c>
      <c r="T34" s="8"/>
      <c r="U34" s="26">
        <v>0.40000000000000002</v>
      </c>
      <c r="V34" s="8"/>
      <c r="W34" s="26">
        <v>1.3999999999999999</v>
      </c>
      <c r="X34" s="8"/>
      <c r="Y34" s="26">
        <v>-0.59999999999999998</v>
      </c>
      <c r="Z34" s="8"/>
      <c r="AA34" s="26">
        <v>-0.20000000000000001</v>
      </c>
      <c r="AB34" s="8"/>
    </row>
    <row r="35" ht="12" customHeight="1">
      <c r="A35" s="11" t="s">
        <v>131</v>
      </c>
      <c r="B35" s="8" t="s">
        <v>132</v>
      </c>
      <c r="C35" s="26">
        <v>5.2999999999999998</v>
      </c>
      <c r="D35" s="8"/>
      <c r="E35" s="26">
        <v>4.9000000000000004</v>
      </c>
      <c r="F35" s="8"/>
      <c r="G35" s="26">
        <v>5</v>
      </c>
      <c r="H35" s="8"/>
      <c r="I35" s="26">
        <v>0.90000000000000002</v>
      </c>
      <c r="J35" s="8"/>
      <c r="K35" s="26">
        <v>1.3</v>
      </c>
      <c r="L35" s="8"/>
      <c r="M35" s="26">
        <v>2.5</v>
      </c>
      <c r="N35" s="8"/>
      <c r="O35" s="26">
        <v>1.3999999999999999</v>
      </c>
      <c r="P35" s="8"/>
      <c r="Q35" s="26">
        <v>9.5</v>
      </c>
      <c r="R35" s="8"/>
      <c r="S35" s="26">
        <v>6.7999999999999998</v>
      </c>
      <c r="T35" s="8"/>
      <c r="U35" s="26">
        <v>5.2999999999999998</v>
      </c>
      <c r="V35" s="8"/>
      <c r="W35" s="26">
        <v>5</v>
      </c>
      <c r="X35" s="8"/>
      <c r="Y35" s="26">
        <v>0</v>
      </c>
      <c r="Z35" s="8"/>
      <c r="AA35" s="26">
        <v>0.20000000000000001</v>
      </c>
      <c r="AB35" s="8"/>
    </row>
    <row r="36" ht="12" customHeight="1">
      <c r="A36" s="8" t="s">
        <v>133</v>
      </c>
      <c r="B36" s="8" t="s">
        <v>134</v>
      </c>
      <c r="C36" s="26">
        <v>5.4000000000000004</v>
      </c>
      <c r="D36" s="8"/>
      <c r="E36" s="26">
        <v>3.7000000000000002</v>
      </c>
      <c r="F36" s="8"/>
      <c r="G36" s="26">
        <v>4.9000000000000004</v>
      </c>
      <c r="H36" s="8"/>
      <c r="I36" s="26">
        <v>-8.5999999999999996</v>
      </c>
      <c r="J36" s="8"/>
      <c r="K36" s="26">
        <v>-9.6999999999999993</v>
      </c>
      <c r="L36" s="8"/>
      <c r="M36" s="26">
        <v>-10.4</v>
      </c>
      <c r="N36" s="8"/>
      <c r="O36" s="26">
        <v>-11.199999999999999</v>
      </c>
      <c r="P36" s="8"/>
      <c r="Q36" s="26">
        <v>15.699999999999999</v>
      </c>
      <c r="R36" s="8"/>
      <c r="S36" s="26">
        <v>10</v>
      </c>
      <c r="T36" s="8"/>
      <c r="U36" s="26">
        <v>10.699999999999999</v>
      </c>
      <c r="V36" s="8"/>
      <c r="W36" s="26">
        <v>9.5999999999999996</v>
      </c>
      <c r="X36" s="8"/>
      <c r="Y36" s="26">
        <v>-7.7999999999999998</v>
      </c>
      <c r="Z36" s="8"/>
      <c r="AA36" s="26">
        <v>-5.9000000000000004</v>
      </c>
      <c r="AB36" s="8"/>
    </row>
    <row r="37" ht="12" customHeight="1">
      <c r="A37" s="8" t="s">
        <v>135</v>
      </c>
      <c r="B37" s="8" t="s">
        <v>136</v>
      </c>
      <c r="C37" s="26">
        <v>5.0999999999999996</v>
      </c>
      <c r="D37" s="8"/>
      <c r="E37" s="26">
        <v>5</v>
      </c>
      <c r="F37" s="8"/>
      <c r="G37" s="26">
        <v>4.7999999999999998</v>
      </c>
      <c r="H37" s="8"/>
      <c r="I37" s="26">
        <v>4.7000000000000002</v>
      </c>
      <c r="J37" s="8"/>
      <c r="K37" s="26">
        <v>5.5999999999999996</v>
      </c>
      <c r="L37" s="8"/>
      <c r="M37" s="26">
        <v>7.7000000000000002</v>
      </c>
      <c r="N37" s="8"/>
      <c r="O37" s="26">
        <v>6.5999999999999996</v>
      </c>
      <c r="P37" s="8"/>
      <c r="Q37" s="26">
        <v>6.2999999999999998</v>
      </c>
      <c r="R37" s="8"/>
      <c r="S37" s="26">
        <v>5</v>
      </c>
      <c r="T37" s="8"/>
      <c r="U37" s="26">
        <v>2.7999999999999998</v>
      </c>
      <c r="V37" s="8"/>
      <c r="W37" s="26">
        <v>2.8999999999999999</v>
      </c>
      <c r="X37" s="8"/>
      <c r="Y37" s="26">
        <v>3.7000000000000002</v>
      </c>
      <c r="Z37" s="8"/>
      <c r="AA37" s="26">
        <v>3.3999999999999999</v>
      </c>
      <c r="AB37" s="8"/>
    </row>
    <row r="38" ht="12" customHeight="1">
      <c r="A38" s="8" t="s">
        <v>137</v>
      </c>
      <c r="B38" s="8" t="s">
        <v>138</v>
      </c>
      <c r="C38" s="26">
        <v>8.1999999999999993</v>
      </c>
      <c r="D38" s="8"/>
      <c r="E38" s="26">
        <v>10.1</v>
      </c>
      <c r="F38" s="8"/>
      <c r="G38" s="26">
        <v>7.2999999999999998</v>
      </c>
      <c r="H38" s="8"/>
      <c r="I38" s="26">
        <v>9.5</v>
      </c>
      <c r="J38" s="8"/>
      <c r="K38" s="26">
        <v>13.1</v>
      </c>
      <c r="L38" s="8"/>
      <c r="M38" s="26">
        <v>13.5</v>
      </c>
      <c r="N38" s="8"/>
      <c r="O38" s="26">
        <v>11.699999999999999</v>
      </c>
      <c r="P38" s="8"/>
      <c r="Q38" s="26">
        <v>15</v>
      </c>
      <c r="R38" s="8"/>
      <c r="S38" s="26">
        <v>11.199999999999999</v>
      </c>
      <c r="T38" s="8"/>
      <c r="U38" s="26">
        <v>9</v>
      </c>
      <c r="V38" s="8"/>
      <c r="W38" s="26">
        <v>9</v>
      </c>
      <c r="X38" s="8"/>
      <c r="Y38" s="26">
        <v>3.5</v>
      </c>
      <c r="Z38" s="8"/>
      <c r="AA38" s="26">
        <v>3.3999999999999999</v>
      </c>
      <c r="AB38" s="8"/>
    </row>
    <row r="39" ht="12" customHeight="1">
      <c r="A39" s="11" t="s">
        <v>139</v>
      </c>
      <c r="B39" s="8" t="s">
        <v>140</v>
      </c>
      <c r="C39" s="26">
        <v>7.4000000000000004</v>
      </c>
      <c r="D39" s="8"/>
      <c r="E39" s="26">
        <v>1.6000000000000001</v>
      </c>
      <c r="F39" s="8"/>
      <c r="G39" s="26">
        <v>-2.7999999999999998</v>
      </c>
      <c r="H39" s="8"/>
      <c r="I39" s="26">
        <v>4.5</v>
      </c>
      <c r="J39" s="8"/>
      <c r="K39" s="26">
        <v>4.5999999999999996</v>
      </c>
      <c r="L39" s="8"/>
      <c r="M39" s="26">
        <v>3.8999999999999999</v>
      </c>
      <c r="N39" s="8"/>
      <c r="O39" s="26">
        <v>5.5999999999999996</v>
      </c>
      <c r="P39" s="8"/>
      <c r="Q39" s="26">
        <v>-4.9000000000000004</v>
      </c>
      <c r="R39" s="8"/>
      <c r="S39" s="26">
        <v>-3.7000000000000002</v>
      </c>
      <c r="T39" s="8"/>
      <c r="U39" s="26">
        <v>-0.40000000000000002</v>
      </c>
      <c r="V39" s="8"/>
      <c r="W39" s="26">
        <v>-1.6000000000000001</v>
      </c>
      <c r="X39" s="8"/>
      <c r="Y39" s="26">
        <v>1.5</v>
      </c>
      <c r="Z39" s="8"/>
      <c r="AA39" s="26">
        <v>2.7000000000000002</v>
      </c>
      <c r="AB39" s="8"/>
    </row>
    <row r="40" ht="12" customHeight="1">
      <c r="A40" s="8" t="s">
        <v>141</v>
      </c>
      <c r="B40" s="8" t="s">
        <v>142</v>
      </c>
      <c r="C40" s="26">
        <v>2.3999999999999999</v>
      </c>
      <c r="D40" s="8"/>
      <c r="E40" s="26">
        <v>0.80000000000000004</v>
      </c>
      <c r="F40" s="8"/>
      <c r="G40" s="26">
        <v>1.8</v>
      </c>
      <c r="H40" s="8"/>
      <c r="I40" s="26">
        <v>5</v>
      </c>
      <c r="J40" s="8"/>
      <c r="K40" s="26">
        <v>2.6000000000000001</v>
      </c>
      <c r="L40" s="8"/>
      <c r="M40" s="26">
        <v>0.40000000000000002</v>
      </c>
      <c r="N40" s="8"/>
      <c r="O40" s="26">
        <v>-3.5</v>
      </c>
      <c r="P40" s="8"/>
      <c r="Q40" s="26">
        <v>-7.9000000000000004</v>
      </c>
      <c r="R40" s="8"/>
      <c r="S40" s="26">
        <v>-3.7999999999999998</v>
      </c>
      <c r="T40" s="8"/>
      <c r="U40" s="26">
        <v>-2.3999999999999999</v>
      </c>
      <c r="V40" s="8"/>
      <c r="W40" s="26">
        <v>1.2</v>
      </c>
      <c r="X40" s="8"/>
      <c r="Y40" s="26">
        <v>3.2000000000000002</v>
      </c>
      <c r="Z40" s="8"/>
      <c r="AA40" s="26">
        <v>1.3</v>
      </c>
      <c r="AB40" s="8"/>
    </row>
    <row r="41" ht="12" customHeight="1">
      <c r="A41" s="8" t="s">
        <v>143</v>
      </c>
      <c r="B41" s="8" t="s">
        <v>144</v>
      </c>
      <c r="C41" s="26">
        <v>4.5</v>
      </c>
      <c r="D41" s="8"/>
      <c r="E41" s="26">
        <v>-3.8999999999999999</v>
      </c>
      <c r="F41" s="8"/>
      <c r="G41" s="26">
        <v>-9.9000000000000004</v>
      </c>
      <c r="H41" s="8"/>
      <c r="I41" s="26">
        <v>3.6000000000000001</v>
      </c>
      <c r="J41" s="8"/>
      <c r="K41" s="26">
        <v>9</v>
      </c>
      <c r="L41" s="8"/>
      <c r="M41" s="26">
        <v>9.5999999999999996</v>
      </c>
      <c r="N41" s="8"/>
      <c r="O41" s="26">
        <v>13</v>
      </c>
      <c r="P41" s="8"/>
      <c r="Q41" s="26">
        <v>-3.3999999999999999</v>
      </c>
      <c r="R41" s="8"/>
      <c r="S41" s="26">
        <v>-4.7000000000000002</v>
      </c>
      <c r="T41" s="8"/>
      <c r="U41" s="26">
        <v>-0.20000000000000001</v>
      </c>
      <c r="V41" s="8"/>
      <c r="W41" s="26">
        <v>-3.7999999999999998</v>
      </c>
      <c r="X41" s="8"/>
      <c r="Y41" s="26">
        <v>0.80000000000000004</v>
      </c>
      <c r="Z41" s="8"/>
      <c r="AA41" s="26">
        <v>3.5</v>
      </c>
      <c r="AB41" s="8"/>
    </row>
    <row r="42" ht="12" customHeight="1">
      <c r="A42" s="8" t="s">
        <v>145</v>
      </c>
      <c r="B42" s="8" t="s">
        <v>146</v>
      </c>
      <c r="C42" s="26">
        <v>2.2999999999999998</v>
      </c>
      <c r="D42" s="8"/>
      <c r="E42" s="26">
        <v>-8.3000000000000007</v>
      </c>
      <c r="F42" s="8"/>
      <c r="G42" s="26">
        <v>-15</v>
      </c>
      <c r="H42" s="8"/>
      <c r="I42" s="26">
        <v>3.7999999999999998</v>
      </c>
      <c r="J42" s="8"/>
      <c r="K42" s="26">
        <v>11.9</v>
      </c>
      <c r="L42" s="8"/>
      <c r="M42" s="26">
        <v>12.1</v>
      </c>
      <c r="N42" s="8"/>
      <c r="O42" s="26">
        <v>14.6</v>
      </c>
      <c r="P42" s="8"/>
      <c r="Q42" s="26">
        <v>-7.9000000000000004</v>
      </c>
      <c r="R42" s="8"/>
      <c r="S42" s="26">
        <v>-9.1999999999999993</v>
      </c>
      <c r="T42" s="8"/>
      <c r="U42" s="26">
        <v>-2.7999999999999998</v>
      </c>
      <c r="V42" s="8"/>
      <c r="W42" s="26">
        <v>-8</v>
      </c>
      <c r="X42" s="8"/>
      <c r="Y42" s="26">
        <v>-1.6000000000000001</v>
      </c>
      <c r="Z42" s="8"/>
      <c r="AA42" s="26">
        <v>2.2000000000000002</v>
      </c>
      <c r="AB42" s="8"/>
    </row>
    <row r="43" ht="12" customHeight="1">
      <c r="A43" s="8" t="s">
        <v>147</v>
      </c>
      <c r="B43" s="8" t="s">
        <v>148</v>
      </c>
      <c r="C43" s="26">
        <v>12.1</v>
      </c>
      <c r="D43" s="8"/>
      <c r="E43" s="26">
        <v>18.399999999999999</v>
      </c>
      <c r="F43" s="8"/>
      <c r="G43" s="26">
        <v>21.199999999999999</v>
      </c>
      <c r="H43" s="8"/>
      <c r="I43" s="26">
        <v>7.2000000000000002</v>
      </c>
      <c r="J43" s="8"/>
      <c r="K43" s="26">
        <v>-6.2000000000000002</v>
      </c>
      <c r="L43" s="8"/>
      <c r="M43" s="26">
        <v>-8.5999999999999996</v>
      </c>
      <c r="N43" s="8"/>
      <c r="O43" s="26">
        <v>-4.9000000000000004</v>
      </c>
      <c r="P43" s="8"/>
      <c r="Q43" s="26">
        <v>-6.0999999999999996</v>
      </c>
      <c r="R43" s="8"/>
      <c r="S43" s="26">
        <v>-0.29999999999999999</v>
      </c>
      <c r="T43" s="8"/>
      <c r="U43" s="26">
        <v>1.5</v>
      </c>
      <c r="V43" s="8"/>
      <c r="W43" s="26">
        <v>2.8999999999999999</v>
      </c>
      <c r="X43" s="8"/>
      <c r="Y43" s="26">
        <v>1.8</v>
      </c>
      <c r="Z43" s="8"/>
      <c r="AA43" s="26">
        <v>1.5</v>
      </c>
      <c r="AB43" s="8"/>
    </row>
    <row r="44" ht="12" customHeight="1">
      <c r="A44" s="11" t="s">
        <v>149</v>
      </c>
      <c r="B44" s="8" t="s">
        <v>150</v>
      </c>
      <c r="C44" s="26">
        <v>1.2</v>
      </c>
      <c r="D44" s="8"/>
      <c r="E44" s="26">
        <v>1.3999999999999999</v>
      </c>
      <c r="F44" s="8"/>
      <c r="G44" s="26">
        <v>2.2999999999999998</v>
      </c>
      <c r="H44" s="8"/>
      <c r="I44" s="26">
        <v>2.3999999999999999</v>
      </c>
      <c r="J44" s="8"/>
      <c r="K44" s="26">
        <v>4.0999999999999996</v>
      </c>
      <c r="L44" s="8"/>
      <c r="M44" s="26">
        <v>4.2000000000000002</v>
      </c>
      <c r="N44" s="8"/>
      <c r="O44" s="26">
        <v>4.7999999999999998</v>
      </c>
      <c r="P44" s="8"/>
      <c r="Q44" s="26">
        <v>3.7999999999999998</v>
      </c>
      <c r="R44" s="8"/>
      <c r="S44" s="26">
        <v>4.2000000000000002</v>
      </c>
      <c r="T44" s="8"/>
      <c r="U44" s="26">
        <v>4.2999999999999998</v>
      </c>
      <c r="V44" s="8"/>
      <c r="W44" s="26">
        <v>3.3999999999999999</v>
      </c>
      <c r="X44" s="8"/>
      <c r="Y44" s="26">
        <v>3.5</v>
      </c>
      <c r="Z44" s="8"/>
      <c r="AA44" s="26">
        <v>5.0999999999999996</v>
      </c>
      <c r="AB44" s="8"/>
    </row>
    <row r="45" ht="12" customHeight="1">
      <c r="A45" s="8" t="s">
        <v>151</v>
      </c>
      <c r="B45" s="8" t="s">
        <v>152</v>
      </c>
      <c r="C45" s="26">
        <v>12</v>
      </c>
      <c r="D45" s="8"/>
      <c r="E45" s="26">
        <v>11.800000000000001</v>
      </c>
      <c r="F45" s="8"/>
      <c r="G45" s="26">
        <v>7.2999999999999998</v>
      </c>
      <c r="H45" s="8"/>
      <c r="I45" s="26">
        <v>7.9000000000000004</v>
      </c>
      <c r="J45" s="8"/>
      <c r="K45" s="26">
        <v>8</v>
      </c>
      <c r="L45" s="8"/>
      <c r="M45" s="26">
        <v>4.7000000000000002</v>
      </c>
      <c r="N45" s="8"/>
      <c r="O45" s="26">
        <v>5.5</v>
      </c>
      <c r="P45" s="8"/>
      <c r="Q45" s="26">
        <v>1.3</v>
      </c>
      <c r="R45" s="8"/>
      <c r="S45" s="26">
        <v>-0.10000000000000001</v>
      </c>
      <c r="T45" s="8"/>
      <c r="U45" s="26">
        <v>1.7</v>
      </c>
      <c r="V45" s="8"/>
      <c r="W45" s="26">
        <v>3</v>
      </c>
      <c r="X45" s="8"/>
      <c r="Y45" s="26">
        <v>8.3000000000000007</v>
      </c>
      <c r="Z45" s="8"/>
      <c r="AA45" s="26">
        <v>8.4000000000000004</v>
      </c>
      <c r="AB45" s="8"/>
    </row>
    <row r="46" ht="12" customHeight="1">
      <c r="A46" s="8" t="s">
        <v>153</v>
      </c>
      <c r="B46" s="8" t="s">
        <v>154</v>
      </c>
      <c r="C46" s="26">
        <v>-15.4</v>
      </c>
      <c r="D46" s="8"/>
      <c r="E46" s="26">
        <v>-10.1</v>
      </c>
      <c r="F46" s="8"/>
      <c r="G46" s="26">
        <v>-24.899999999999999</v>
      </c>
      <c r="H46" s="8"/>
      <c r="I46" s="26">
        <v>-14.5</v>
      </c>
      <c r="J46" s="8"/>
      <c r="K46" s="26">
        <v>-0.69999999999999996</v>
      </c>
      <c r="L46" s="8"/>
      <c r="M46" s="26">
        <v>-5.2999999999999998</v>
      </c>
      <c r="N46" s="8"/>
      <c r="O46" s="26">
        <v>14</v>
      </c>
      <c r="P46" s="8"/>
      <c r="Q46" s="26">
        <v>3.1000000000000001</v>
      </c>
      <c r="R46" s="8"/>
      <c r="S46" s="26">
        <v>-10.9</v>
      </c>
      <c r="T46" s="8"/>
      <c r="U46" s="26">
        <v>-13</v>
      </c>
      <c r="V46" s="8"/>
      <c r="W46" s="26">
        <v>-25.199999999999999</v>
      </c>
      <c r="X46" s="8"/>
      <c r="Y46" s="26">
        <v>-15.300000000000001</v>
      </c>
      <c r="Z46" s="8"/>
      <c r="AA46" s="26">
        <v>-5.2999999999999998</v>
      </c>
      <c r="AB46" s="8"/>
    </row>
    <row r="47" ht="12" customHeight="1">
      <c r="A47" s="8" t="s">
        <v>155</v>
      </c>
      <c r="B47" s="8" t="s">
        <v>156</v>
      </c>
      <c r="C47" s="26">
        <v>1.8999999999999999</v>
      </c>
      <c r="D47" s="8"/>
      <c r="E47" s="26">
        <v>1.8</v>
      </c>
      <c r="F47" s="8"/>
      <c r="G47" s="26">
        <v>4</v>
      </c>
      <c r="H47" s="8"/>
      <c r="I47" s="26">
        <v>3</v>
      </c>
      <c r="J47" s="8"/>
      <c r="K47" s="26">
        <v>4.0999999999999996</v>
      </c>
      <c r="L47" s="8"/>
      <c r="M47" s="26">
        <v>4.7999999999999998</v>
      </c>
      <c r="N47" s="8"/>
      <c r="O47" s="26">
        <v>4.2000000000000002</v>
      </c>
      <c r="P47" s="8"/>
      <c r="Q47" s="26">
        <v>4</v>
      </c>
      <c r="R47" s="8"/>
      <c r="S47" s="26">
        <v>5.0999999999999996</v>
      </c>
      <c r="T47" s="8"/>
      <c r="U47" s="26">
        <v>6</v>
      </c>
      <c r="V47" s="8"/>
      <c r="W47" s="26">
        <v>7</v>
      </c>
      <c r="X47" s="8"/>
      <c r="Y47" s="26">
        <v>6.5999999999999996</v>
      </c>
      <c r="Z47" s="8"/>
      <c r="AA47" s="26">
        <v>7</v>
      </c>
      <c r="AB47" s="8"/>
    </row>
    <row r="48" ht="12" customHeight="1">
      <c r="A48" s="11" t="s">
        <v>157</v>
      </c>
      <c r="B48" s="8" t="s">
        <v>158</v>
      </c>
      <c r="C48" s="26">
        <v>5.2000000000000002</v>
      </c>
      <c r="D48" s="8"/>
      <c r="E48" s="26">
        <v>6.7999999999999998</v>
      </c>
      <c r="F48" s="8"/>
      <c r="G48" s="26">
        <v>6.9000000000000004</v>
      </c>
      <c r="H48" s="8"/>
      <c r="I48" s="26">
        <v>6.2999999999999998</v>
      </c>
      <c r="J48" s="8"/>
      <c r="K48" s="26">
        <v>4.5</v>
      </c>
      <c r="L48" s="8"/>
      <c r="M48" s="26">
        <v>5.7000000000000002</v>
      </c>
      <c r="N48" s="8"/>
      <c r="O48" s="26">
        <v>3.1000000000000001</v>
      </c>
      <c r="P48" s="8"/>
      <c r="Q48" s="26">
        <v>2.3999999999999999</v>
      </c>
      <c r="R48" s="8"/>
      <c r="S48" s="26">
        <v>2.8999999999999999</v>
      </c>
      <c r="T48" s="8"/>
      <c r="U48" s="26">
        <v>0.40000000000000002</v>
      </c>
      <c r="V48" s="8"/>
      <c r="W48" s="26">
        <v>2.7000000000000002</v>
      </c>
      <c r="X48" s="8"/>
      <c r="Y48" s="26">
        <v>3.1000000000000001</v>
      </c>
      <c r="Z48" s="8"/>
      <c r="AA48" s="26">
        <v>2.6000000000000001</v>
      </c>
      <c r="AB48" s="8"/>
    </row>
    <row r="49" ht="12" customHeight="1">
      <c r="A49" s="8" t="s">
        <v>159</v>
      </c>
      <c r="B49" s="8" t="s">
        <v>160</v>
      </c>
      <c r="C49" s="26">
        <v>-6.0999999999999996</v>
      </c>
      <c r="D49" s="8"/>
      <c r="E49" s="26">
        <v>-3.6000000000000001</v>
      </c>
      <c r="F49" s="8"/>
      <c r="G49" s="26">
        <v>-7.5</v>
      </c>
      <c r="H49" s="8"/>
      <c r="I49" s="26">
        <v>-9.9000000000000004</v>
      </c>
      <c r="J49" s="8"/>
      <c r="K49" s="26">
        <v>-8.5</v>
      </c>
      <c r="L49" s="8"/>
      <c r="M49" s="26">
        <v>-12.1</v>
      </c>
      <c r="N49" s="8"/>
      <c r="O49" s="26">
        <v>-6.5</v>
      </c>
      <c r="P49" s="8"/>
      <c r="Q49" s="26">
        <v>-5.7000000000000002</v>
      </c>
      <c r="R49" s="8"/>
      <c r="S49" s="26">
        <v>-7.0999999999999996</v>
      </c>
      <c r="T49" s="8"/>
      <c r="U49" s="26">
        <v>-5.5999999999999996</v>
      </c>
      <c r="V49" s="8"/>
      <c r="W49" s="26">
        <v>-10.6</v>
      </c>
      <c r="X49" s="8"/>
      <c r="Y49" s="26">
        <v>-12.199999999999999</v>
      </c>
      <c r="Z49" s="8"/>
      <c r="AA49" s="26">
        <v>-9.9000000000000004</v>
      </c>
      <c r="AB49" s="8"/>
    </row>
    <row r="50" ht="12" customHeight="1">
      <c r="A50" s="8" t="s">
        <v>161</v>
      </c>
      <c r="B50" s="8" t="s">
        <v>162</v>
      </c>
      <c r="C50" s="26">
        <v>8.8000000000000007</v>
      </c>
      <c r="D50" s="8"/>
      <c r="E50" s="26">
        <v>8.9000000000000004</v>
      </c>
      <c r="F50" s="8"/>
      <c r="G50" s="26">
        <v>4.4000000000000004</v>
      </c>
      <c r="H50" s="8"/>
      <c r="I50" s="26">
        <v>3.2999999999999998</v>
      </c>
      <c r="J50" s="8"/>
      <c r="K50" s="26">
        <v>0.80000000000000004</v>
      </c>
      <c r="L50" s="8"/>
      <c r="M50" s="26">
        <v>0.90000000000000002</v>
      </c>
      <c r="N50" s="8"/>
      <c r="O50" s="26">
        <v>1.7</v>
      </c>
      <c r="P50" s="8"/>
      <c r="Q50" s="26">
        <v>-0.40000000000000002</v>
      </c>
      <c r="R50" s="8"/>
      <c r="S50" s="26">
        <v>0.40000000000000002</v>
      </c>
      <c r="T50" s="8"/>
      <c r="U50" s="26">
        <v>0</v>
      </c>
      <c r="V50" s="8"/>
      <c r="W50" s="26">
        <v>1.2</v>
      </c>
      <c r="X50" s="8"/>
      <c r="Y50" s="26">
        <v>2.5</v>
      </c>
      <c r="Z50" s="8"/>
      <c r="AA50" s="26">
        <v>3</v>
      </c>
      <c r="AB50" s="8"/>
    </row>
    <row r="51" ht="12" customHeight="1">
      <c r="A51" s="8" t="s">
        <v>163</v>
      </c>
      <c r="B51" s="8" t="s">
        <v>164</v>
      </c>
      <c r="C51" s="26">
        <v>7</v>
      </c>
      <c r="D51" s="8"/>
      <c r="E51" s="26">
        <v>8.8000000000000007</v>
      </c>
      <c r="F51" s="8"/>
      <c r="G51" s="26">
        <v>10.300000000000001</v>
      </c>
      <c r="H51" s="8"/>
      <c r="I51" s="26">
        <v>7.7000000000000002</v>
      </c>
      <c r="J51" s="8"/>
      <c r="K51" s="26">
        <v>5.2999999999999998</v>
      </c>
      <c r="L51" s="8"/>
      <c r="M51" s="26">
        <v>4.7999999999999998</v>
      </c>
      <c r="N51" s="8"/>
      <c r="O51" s="26">
        <v>-1.2</v>
      </c>
      <c r="P51" s="8"/>
      <c r="Q51" s="26">
        <v>0.69999999999999996</v>
      </c>
      <c r="R51" s="8"/>
      <c r="S51" s="26">
        <v>1.8</v>
      </c>
      <c r="T51" s="8"/>
      <c r="U51" s="26">
        <v>-0.10000000000000001</v>
      </c>
      <c r="V51" s="8"/>
      <c r="W51" s="26">
        <v>0.29999999999999999</v>
      </c>
      <c r="X51" s="8"/>
      <c r="Y51" s="26">
        <v>-0.20000000000000001</v>
      </c>
      <c r="Z51" s="8"/>
      <c r="AA51" s="26">
        <v>-1.2</v>
      </c>
      <c r="AB51" s="8"/>
    </row>
    <row r="52" ht="12" customHeight="1">
      <c r="A52" s="8" t="s">
        <v>165</v>
      </c>
      <c r="B52" s="8" t="s">
        <v>166</v>
      </c>
      <c r="C52" s="26">
        <v>2.1000000000000001</v>
      </c>
      <c r="D52" s="8"/>
      <c r="E52" s="26">
        <v>3.2000000000000002</v>
      </c>
      <c r="F52" s="8"/>
      <c r="G52" s="26">
        <v>3.7999999999999998</v>
      </c>
      <c r="H52" s="8"/>
      <c r="I52" s="26">
        <v>7</v>
      </c>
      <c r="J52" s="8"/>
      <c r="K52" s="26">
        <v>6.4000000000000004</v>
      </c>
      <c r="L52" s="8"/>
      <c r="M52" s="26">
        <v>7.7000000000000002</v>
      </c>
      <c r="N52" s="8"/>
      <c r="O52" s="26">
        <v>8.3000000000000007</v>
      </c>
      <c r="P52" s="8"/>
      <c r="Q52" s="26">
        <v>7.0999999999999996</v>
      </c>
      <c r="R52" s="8"/>
      <c r="S52" s="26">
        <v>5.7999999999999998</v>
      </c>
      <c r="T52" s="8"/>
      <c r="U52" s="26">
        <v>3.7000000000000002</v>
      </c>
      <c r="V52" s="8"/>
      <c r="W52" s="26">
        <v>7.2999999999999998</v>
      </c>
      <c r="X52" s="8"/>
      <c r="Y52" s="26">
        <v>7.5</v>
      </c>
      <c r="Z52" s="8"/>
      <c r="AA52" s="26">
        <v>6.7999999999999998</v>
      </c>
      <c r="AB52" s="8"/>
    </row>
    <row r="53" ht="12" customHeight="1">
      <c r="A53" s="8" t="s">
        <v>167</v>
      </c>
      <c r="B53" s="8" t="s">
        <v>168</v>
      </c>
      <c r="C53" s="26">
        <v>5.7999999999999998</v>
      </c>
      <c r="D53" s="8"/>
      <c r="E53" s="26">
        <v>8.9000000000000004</v>
      </c>
      <c r="F53" s="8"/>
      <c r="G53" s="26">
        <v>7.2999999999999998</v>
      </c>
      <c r="H53" s="8"/>
      <c r="I53" s="26">
        <v>9.4000000000000004</v>
      </c>
      <c r="J53" s="8"/>
      <c r="K53" s="26">
        <v>6.5</v>
      </c>
      <c r="L53" s="8"/>
      <c r="M53" s="26">
        <v>5.5999999999999996</v>
      </c>
      <c r="N53" s="8"/>
      <c r="O53" s="26">
        <v>4.7000000000000002</v>
      </c>
      <c r="P53" s="8"/>
      <c r="Q53" s="26">
        <v>2.7000000000000002</v>
      </c>
      <c r="R53" s="8"/>
      <c r="S53" s="26">
        <v>3.5</v>
      </c>
      <c r="T53" s="8"/>
      <c r="U53" s="26">
        <v>2.6000000000000001</v>
      </c>
      <c r="V53" s="8"/>
      <c r="W53" s="26">
        <v>1.2</v>
      </c>
      <c r="X53" s="8"/>
      <c r="Y53" s="26">
        <v>3.1000000000000001</v>
      </c>
      <c r="Z53" s="8"/>
      <c r="AA53" s="26">
        <v>3</v>
      </c>
      <c r="AB53" s="8"/>
    </row>
    <row r="54" ht="12" customHeight="1">
      <c r="A54" s="8" t="s">
        <v>169</v>
      </c>
      <c r="B54" s="8" t="s">
        <v>170</v>
      </c>
      <c r="C54" s="26">
        <v>14.6</v>
      </c>
      <c r="D54" s="8"/>
      <c r="E54" s="26">
        <v>14</v>
      </c>
      <c r="F54" s="8"/>
      <c r="G54" s="26">
        <v>14.1</v>
      </c>
      <c r="H54" s="8"/>
      <c r="I54" s="26">
        <v>8.5999999999999996</v>
      </c>
      <c r="J54" s="8"/>
      <c r="K54" s="26">
        <v>4.7000000000000002</v>
      </c>
      <c r="L54" s="8"/>
      <c r="M54" s="26">
        <v>9.5</v>
      </c>
      <c r="N54" s="8"/>
      <c r="O54" s="26">
        <v>3.5</v>
      </c>
      <c r="P54" s="8"/>
      <c r="Q54" s="26">
        <v>0.69999999999999996</v>
      </c>
      <c r="R54" s="8"/>
      <c r="S54" s="26">
        <v>2.8999999999999999</v>
      </c>
      <c r="T54" s="8"/>
      <c r="U54" s="26">
        <v>-1.3999999999999999</v>
      </c>
      <c r="V54" s="8"/>
      <c r="W54" s="26">
        <v>5.0999999999999996</v>
      </c>
      <c r="X54" s="8"/>
      <c r="Y54" s="26">
        <v>7</v>
      </c>
      <c r="Z54" s="8"/>
      <c r="AA54" s="26">
        <v>6.9000000000000004</v>
      </c>
      <c r="AB54" s="8"/>
    </row>
    <row r="55" ht="12" customHeight="1">
      <c r="A55" s="11" t="s">
        <v>171</v>
      </c>
      <c r="B55" s="8" t="s">
        <v>172</v>
      </c>
      <c r="C55" s="26">
        <v>2.8999999999999999</v>
      </c>
      <c r="D55" s="8"/>
      <c r="E55" s="26">
        <v>4.0999999999999996</v>
      </c>
      <c r="F55" s="8"/>
      <c r="G55" s="26">
        <v>4.0999999999999996</v>
      </c>
      <c r="H55" s="8"/>
      <c r="I55" s="26">
        <v>4</v>
      </c>
      <c r="J55" s="8"/>
      <c r="K55" s="26">
        <v>4</v>
      </c>
      <c r="L55" s="8"/>
      <c r="M55" s="26">
        <v>4.7000000000000002</v>
      </c>
      <c r="N55" s="8"/>
      <c r="O55" s="26">
        <v>4.7000000000000002</v>
      </c>
      <c r="P55" s="8"/>
      <c r="Q55" s="26">
        <v>-4.5</v>
      </c>
      <c r="R55" s="8"/>
      <c r="S55" s="26">
        <v>-4.5</v>
      </c>
      <c r="T55" s="8"/>
      <c r="U55" s="26">
        <v>0.90000000000000002</v>
      </c>
      <c r="V55" s="8"/>
      <c r="W55" s="26">
        <v>0.90000000000000002</v>
      </c>
      <c r="X55" s="8"/>
      <c r="Y55" s="26">
        <v>9.9000000000000004</v>
      </c>
      <c r="Z55" s="8"/>
      <c r="AA55" s="26">
        <v>9.9000000000000004</v>
      </c>
      <c r="AB55" s="8"/>
    </row>
    <row r="56" ht="12" customHeight="1">
      <c r="A56" s="8" t="s">
        <v>173</v>
      </c>
      <c r="B56" s="8" t="s">
        <v>174</v>
      </c>
      <c r="C56" s="26">
        <v>4</v>
      </c>
      <c r="D56" s="8"/>
      <c r="E56" s="26">
        <v>4</v>
      </c>
      <c r="F56" s="8"/>
      <c r="G56" s="26">
        <v>4</v>
      </c>
      <c r="H56" s="8"/>
      <c r="I56" s="26">
        <v>3.6000000000000001</v>
      </c>
      <c r="J56" s="8"/>
      <c r="K56" s="26">
        <v>3.6000000000000001</v>
      </c>
      <c r="L56" s="8"/>
      <c r="M56" s="26">
        <v>3.6000000000000001</v>
      </c>
      <c r="N56" s="8"/>
      <c r="O56" s="26">
        <v>3.6000000000000001</v>
      </c>
      <c r="P56" s="8"/>
      <c r="Q56" s="26">
        <v>-21.699999999999999</v>
      </c>
      <c r="R56" s="8"/>
      <c r="S56" s="26">
        <v>-21.699999999999999</v>
      </c>
      <c r="T56" s="8"/>
      <c r="U56" s="26">
        <v>-21.699999999999999</v>
      </c>
      <c r="V56" s="8"/>
      <c r="W56" s="26">
        <v>-21.699999999999999</v>
      </c>
      <c r="X56" s="8"/>
      <c r="Y56" s="26">
        <v>2.3999999999999999</v>
      </c>
      <c r="Z56" s="8"/>
      <c r="AA56" s="26">
        <v>2.3999999999999999</v>
      </c>
      <c r="AB56" s="8"/>
    </row>
    <row r="57" ht="12" customHeight="1">
      <c r="A57" s="8" t="s">
        <v>175</v>
      </c>
      <c r="B57" s="8" t="s">
        <v>176</v>
      </c>
      <c r="C57" s="26">
        <v>3.5</v>
      </c>
      <c r="D57" s="8"/>
      <c r="E57" s="26">
        <v>3</v>
      </c>
      <c r="F57" s="8"/>
      <c r="G57" s="26">
        <v>3</v>
      </c>
      <c r="H57" s="8"/>
      <c r="I57" s="26">
        <v>3</v>
      </c>
      <c r="J57" s="8"/>
      <c r="K57" s="26">
        <v>3</v>
      </c>
      <c r="L57" s="8"/>
      <c r="M57" s="26">
        <v>4.5</v>
      </c>
      <c r="N57" s="8"/>
      <c r="O57" s="26">
        <v>4.5</v>
      </c>
      <c r="P57" s="8"/>
      <c r="Q57" s="26">
        <v>4.5</v>
      </c>
      <c r="R57" s="8"/>
      <c r="S57" s="26">
        <v>4.5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</row>
    <row r="58" ht="12" customHeight="1">
      <c r="A58" s="8" t="s">
        <v>177</v>
      </c>
      <c r="B58" s="8" t="s">
        <v>178</v>
      </c>
      <c r="C58" s="26">
        <v>1.3999999999999999</v>
      </c>
      <c r="D58" s="8"/>
      <c r="E58" s="26">
        <v>5</v>
      </c>
      <c r="F58" s="8"/>
      <c r="G58" s="26">
        <v>5</v>
      </c>
      <c r="H58" s="8"/>
      <c r="I58" s="26">
        <v>5</v>
      </c>
      <c r="J58" s="8"/>
      <c r="K58" s="26">
        <v>5</v>
      </c>
      <c r="L58" s="8"/>
      <c r="M58" s="26">
        <v>5.7999999999999998</v>
      </c>
      <c r="N58" s="8"/>
      <c r="O58" s="26">
        <v>5.7999999999999998</v>
      </c>
      <c r="P58" s="8"/>
      <c r="Q58" s="26">
        <v>5.7999999999999998</v>
      </c>
      <c r="R58" s="8"/>
      <c r="S58" s="26">
        <v>5.7999999999999998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</row>
    <row r="59" ht="12" customHeight="1">
      <c r="A59" s="8" t="s">
        <v>179</v>
      </c>
      <c r="B59" s="8" t="s">
        <v>180</v>
      </c>
      <c r="C59" s="26">
        <v>0.90000000000000002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4.2999999999999998</v>
      </c>
      <c r="N59" s="8"/>
      <c r="O59" s="26">
        <v>4.2999999999999998</v>
      </c>
      <c r="P59" s="8"/>
      <c r="Q59" s="26">
        <v>4.2999999999999998</v>
      </c>
      <c r="R59" s="8"/>
      <c r="S59" s="26">
        <v>4.2999999999999998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</row>
    <row r="60" ht="12" customHeight="1">
      <c r="A60" s="11" t="s">
        <v>181</v>
      </c>
      <c r="B60" s="8" t="s">
        <v>182</v>
      </c>
      <c r="C60" s="26">
        <v>4.5999999999999996</v>
      </c>
      <c r="D60" s="8"/>
      <c r="E60" s="26">
        <v>5.5</v>
      </c>
      <c r="F60" s="8"/>
      <c r="G60" s="26">
        <v>7.5</v>
      </c>
      <c r="H60" s="8"/>
      <c r="I60" s="26">
        <v>9.0999999999999996</v>
      </c>
      <c r="J60" s="8"/>
      <c r="K60" s="26">
        <v>9.6999999999999993</v>
      </c>
      <c r="L60" s="8"/>
      <c r="M60" s="26">
        <v>10.699999999999999</v>
      </c>
      <c r="N60" s="8"/>
      <c r="O60" s="26">
        <v>10.5</v>
      </c>
      <c r="P60" s="8"/>
      <c r="Q60" s="26">
        <v>9.6999999999999993</v>
      </c>
      <c r="R60" s="8"/>
      <c r="S60" s="26">
        <v>8.8000000000000007</v>
      </c>
      <c r="T60" s="8"/>
      <c r="U60" s="26">
        <v>7</v>
      </c>
      <c r="V60" s="8"/>
      <c r="W60" s="26">
        <v>5.5</v>
      </c>
      <c r="X60" s="8"/>
      <c r="Y60" s="26">
        <v>4.4000000000000004</v>
      </c>
      <c r="Z60" s="8"/>
      <c r="AA60" s="26">
        <v>3.2999999999999998</v>
      </c>
      <c r="AB60" s="8"/>
    </row>
    <row r="61" ht="12" customHeight="1">
      <c r="A61" s="8" t="s">
        <v>183</v>
      </c>
      <c r="B61" s="8" t="s">
        <v>184</v>
      </c>
      <c r="C61" s="26">
        <v>7.2999999999999998</v>
      </c>
      <c r="D61" s="8"/>
      <c r="E61" s="26">
        <v>7.2000000000000002</v>
      </c>
      <c r="F61" s="8"/>
      <c r="G61" s="26">
        <v>7.7000000000000002</v>
      </c>
      <c r="H61" s="8"/>
      <c r="I61" s="26">
        <v>6.0999999999999996</v>
      </c>
      <c r="J61" s="8"/>
      <c r="K61" s="26">
        <v>2.7999999999999998</v>
      </c>
      <c r="L61" s="8"/>
      <c r="M61" s="26">
        <v>1.3</v>
      </c>
      <c r="N61" s="8"/>
      <c r="O61" s="26">
        <v>-0.80000000000000004</v>
      </c>
      <c r="P61" s="8"/>
      <c r="Q61" s="26">
        <v>-0.69999999999999996</v>
      </c>
      <c r="R61" s="8"/>
      <c r="S61" s="26">
        <v>0.20000000000000001</v>
      </c>
      <c r="T61" s="8"/>
      <c r="U61" s="26">
        <v>0.29999999999999999</v>
      </c>
      <c r="V61" s="8"/>
      <c r="W61" s="26">
        <v>1.3</v>
      </c>
      <c r="X61" s="8"/>
      <c r="Y61" s="26">
        <v>1.8999999999999999</v>
      </c>
      <c r="Z61" s="8"/>
      <c r="AA61" s="26">
        <v>1.7</v>
      </c>
      <c r="AB61" s="8"/>
    </row>
    <row r="62" ht="12" customHeight="1">
      <c r="A62" s="8" t="s">
        <v>185</v>
      </c>
      <c r="B62" s="8" t="s">
        <v>186</v>
      </c>
      <c r="C62" s="26">
        <v>6.5999999999999996</v>
      </c>
      <c r="D62" s="8"/>
      <c r="E62" s="26">
        <v>6.5999999999999996</v>
      </c>
      <c r="F62" s="8"/>
      <c r="G62" s="26">
        <v>3.8999999999999999</v>
      </c>
      <c r="H62" s="8"/>
      <c r="I62" s="26">
        <v>2.2000000000000002</v>
      </c>
      <c r="J62" s="8"/>
      <c r="K62" s="26">
        <v>1.6000000000000001</v>
      </c>
      <c r="L62" s="8"/>
      <c r="M62" s="26">
        <v>2.2999999999999998</v>
      </c>
      <c r="N62" s="8"/>
      <c r="O62" s="26">
        <v>5.7999999999999998</v>
      </c>
      <c r="P62" s="8"/>
      <c r="Q62" s="26">
        <v>5.9000000000000004</v>
      </c>
      <c r="R62" s="8"/>
      <c r="S62" s="26">
        <v>5.2000000000000002</v>
      </c>
      <c r="T62" s="8"/>
      <c r="U62" s="26">
        <v>4.7000000000000002</v>
      </c>
      <c r="V62" s="8"/>
      <c r="W62" s="26">
        <v>5.5</v>
      </c>
      <c r="X62" s="8"/>
      <c r="Y62" s="26">
        <v>5.5999999999999996</v>
      </c>
      <c r="Z62" s="8"/>
      <c r="AA62" s="26">
        <v>7.7999999999999998</v>
      </c>
      <c r="AB62" s="8"/>
    </row>
    <row r="63" ht="12" customHeight="1">
      <c r="A63" s="8" t="s">
        <v>187</v>
      </c>
      <c r="B63" s="8" t="s">
        <v>188</v>
      </c>
      <c r="C63" s="26">
        <v>3.2999999999999998</v>
      </c>
      <c r="D63" s="8"/>
      <c r="E63" s="26">
        <v>5.0999999999999996</v>
      </c>
      <c r="F63" s="8"/>
      <c r="G63" s="26">
        <v>8.8000000000000007</v>
      </c>
      <c r="H63" s="8"/>
      <c r="I63" s="26">
        <v>12.9</v>
      </c>
      <c r="J63" s="8"/>
      <c r="K63" s="26">
        <v>15.5</v>
      </c>
      <c r="L63" s="8"/>
      <c r="M63" s="26">
        <v>17.899999999999999</v>
      </c>
      <c r="N63" s="8"/>
      <c r="O63" s="26">
        <v>18</v>
      </c>
      <c r="P63" s="8"/>
      <c r="Q63" s="26">
        <v>16.399999999999999</v>
      </c>
      <c r="R63" s="8"/>
      <c r="S63" s="26">
        <v>14.300000000000001</v>
      </c>
      <c r="T63" s="8"/>
      <c r="U63" s="26">
        <v>11</v>
      </c>
      <c r="V63" s="8"/>
      <c r="W63" s="26">
        <v>8.0999999999999996</v>
      </c>
      <c r="X63" s="8"/>
      <c r="Y63" s="26">
        <v>5.9000000000000004</v>
      </c>
      <c r="Z63" s="8"/>
      <c r="AA63" s="26">
        <v>4</v>
      </c>
      <c r="AB63" s="8"/>
    </row>
    <row r="64" ht="12" customHeight="1">
      <c r="A64" s="8" t="s">
        <v>189</v>
      </c>
      <c r="B64" s="8" t="s">
        <v>190</v>
      </c>
      <c r="C64" s="26">
        <v>-1.7</v>
      </c>
      <c r="D64" s="8"/>
      <c r="E64" s="26">
        <v>-2.7000000000000002</v>
      </c>
      <c r="F64" s="8"/>
      <c r="G64" s="26">
        <v>3</v>
      </c>
      <c r="H64" s="8"/>
      <c r="I64" s="26">
        <v>-3.1000000000000001</v>
      </c>
      <c r="J64" s="8"/>
      <c r="K64" s="26">
        <v>-1</v>
      </c>
      <c r="L64" s="8"/>
      <c r="M64" s="26">
        <v>0</v>
      </c>
      <c r="N64" s="8"/>
      <c r="O64" s="26">
        <v>0</v>
      </c>
      <c r="P64" s="8"/>
      <c r="Q64" s="26">
        <v>-2.7999999999999998</v>
      </c>
      <c r="R64" s="8"/>
      <c r="S64" s="26">
        <v>-3.8999999999999999</v>
      </c>
      <c r="T64" s="8"/>
      <c r="U64" s="26">
        <v>-3.8999999999999999</v>
      </c>
      <c r="V64" s="8"/>
      <c r="W64" s="26">
        <v>-4.5999999999999996</v>
      </c>
      <c r="X64" s="8"/>
      <c r="Y64" s="26">
        <v>-1.8</v>
      </c>
      <c r="Z64" s="8"/>
      <c r="AA64" s="26">
        <v>-0.69999999999999996</v>
      </c>
      <c r="AB64" s="8"/>
    </row>
    <row r="65" ht="12" customHeight="1">
      <c r="A65" s="8" t="s">
        <v>191</v>
      </c>
      <c r="B65" s="8" t="s">
        <v>192</v>
      </c>
      <c r="C65" s="26">
        <v>4.9000000000000004</v>
      </c>
      <c r="D65" s="8"/>
      <c r="E65" s="26">
        <v>4.2999999999999998</v>
      </c>
      <c r="F65" s="8"/>
      <c r="G65" s="26">
        <v>2.7999999999999998</v>
      </c>
      <c r="H65" s="8"/>
      <c r="I65" s="26">
        <v>3</v>
      </c>
      <c r="J65" s="8"/>
      <c r="K65" s="26">
        <v>3.7000000000000002</v>
      </c>
      <c r="L65" s="8"/>
      <c r="M65" s="26">
        <v>3.2999999999999998</v>
      </c>
      <c r="N65" s="8"/>
      <c r="O65" s="26">
        <v>4</v>
      </c>
      <c r="P65" s="8"/>
      <c r="Q65" s="26">
        <v>3.1000000000000001</v>
      </c>
      <c r="R65" s="8"/>
      <c r="S65" s="26">
        <v>3.1000000000000001</v>
      </c>
      <c r="T65" s="8"/>
      <c r="U65" s="26">
        <v>3.1000000000000001</v>
      </c>
      <c r="V65" s="8"/>
      <c r="W65" s="26">
        <v>2.7000000000000002</v>
      </c>
      <c r="X65" s="8"/>
      <c r="Y65" s="26">
        <v>1.8</v>
      </c>
      <c r="Z65" s="8"/>
      <c r="AA65" s="26">
        <v>1.2</v>
      </c>
      <c r="AB65" s="8"/>
    </row>
    <row r="66" ht="12" customHeight="1">
      <c r="A66" s="11" t="s">
        <v>193</v>
      </c>
      <c r="B66" s="8" t="s">
        <v>194</v>
      </c>
      <c r="C66" s="26">
        <v>44.899999999999999</v>
      </c>
      <c r="D66" s="8"/>
      <c r="E66" s="26">
        <v>37.600000000000001</v>
      </c>
      <c r="F66" s="8"/>
      <c r="G66" s="26">
        <v>28.800000000000001</v>
      </c>
      <c r="H66" s="8"/>
      <c r="I66" s="26">
        <v>27.300000000000001</v>
      </c>
      <c r="J66" s="8"/>
      <c r="K66" s="26">
        <v>31.199999999999999</v>
      </c>
      <c r="L66" s="8"/>
      <c r="M66" s="26">
        <v>28.199999999999999</v>
      </c>
      <c r="N66" s="8"/>
      <c r="O66" s="26">
        <v>26.699999999999999</v>
      </c>
      <c r="P66" s="8"/>
      <c r="Q66" s="26">
        <v>18.199999999999999</v>
      </c>
      <c r="R66" s="8"/>
      <c r="S66" s="26">
        <v>7.0999999999999996</v>
      </c>
      <c r="T66" s="8"/>
      <c r="U66" s="26">
        <v>0.5</v>
      </c>
      <c r="V66" s="8"/>
      <c r="W66" s="26">
        <v>-7.7000000000000002</v>
      </c>
      <c r="X66" s="8"/>
      <c r="Y66" s="26">
        <v>-14.300000000000001</v>
      </c>
      <c r="Z66" s="8"/>
      <c r="AA66" s="26">
        <v>-17.300000000000001</v>
      </c>
      <c r="AB66" s="8"/>
    </row>
    <row r="67" ht="12" customHeight="1">
      <c r="A67" s="8" t="s">
        <v>195</v>
      </c>
      <c r="B67" s="8" t="s">
        <v>196</v>
      </c>
      <c r="C67" s="26">
        <v>44.899999999999999</v>
      </c>
      <c r="D67" s="8"/>
      <c r="E67" s="26">
        <v>37.600000000000001</v>
      </c>
      <c r="F67" s="8"/>
      <c r="G67" s="26">
        <v>28.800000000000001</v>
      </c>
      <c r="H67" s="8"/>
      <c r="I67" s="26">
        <v>27.300000000000001</v>
      </c>
      <c r="J67" s="8"/>
      <c r="K67" s="26">
        <v>31.199999999999999</v>
      </c>
      <c r="L67" s="8"/>
      <c r="M67" s="26">
        <v>28.199999999999999</v>
      </c>
      <c r="N67" s="8"/>
      <c r="O67" s="26">
        <v>26.699999999999999</v>
      </c>
      <c r="P67" s="8"/>
      <c r="Q67" s="26">
        <v>18.199999999999999</v>
      </c>
      <c r="R67" s="8"/>
      <c r="S67" s="26">
        <v>7.0999999999999996</v>
      </c>
      <c r="T67" s="8"/>
      <c r="U67" s="26">
        <v>0.5</v>
      </c>
      <c r="V67" s="8"/>
      <c r="W67" s="26">
        <v>-7.7000000000000002</v>
      </c>
      <c r="X67" s="8"/>
      <c r="Y67" s="26">
        <v>-14.300000000000001</v>
      </c>
      <c r="Z67" s="8"/>
      <c r="AA67" s="26">
        <v>-17.300000000000001</v>
      </c>
      <c r="AB67" s="8"/>
    </row>
    <row r="68" ht="12" customHeight="1">
      <c r="A68" s="13" t="s">
        <v>69</v>
      </c>
      <c r="B68" s="10" t="s">
        <v>40</v>
      </c>
      <c r="C68" s="27">
        <v>8.1999999999999993</v>
      </c>
      <c r="D68" s="10"/>
      <c r="E68" s="27">
        <v>7.7000000000000002</v>
      </c>
      <c r="F68" s="10"/>
      <c r="G68" s="27">
        <v>7.2000000000000002</v>
      </c>
      <c r="H68" s="10"/>
      <c r="I68" s="27">
        <v>7.4000000000000004</v>
      </c>
      <c r="J68" s="10"/>
      <c r="K68" s="27">
        <v>7</v>
      </c>
      <c r="L68" s="10"/>
      <c r="M68" s="27">
        <v>6.2000000000000002</v>
      </c>
      <c r="N68" s="10"/>
      <c r="O68" s="27">
        <v>5.4000000000000004</v>
      </c>
      <c r="P68" s="10"/>
      <c r="Q68" s="27">
        <v>3.7999999999999998</v>
      </c>
      <c r="R68" s="10"/>
      <c r="S68" s="27">
        <v>3</v>
      </c>
      <c r="T68" s="10"/>
      <c r="U68" s="27">
        <v>2.8999999999999999</v>
      </c>
      <c r="V68" s="10"/>
      <c r="W68" s="27">
        <v>2.6000000000000001</v>
      </c>
      <c r="X68" s="10"/>
      <c r="Y68" s="27">
        <v>2.3999999999999999</v>
      </c>
      <c r="Z68" s="10"/>
      <c r="AA68" s="27">
        <v>2.2000000000000002</v>
      </c>
      <c r="AB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202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204</v>
      </c>
      <c r="C8" s="19">
        <v>1238</v>
      </c>
      <c r="D8" s="19"/>
      <c r="E8" s="19">
        <v>1289</v>
      </c>
      <c r="F8" s="19"/>
      <c r="G8" s="19">
        <v>1312</v>
      </c>
      <c r="H8" s="19"/>
      <c r="I8" s="19">
        <v>1316</v>
      </c>
      <c r="J8" s="19"/>
      <c r="K8" s="19">
        <v>1306</v>
      </c>
      <c r="L8" s="19"/>
      <c r="M8" s="19">
        <v>1311</v>
      </c>
      <c r="N8" s="19"/>
      <c r="O8" s="19">
        <v>1303</v>
      </c>
      <c r="P8" s="19"/>
      <c r="Q8" s="19">
        <v>1314</v>
      </c>
      <c r="R8" s="19"/>
      <c r="S8" s="19">
        <v>1315</v>
      </c>
      <c r="T8" s="19"/>
      <c r="U8" s="19">
        <v>1340</v>
      </c>
      <c r="V8" s="19"/>
      <c r="W8" s="19">
        <v>1364</v>
      </c>
      <c r="X8" s="19"/>
      <c r="Y8" s="19">
        <v>1390</v>
      </c>
      <c r="Z8" s="19"/>
      <c r="AA8" s="19">
        <v>1376</v>
      </c>
      <c r="AB8" s="19"/>
      <c r="AC8" s="19"/>
      <c r="AE8" s="18"/>
      <c r="AG8" s="18"/>
    </row>
    <row r="9" ht="12" customHeight="1">
      <c r="A9" s="8" t="s">
        <v>79</v>
      </c>
      <c r="B9" s="8" t="s">
        <v>205</v>
      </c>
      <c r="C9" s="24">
        <v>1436</v>
      </c>
      <c r="D9" s="8"/>
      <c r="E9" s="24">
        <v>1579</v>
      </c>
      <c r="F9" s="8"/>
      <c r="G9" s="24">
        <v>1544</v>
      </c>
      <c r="H9" s="8"/>
      <c r="I9" s="24">
        <v>1537</v>
      </c>
      <c r="J9" s="8"/>
      <c r="K9" s="24">
        <v>1498</v>
      </c>
      <c r="L9" s="8"/>
      <c r="M9" s="24">
        <v>1478</v>
      </c>
      <c r="N9" s="8"/>
      <c r="O9" s="24">
        <v>1334</v>
      </c>
      <c r="P9" s="8"/>
      <c r="Q9" s="24">
        <v>1347</v>
      </c>
      <c r="R9" s="8"/>
      <c r="S9" s="24">
        <v>1345</v>
      </c>
      <c r="T9" s="8"/>
      <c r="U9" s="24">
        <v>1361</v>
      </c>
      <c r="V9" s="8"/>
      <c r="W9" s="24">
        <v>1409</v>
      </c>
      <c r="X9" s="8"/>
      <c r="Y9" s="24">
        <v>1532</v>
      </c>
      <c r="Z9" s="8"/>
      <c r="AA9" s="24">
        <v>1394</v>
      </c>
      <c r="AB9" s="8"/>
      <c r="AC9" s="8"/>
      <c r="AE9" s="8"/>
      <c r="AG9" s="8"/>
    </row>
    <row r="10" ht="12" customHeight="1">
      <c r="A10" s="8" t="s">
        <v>81</v>
      </c>
      <c r="B10" s="8" t="s">
        <v>206</v>
      </c>
      <c r="C10" s="24">
        <v>1221</v>
      </c>
      <c r="D10" s="8"/>
      <c r="E10" s="24">
        <v>1242</v>
      </c>
      <c r="F10" s="8"/>
      <c r="G10" s="24">
        <v>1262</v>
      </c>
      <c r="H10" s="8"/>
      <c r="I10" s="24">
        <v>1268</v>
      </c>
      <c r="J10" s="8"/>
      <c r="K10" s="24">
        <v>1253</v>
      </c>
      <c r="L10" s="8"/>
      <c r="M10" s="24">
        <v>1246</v>
      </c>
      <c r="N10" s="8"/>
      <c r="O10" s="24">
        <v>1252</v>
      </c>
      <c r="P10" s="8"/>
      <c r="Q10" s="24">
        <v>1268</v>
      </c>
      <c r="R10" s="8"/>
      <c r="S10" s="24">
        <v>1277</v>
      </c>
      <c r="T10" s="8"/>
      <c r="U10" s="24">
        <v>1297</v>
      </c>
      <c r="V10" s="8"/>
      <c r="W10" s="24">
        <v>1315</v>
      </c>
      <c r="X10" s="8"/>
      <c r="Y10" s="24">
        <v>1362</v>
      </c>
      <c r="Z10" s="8"/>
      <c r="AA10" s="24">
        <v>1372</v>
      </c>
      <c r="AB10" s="8"/>
      <c r="AC10" s="8"/>
      <c r="AE10" s="8"/>
      <c r="AG10" s="8"/>
    </row>
    <row r="11" ht="12" customHeight="1">
      <c r="A11" s="8" t="s">
        <v>83</v>
      </c>
      <c r="B11" s="8" t="s">
        <v>207</v>
      </c>
      <c r="C11" s="24">
        <v>1172</v>
      </c>
      <c r="D11" s="8"/>
      <c r="E11" s="24">
        <v>1220</v>
      </c>
      <c r="F11" s="8"/>
      <c r="G11" s="24">
        <v>1254</v>
      </c>
      <c r="H11" s="8"/>
      <c r="I11" s="24">
        <v>1254</v>
      </c>
      <c r="J11" s="8"/>
      <c r="K11" s="24">
        <v>1244</v>
      </c>
      <c r="L11" s="8"/>
      <c r="M11" s="24">
        <v>1255</v>
      </c>
      <c r="N11" s="8"/>
      <c r="O11" s="24">
        <v>1266</v>
      </c>
      <c r="P11" s="8"/>
      <c r="Q11" s="24">
        <v>1277</v>
      </c>
      <c r="R11" s="8"/>
      <c r="S11" s="24">
        <v>1274</v>
      </c>
      <c r="T11" s="8"/>
      <c r="U11" s="24">
        <v>1310</v>
      </c>
      <c r="V11" s="8"/>
      <c r="W11" s="24">
        <v>1331</v>
      </c>
      <c r="X11" s="8"/>
      <c r="Y11" s="24">
        <v>1336</v>
      </c>
      <c r="Z11" s="8"/>
      <c r="AA11" s="24">
        <v>1332</v>
      </c>
      <c r="AB11" s="8"/>
      <c r="AC11" s="8"/>
      <c r="AE11" s="8"/>
      <c r="AG11" s="8"/>
    </row>
    <row r="12" ht="12" customHeight="1">
      <c r="A12" s="8" t="s">
        <v>85</v>
      </c>
      <c r="B12" s="8" t="s">
        <v>208</v>
      </c>
      <c r="C12" s="24">
        <v>1141</v>
      </c>
      <c r="D12" s="8"/>
      <c r="E12" s="24">
        <v>1168</v>
      </c>
      <c r="F12" s="8"/>
      <c r="G12" s="24">
        <v>1203</v>
      </c>
      <c r="H12" s="8"/>
      <c r="I12" s="24">
        <v>1213</v>
      </c>
      <c r="J12" s="8"/>
      <c r="K12" s="24">
        <v>1214</v>
      </c>
      <c r="L12" s="8"/>
      <c r="M12" s="24">
        <v>1228</v>
      </c>
      <c r="N12" s="8"/>
      <c r="O12" s="24">
        <v>1256</v>
      </c>
      <c r="P12" s="8"/>
      <c r="Q12" s="24">
        <v>1266</v>
      </c>
      <c r="R12" s="8"/>
      <c r="S12" s="24">
        <v>1266</v>
      </c>
      <c r="T12" s="8"/>
      <c r="U12" s="24">
        <v>1296</v>
      </c>
      <c r="V12" s="8"/>
      <c r="W12" s="24">
        <v>1329</v>
      </c>
      <c r="X12" s="8"/>
      <c r="Y12" s="24">
        <v>1319</v>
      </c>
      <c r="Z12" s="8"/>
      <c r="AA12" s="24">
        <v>1326</v>
      </c>
      <c r="AB12" s="8"/>
      <c r="AC12" s="8"/>
      <c r="AE12" s="8"/>
      <c r="AG12" s="8"/>
    </row>
    <row r="13" ht="12" customHeight="1">
      <c r="A13" s="8" t="s">
        <v>87</v>
      </c>
      <c r="B13" s="8" t="s">
        <v>209</v>
      </c>
      <c r="C13" s="24">
        <v>1360</v>
      </c>
      <c r="D13" s="8"/>
      <c r="E13" s="24">
        <v>1386</v>
      </c>
      <c r="F13" s="8"/>
      <c r="G13" s="24">
        <v>1426</v>
      </c>
      <c r="H13" s="8"/>
      <c r="I13" s="24">
        <v>1448</v>
      </c>
      <c r="J13" s="8"/>
      <c r="K13" s="24">
        <v>1461</v>
      </c>
      <c r="L13" s="8"/>
      <c r="M13" s="24">
        <v>1475</v>
      </c>
      <c r="N13" s="8"/>
      <c r="O13" s="24">
        <v>1497</v>
      </c>
      <c r="P13" s="8"/>
      <c r="Q13" s="24">
        <v>1503</v>
      </c>
      <c r="R13" s="8"/>
      <c r="S13" s="24">
        <v>1510</v>
      </c>
      <c r="T13" s="8"/>
      <c r="U13" s="24">
        <v>1514</v>
      </c>
      <c r="V13" s="8"/>
      <c r="W13" s="24">
        <v>1528</v>
      </c>
      <c r="X13" s="8"/>
      <c r="Y13" s="24">
        <v>1540</v>
      </c>
      <c r="Z13" s="8"/>
      <c r="AA13" s="24">
        <v>1547</v>
      </c>
      <c r="AB13" s="8"/>
      <c r="AC13" s="8"/>
      <c r="AE13" s="8"/>
      <c r="AG13" s="8"/>
    </row>
    <row r="14" ht="12" customHeight="1">
      <c r="A14" s="11" t="s">
        <v>89</v>
      </c>
      <c r="B14" s="8" t="s">
        <v>210</v>
      </c>
      <c r="C14" s="24">
        <v>1639</v>
      </c>
      <c r="D14" s="8"/>
      <c r="E14" s="24">
        <v>1742</v>
      </c>
      <c r="F14" s="8"/>
      <c r="G14" s="24">
        <v>1751</v>
      </c>
      <c r="H14" s="8"/>
      <c r="I14" s="24">
        <v>1765</v>
      </c>
      <c r="J14" s="8"/>
      <c r="K14" s="24">
        <v>1804</v>
      </c>
      <c r="L14" s="8"/>
      <c r="M14" s="24">
        <v>1900</v>
      </c>
      <c r="N14" s="8"/>
      <c r="O14" s="24">
        <v>1906</v>
      </c>
      <c r="P14" s="8"/>
      <c r="Q14" s="24">
        <v>1915</v>
      </c>
      <c r="R14" s="8"/>
      <c r="S14" s="24">
        <v>1923</v>
      </c>
      <c r="T14" s="8"/>
      <c r="U14" s="24">
        <v>1969</v>
      </c>
      <c r="V14" s="8"/>
      <c r="W14" s="24">
        <v>1966</v>
      </c>
      <c r="X14" s="8"/>
      <c r="Y14" s="24">
        <v>1972</v>
      </c>
      <c r="Z14" s="8"/>
      <c r="AA14" s="24">
        <v>1978</v>
      </c>
      <c r="AB14" s="8"/>
      <c r="AC14" s="8"/>
      <c r="AE14" s="8"/>
      <c r="AG14" s="8"/>
    </row>
    <row r="15" ht="12" customHeight="1">
      <c r="A15" s="8" t="s">
        <v>91</v>
      </c>
      <c r="B15" s="8" t="s">
        <v>211</v>
      </c>
      <c r="C15" s="24">
        <v>1152</v>
      </c>
      <c r="D15" s="8"/>
      <c r="E15" s="24">
        <v>1173</v>
      </c>
      <c r="F15" s="8"/>
      <c r="G15" s="24">
        <v>1197</v>
      </c>
      <c r="H15" s="8"/>
      <c r="I15" s="24">
        <v>1218</v>
      </c>
      <c r="J15" s="8"/>
      <c r="K15" s="24">
        <v>1217</v>
      </c>
      <c r="L15" s="8"/>
      <c r="M15" s="24">
        <v>1229</v>
      </c>
      <c r="N15" s="8"/>
      <c r="O15" s="24">
        <v>1247</v>
      </c>
      <c r="P15" s="8"/>
      <c r="Q15" s="24">
        <v>1256</v>
      </c>
      <c r="R15" s="8"/>
      <c r="S15" s="24">
        <v>1249</v>
      </c>
      <c r="T15" s="8"/>
      <c r="U15" s="24">
        <v>1260</v>
      </c>
      <c r="V15" s="8"/>
      <c r="W15" s="24">
        <v>1253</v>
      </c>
      <c r="X15" s="8"/>
      <c r="Y15" s="24">
        <v>1261</v>
      </c>
      <c r="Z15" s="8"/>
      <c r="AA15" s="24">
        <v>1248</v>
      </c>
      <c r="AB15" s="8"/>
      <c r="AC15" s="8"/>
      <c r="AE15" s="8"/>
      <c r="AG15" s="8"/>
    </row>
    <row r="16" ht="12" customHeight="1">
      <c r="A16" s="8" t="s">
        <v>93</v>
      </c>
      <c r="B16" s="8" t="s">
        <v>212</v>
      </c>
      <c r="C16" s="24">
        <v>1948</v>
      </c>
      <c r="D16" s="8"/>
      <c r="E16" s="24">
        <v>2096</v>
      </c>
      <c r="F16" s="8"/>
      <c r="G16" s="24">
        <v>2097</v>
      </c>
      <c r="H16" s="8"/>
      <c r="I16" s="24">
        <v>2110</v>
      </c>
      <c r="J16" s="8"/>
      <c r="K16" s="24">
        <v>2168</v>
      </c>
      <c r="L16" s="8"/>
      <c r="M16" s="24">
        <v>2310</v>
      </c>
      <c r="N16" s="8"/>
      <c r="O16" s="24">
        <v>2311</v>
      </c>
      <c r="P16" s="8"/>
      <c r="Q16" s="24">
        <v>2320</v>
      </c>
      <c r="R16" s="8"/>
      <c r="S16" s="24">
        <v>2335</v>
      </c>
      <c r="T16" s="8"/>
      <c r="U16" s="24">
        <v>2426</v>
      </c>
      <c r="V16" s="8"/>
      <c r="W16" s="24">
        <v>2432</v>
      </c>
      <c r="X16" s="8"/>
      <c r="Y16" s="24">
        <v>2432</v>
      </c>
      <c r="Z16" s="8"/>
      <c r="AA16" s="24">
        <v>2470</v>
      </c>
      <c r="AB16" s="8"/>
      <c r="AC16" s="8"/>
      <c r="AE16" s="8"/>
      <c r="AG16" s="8"/>
    </row>
    <row r="17" ht="12" customHeight="1">
      <c r="A17" s="11" t="s">
        <v>95</v>
      </c>
      <c r="B17" s="8" t="s">
        <v>213</v>
      </c>
      <c r="C17" s="24">
        <v>1068</v>
      </c>
      <c r="D17" s="8"/>
      <c r="E17" s="24">
        <v>1068</v>
      </c>
      <c r="F17" s="8"/>
      <c r="G17" s="24">
        <v>1093</v>
      </c>
      <c r="H17" s="8"/>
      <c r="I17" s="24">
        <v>1098</v>
      </c>
      <c r="J17" s="8"/>
      <c r="K17" s="24">
        <v>1100</v>
      </c>
      <c r="L17" s="8"/>
      <c r="M17" s="24">
        <v>1103</v>
      </c>
      <c r="N17" s="8"/>
      <c r="O17" s="24">
        <v>1106</v>
      </c>
      <c r="P17" s="8"/>
      <c r="Q17" s="24">
        <v>1106</v>
      </c>
      <c r="R17" s="8"/>
      <c r="S17" s="24">
        <v>1097</v>
      </c>
      <c r="T17" s="8"/>
      <c r="U17" s="24">
        <v>1105</v>
      </c>
      <c r="V17" s="8"/>
      <c r="W17" s="24">
        <v>1101</v>
      </c>
      <c r="X17" s="8"/>
      <c r="Y17" s="24">
        <v>1108</v>
      </c>
      <c r="Z17" s="8"/>
      <c r="AA17" s="24">
        <v>1115</v>
      </c>
      <c r="AB17" s="8"/>
      <c r="AC17" s="8"/>
      <c r="AE17" s="8"/>
      <c r="AG17" s="8"/>
    </row>
    <row r="18" ht="12" customHeight="1">
      <c r="A18" s="8" t="s">
        <v>97</v>
      </c>
      <c r="B18" s="8" t="s">
        <v>214</v>
      </c>
      <c r="C18" s="24">
        <v>1055</v>
      </c>
      <c r="D18" s="8"/>
      <c r="E18" s="24">
        <v>1052</v>
      </c>
      <c r="F18" s="8"/>
      <c r="G18" s="24">
        <v>1083</v>
      </c>
      <c r="H18" s="8"/>
      <c r="I18" s="24">
        <v>1092</v>
      </c>
      <c r="J18" s="8"/>
      <c r="K18" s="24">
        <v>1095</v>
      </c>
      <c r="L18" s="8"/>
      <c r="M18" s="24">
        <v>1098</v>
      </c>
      <c r="N18" s="8"/>
      <c r="O18" s="24">
        <v>1104</v>
      </c>
      <c r="P18" s="8"/>
      <c r="Q18" s="24">
        <v>1101</v>
      </c>
      <c r="R18" s="8"/>
      <c r="S18" s="24">
        <v>1088</v>
      </c>
      <c r="T18" s="8"/>
      <c r="U18" s="24">
        <v>1087</v>
      </c>
      <c r="V18" s="8"/>
      <c r="W18" s="24">
        <v>1095</v>
      </c>
      <c r="X18" s="8"/>
      <c r="Y18" s="24">
        <v>1096</v>
      </c>
      <c r="Z18" s="8"/>
      <c r="AA18" s="24">
        <v>1108</v>
      </c>
      <c r="AB18" s="8"/>
      <c r="AC18" s="8"/>
      <c r="AE18" s="8"/>
      <c r="AG18" s="8"/>
    </row>
    <row r="19" ht="12" customHeight="1">
      <c r="A19" s="8" t="s">
        <v>99</v>
      </c>
      <c r="B19" s="8" t="s">
        <v>215</v>
      </c>
      <c r="C19" s="24">
        <v>1077</v>
      </c>
      <c r="D19" s="8"/>
      <c r="E19" s="24">
        <v>1086</v>
      </c>
      <c r="F19" s="8"/>
      <c r="G19" s="24">
        <v>1086</v>
      </c>
      <c r="H19" s="8"/>
      <c r="I19" s="24">
        <v>1077</v>
      </c>
      <c r="J19" s="8"/>
      <c r="K19" s="24">
        <v>1072</v>
      </c>
      <c r="L19" s="8"/>
      <c r="M19" s="24">
        <v>1076</v>
      </c>
      <c r="N19" s="8"/>
      <c r="O19" s="24">
        <v>1072</v>
      </c>
      <c r="P19" s="8"/>
      <c r="Q19" s="24">
        <v>1082</v>
      </c>
      <c r="R19" s="8"/>
      <c r="S19" s="24">
        <v>1089</v>
      </c>
      <c r="T19" s="8"/>
      <c r="U19" s="24">
        <v>1115</v>
      </c>
      <c r="V19" s="8"/>
      <c r="W19" s="24">
        <v>1086</v>
      </c>
      <c r="X19" s="8"/>
      <c r="Y19" s="24">
        <v>1104</v>
      </c>
      <c r="Z19" s="8"/>
      <c r="AA19" s="24">
        <v>1101</v>
      </c>
      <c r="AB19" s="8"/>
      <c r="AC19" s="8"/>
      <c r="AE19" s="8"/>
      <c r="AG19" s="8"/>
    </row>
    <row r="20" ht="12" customHeight="1">
      <c r="A20" s="11" t="s">
        <v>101</v>
      </c>
      <c r="B20" s="8" t="s">
        <v>216</v>
      </c>
      <c r="C20" s="24">
        <v>1283</v>
      </c>
      <c r="D20" s="8"/>
      <c r="E20" s="24">
        <v>1299</v>
      </c>
      <c r="F20" s="8"/>
      <c r="G20" s="24">
        <v>1319</v>
      </c>
      <c r="H20" s="8"/>
      <c r="I20" s="24">
        <v>1338</v>
      </c>
      <c r="J20" s="8"/>
      <c r="K20" s="24">
        <v>1354</v>
      </c>
      <c r="L20" s="8"/>
      <c r="M20" s="24">
        <v>1367</v>
      </c>
      <c r="N20" s="8"/>
      <c r="O20" s="24">
        <v>1387</v>
      </c>
      <c r="P20" s="8"/>
      <c r="Q20" s="24">
        <v>1413</v>
      </c>
      <c r="R20" s="8"/>
      <c r="S20" s="24">
        <v>1423</v>
      </c>
      <c r="T20" s="8"/>
      <c r="U20" s="24">
        <v>1436</v>
      </c>
      <c r="V20" s="8"/>
      <c r="W20" s="24">
        <v>1455</v>
      </c>
      <c r="X20" s="8"/>
      <c r="Y20" s="24">
        <v>1472</v>
      </c>
      <c r="Z20" s="8"/>
      <c r="AA20" s="24">
        <v>1477</v>
      </c>
      <c r="AB20" s="8"/>
      <c r="AC20" s="8"/>
      <c r="AE20" s="8"/>
      <c r="AG20" s="8"/>
    </row>
    <row r="21" ht="12" customHeight="1">
      <c r="A21" s="8" t="s">
        <v>103</v>
      </c>
      <c r="B21" s="8" t="s">
        <v>217</v>
      </c>
      <c r="C21" s="24">
        <v>1310</v>
      </c>
      <c r="D21" s="8"/>
      <c r="E21" s="24">
        <v>1326</v>
      </c>
      <c r="F21" s="8"/>
      <c r="G21" s="24">
        <v>1344</v>
      </c>
      <c r="H21" s="8"/>
      <c r="I21" s="24">
        <v>1362</v>
      </c>
      <c r="J21" s="8"/>
      <c r="K21" s="24">
        <v>1378</v>
      </c>
      <c r="L21" s="8"/>
      <c r="M21" s="24">
        <v>1395</v>
      </c>
      <c r="N21" s="8"/>
      <c r="O21" s="24">
        <v>1413</v>
      </c>
      <c r="P21" s="8"/>
      <c r="Q21" s="24">
        <v>1427</v>
      </c>
      <c r="R21" s="8"/>
      <c r="S21" s="24">
        <v>1440</v>
      </c>
      <c r="T21" s="8"/>
      <c r="U21" s="24">
        <v>1450</v>
      </c>
      <c r="V21" s="8"/>
      <c r="W21" s="24">
        <v>1461</v>
      </c>
      <c r="X21" s="8"/>
      <c r="Y21" s="24">
        <v>1465</v>
      </c>
      <c r="Z21" s="8"/>
      <c r="AA21" s="24">
        <v>1467</v>
      </c>
      <c r="AB21" s="8"/>
      <c r="AC21" s="8"/>
      <c r="AE21" s="8"/>
      <c r="AG21" s="8"/>
    </row>
    <row r="22" ht="12" customHeight="1">
      <c r="A22" s="8" t="s">
        <v>105</v>
      </c>
      <c r="B22" s="8" t="s">
        <v>218</v>
      </c>
      <c r="C22" s="24">
        <v>1310</v>
      </c>
      <c r="D22" s="8"/>
      <c r="E22" s="24">
        <v>1326</v>
      </c>
      <c r="F22" s="8"/>
      <c r="G22" s="24">
        <v>1344</v>
      </c>
      <c r="H22" s="8"/>
      <c r="I22" s="24">
        <v>1362</v>
      </c>
      <c r="J22" s="8"/>
      <c r="K22" s="24">
        <v>1378</v>
      </c>
      <c r="L22" s="8"/>
      <c r="M22" s="24">
        <v>1395</v>
      </c>
      <c r="N22" s="8"/>
      <c r="O22" s="24">
        <v>1413</v>
      </c>
      <c r="P22" s="8"/>
      <c r="Q22" s="24">
        <v>1427</v>
      </c>
      <c r="R22" s="8"/>
      <c r="S22" s="24">
        <v>1440</v>
      </c>
      <c r="T22" s="8"/>
      <c r="U22" s="24">
        <v>1450</v>
      </c>
      <c r="V22" s="8"/>
      <c r="W22" s="24">
        <v>1461</v>
      </c>
      <c r="X22" s="8"/>
      <c r="Y22" s="24">
        <v>1465</v>
      </c>
      <c r="Z22" s="8"/>
      <c r="AA22" s="24">
        <v>1467</v>
      </c>
      <c r="AB22" s="8"/>
      <c r="AC22" s="8"/>
      <c r="AE22" s="8"/>
      <c r="AG22" s="8"/>
    </row>
    <row r="23" ht="12" customHeight="1">
      <c r="A23" s="8" t="s">
        <v>107</v>
      </c>
      <c r="B23" s="8" t="s">
        <v>219</v>
      </c>
      <c r="C23" s="24">
        <v>1346</v>
      </c>
      <c r="D23" s="8"/>
      <c r="E23" s="24">
        <v>1351</v>
      </c>
      <c r="F23" s="8"/>
      <c r="G23" s="24">
        <v>1370</v>
      </c>
      <c r="H23" s="8"/>
      <c r="I23" s="24">
        <v>1382</v>
      </c>
      <c r="J23" s="8"/>
      <c r="K23" s="24">
        <v>1396</v>
      </c>
      <c r="L23" s="8"/>
      <c r="M23" s="24">
        <v>1397</v>
      </c>
      <c r="N23" s="8"/>
      <c r="O23" s="24">
        <v>1419</v>
      </c>
      <c r="P23" s="8"/>
      <c r="Q23" s="24">
        <v>1435</v>
      </c>
      <c r="R23" s="8"/>
      <c r="S23" s="24">
        <v>1435</v>
      </c>
      <c r="T23" s="8"/>
      <c r="U23" s="24">
        <v>1439</v>
      </c>
      <c r="V23" s="8"/>
      <c r="W23" s="24">
        <v>1444</v>
      </c>
      <c r="X23" s="8"/>
      <c r="Y23" s="24">
        <v>1454</v>
      </c>
      <c r="Z23" s="8"/>
      <c r="AA23" s="24">
        <v>1463</v>
      </c>
      <c r="AB23" s="8"/>
      <c r="AC23" s="8"/>
      <c r="AE23" s="8"/>
      <c r="AG23" s="8"/>
    </row>
    <row r="24" ht="12" customHeight="1">
      <c r="A24" s="8" t="s">
        <v>109</v>
      </c>
      <c r="B24" s="8" t="s">
        <v>220</v>
      </c>
      <c r="C24" s="24">
        <v>1504</v>
      </c>
      <c r="D24" s="8"/>
      <c r="E24" s="24">
        <v>1505</v>
      </c>
      <c r="F24" s="8"/>
      <c r="G24" s="24">
        <v>1506</v>
      </c>
      <c r="H24" s="8"/>
      <c r="I24" s="24">
        <v>1651</v>
      </c>
      <c r="J24" s="8"/>
      <c r="K24" s="24">
        <v>1651</v>
      </c>
      <c r="L24" s="8"/>
      <c r="M24" s="24">
        <v>1651</v>
      </c>
      <c r="N24" s="8"/>
      <c r="O24" s="24">
        <v>1652</v>
      </c>
      <c r="P24" s="8"/>
      <c r="Q24" s="24">
        <v>1850</v>
      </c>
      <c r="R24" s="8"/>
      <c r="S24" s="24">
        <v>1850</v>
      </c>
      <c r="T24" s="8"/>
      <c r="U24" s="24">
        <v>1851</v>
      </c>
      <c r="V24" s="8"/>
      <c r="W24" s="24">
        <v>1851</v>
      </c>
      <c r="X24" s="8"/>
      <c r="Y24" s="24">
        <v>1995</v>
      </c>
      <c r="Z24" s="8"/>
      <c r="AA24" s="24">
        <v>1995</v>
      </c>
      <c r="AB24" s="8"/>
      <c r="AC24" s="8"/>
      <c r="AE24" s="8"/>
      <c r="AG24" s="8"/>
    </row>
    <row r="25" ht="12" customHeight="1">
      <c r="A25" s="8" t="s">
        <v>111</v>
      </c>
      <c r="B25" s="8" t="s">
        <v>221</v>
      </c>
      <c r="C25" s="24">
        <v>1545</v>
      </c>
      <c r="D25" s="8"/>
      <c r="E25" s="24">
        <v>1545</v>
      </c>
      <c r="F25" s="8"/>
      <c r="G25" s="24">
        <v>1545</v>
      </c>
      <c r="H25" s="8"/>
      <c r="I25" s="24">
        <v>1696</v>
      </c>
      <c r="J25" s="8"/>
      <c r="K25" s="24">
        <v>1696</v>
      </c>
      <c r="L25" s="8"/>
      <c r="M25" s="24">
        <v>1696</v>
      </c>
      <c r="N25" s="8"/>
      <c r="O25" s="24">
        <v>1696</v>
      </c>
      <c r="P25" s="8"/>
      <c r="Q25" s="24">
        <v>1904</v>
      </c>
      <c r="R25" s="8"/>
      <c r="S25" s="24">
        <v>1904</v>
      </c>
      <c r="T25" s="8"/>
      <c r="U25" s="24">
        <v>1904</v>
      </c>
      <c r="V25" s="8"/>
      <c r="W25" s="24">
        <v>1904</v>
      </c>
      <c r="X25" s="8"/>
      <c r="Y25" s="24">
        <v>2071</v>
      </c>
      <c r="Z25" s="8"/>
      <c r="AA25" s="24">
        <v>2071</v>
      </c>
      <c r="AB25" s="8"/>
      <c r="AC25" s="8"/>
      <c r="AE25" s="8"/>
      <c r="AG25" s="8"/>
    </row>
    <row r="26" ht="12" customHeight="1">
      <c r="A26" s="8" t="s">
        <v>113</v>
      </c>
      <c r="B26" s="8" t="s">
        <v>222</v>
      </c>
      <c r="C26" s="24">
        <v>1106</v>
      </c>
      <c r="D26" s="8"/>
      <c r="E26" s="24">
        <v>1130</v>
      </c>
      <c r="F26" s="8"/>
      <c r="G26" s="24">
        <v>1161</v>
      </c>
      <c r="H26" s="8"/>
      <c r="I26" s="24">
        <v>1145</v>
      </c>
      <c r="J26" s="8"/>
      <c r="K26" s="24">
        <v>1166</v>
      </c>
      <c r="L26" s="8"/>
      <c r="M26" s="24">
        <v>1170</v>
      </c>
      <c r="N26" s="8"/>
      <c r="O26" s="24">
        <v>1204</v>
      </c>
      <c r="P26" s="8"/>
      <c r="Q26" s="24">
        <v>1213</v>
      </c>
      <c r="R26" s="8"/>
      <c r="S26" s="24">
        <v>1221</v>
      </c>
      <c r="T26" s="8"/>
      <c r="U26" s="24">
        <v>1249</v>
      </c>
      <c r="V26" s="8"/>
      <c r="W26" s="24">
        <v>1309</v>
      </c>
      <c r="X26" s="8"/>
      <c r="Y26" s="24">
        <v>1349</v>
      </c>
      <c r="Z26" s="8"/>
      <c r="AA26" s="24">
        <v>1368</v>
      </c>
      <c r="AB26" s="8"/>
      <c r="AC26" s="8"/>
      <c r="AE26" s="8"/>
      <c r="AG26" s="8"/>
    </row>
    <row r="27" ht="12" customHeight="1">
      <c r="A27" s="8" t="s">
        <v>115</v>
      </c>
      <c r="B27" s="8" t="s">
        <v>223</v>
      </c>
      <c r="C27" s="24">
        <v>1095</v>
      </c>
      <c r="D27" s="8"/>
      <c r="E27" s="24">
        <v>1119</v>
      </c>
      <c r="F27" s="8"/>
      <c r="G27" s="24">
        <v>1149</v>
      </c>
      <c r="H27" s="8"/>
      <c r="I27" s="24">
        <v>1129</v>
      </c>
      <c r="J27" s="8"/>
      <c r="K27" s="24">
        <v>1149</v>
      </c>
      <c r="L27" s="8"/>
      <c r="M27" s="24">
        <v>1154</v>
      </c>
      <c r="N27" s="8"/>
      <c r="O27" s="24">
        <v>1189</v>
      </c>
      <c r="P27" s="8"/>
      <c r="Q27" s="24">
        <v>1196</v>
      </c>
      <c r="R27" s="8"/>
      <c r="S27" s="24">
        <v>1203</v>
      </c>
      <c r="T27" s="8"/>
      <c r="U27" s="24">
        <v>1229</v>
      </c>
      <c r="V27" s="8"/>
      <c r="W27" s="24">
        <v>1290</v>
      </c>
      <c r="X27" s="8"/>
      <c r="Y27" s="24">
        <v>1332</v>
      </c>
      <c r="Z27" s="8"/>
      <c r="AA27" s="24">
        <v>1348</v>
      </c>
      <c r="AB27" s="8"/>
      <c r="AC27" s="8"/>
      <c r="AE27" s="8"/>
      <c r="AG27" s="8"/>
    </row>
    <row r="28" ht="12" customHeight="1">
      <c r="A28" s="11" t="s">
        <v>117</v>
      </c>
      <c r="B28" s="8" t="s">
        <v>224</v>
      </c>
      <c r="C28" s="24">
        <v>1215</v>
      </c>
      <c r="D28" s="8"/>
      <c r="E28" s="24">
        <v>1197</v>
      </c>
      <c r="F28" s="8"/>
      <c r="G28" s="24">
        <v>1239</v>
      </c>
      <c r="H28" s="8"/>
      <c r="I28" s="24">
        <v>1211</v>
      </c>
      <c r="J28" s="8"/>
      <c r="K28" s="24">
        <v>1219</v>
      </c>
      <c r="L28" s="8"/>
      <c r="M28" s="24">
        <v>1178</v>
      </c>
      <c r="N28" s="8"/>
      <c r="O28" s="24">
        <v>1188</v>
      </c>
      <c r="P28" s="8"/>
      <c r="Q28" s="24">
        <v>1188</v>
      </c>
      <c r="R28" s="8"/>
      <c r="S28" s="24">
        <v>1192</v>
      </c>
      <c r="T28" s="8"/>
      <c r="U28" s="24">
        <v>1185</v>
      </c>
      <c r="V28" s="8"/>
      <c r="W28" s="24">
        <v>1189</v>
      </c>
      <c r="X28" s="8"/>
      <c r="Y28" s="24">
        <v>1180</v>
      </c>
      <c r="Z28" s="8"/>
      <c r="AA28" s="24">
        <v>1187</v>
      </c>
      <c r="AB28" s="8"/>
      <c r="AC28" s="8"/>
      <c r="AE28" s="8"/>
      <c r="AG28" s="8"/>
    </row>
    <row r="29" ht="12" customHeight="1">
      <c r="A29" s="8" t="s">
        <v>119</v>
      </c>
      <c r="B29" s="8" t="s">
        <v>225</v>
      </c>
      <c r="C29" s="24">
        <v>1385</v>
      </c>
      <c r="D29" s="8"/>
      <c r="E29" s="24">
        <v>1303</v>
      </c>
      <c r="F29" s="8"/>
      <c r="G29" s="24">
        <v>1352</v>
      </c>
      <c r="H29" s="8"/>
      <c r="I29" s="24">
        <v>1293</v>
      </c>
      <c r="J29" s="8"/>
      <c r="K29" s="24">
        <v>1305</v>
      </c>
      <c r="L29" s="8"/>
      <c r="M29" s="24">
        <v>1173</v>
      </c>
      <c r="N29" s="8"/>
      <c r="O29" s="24">
        <v>1216</v>
      </c>
      <c r="P29" s="8"/>
      <c r="Q29" s="24">
        <v>1245</v>
      </c>
      <c r="R29" s="8"/>
      <c r="S29" s="24">
        <v>1259</v>
      </c>
      <c r="T29" s="8"/>
      <c r="U29" s="24">
        <v>1241</v>
      </c>
      <c r="V29" s="8"/>
      <c r="W29" s="24">
        <v>1218</v>
      </c>
      <c r="X29" s="8"/>
      <c r="Y29" s="24">
        <v>1196</v>
      </c>
      <c r="Z29" s="8"/>
      <c r="AA29" s="24">
        <v>1246</v>
      </c>
      <c r="AB29" s="8"/>
      <c r="AC29" s="8"/>
      <c r="AE29" s="8"/>
      <c r="AG29" s="8"/>
    </row>
    <row r="30" ht="12" customHeight="1">
      <c r="A30" s="8" t="s">
        <v>121</v>
      </c>
      <c r="B30" s="8" t="s">
        <v>226</v>
      </c>
      <c r="C30" s="24">
        <v>1091</v>
      </c>
      <c r="D30" s="8"/>
      <c r="E30" s="24">
        <v>1105</v>
      </c>
      <c r="F30" s="8"/>
      <c r="G30" s="24">
        <v>1100</v>
      </c>
      <c r="H30" s="8"/>
      <c r="I30" s="24">
        <v>1067</v>
      </c>
      <c r="J30" s="8"/>
      <c r="K30" s="24">
        <v>1157</v>
      </c>
      <c r="L30" s="8"/>
      <c r="M30" s="24">
        <v>1107</v>
      </c>
      <c r="N30" s="8"/>
      <c r="O30" s="24">
        <v>1226</v>
      </c>
      <c r="P30" s="8"/>
      <c r="Q30" s="24">
        <v>1163</v>
      </c>
      <c r="R30" s="8"/>
      <c r="S30" s="24">
        <v>1070</v>
      </c>
      <c r="T30" s="8"/>
      <c r="U30" s="24">
        <v>1116</v>
      </c>
      <c r="V30" s="8"/>
      <c r="W30" s="24">
        <v>1157</v>
      </c>
      <c r="X30" s="8"/>
      <c r="Y30" s="24">
        <v>1145</v>
      </c>
      <c r="Z30" s="8"/>
      <c r="AA30" s="24">
        <v>1122</v>
      </c>
      <c r="AB30" s="8"/>
      <c r="AC30" s="8"/>
      <c r="AE30" s="8"/>
      <c r="AG30" s="8"/>
    </row>
    <row r="31" ht="12" customHeight="1">
      <c r="A31" s="8" t="s">
        <v>123</v>
      </c>
      <c r="B31" s="8" t="s">
        <v>227</v>
      </c>
      <c r="C31" s="24">
        <v>1130</v>
      </c>
      <c r="D31" s="8"/>
      <c r="E31" s="24">
        <v>1114</v>
      </c>
      <c r="F31" s="8"/>
      <c r="G31" s="24">
        <v>1173</v>
      </c>
      <c r="H31" s="8"/>
      <c r="I31" s="24">
        <v>1155</v>
      </c>
      <c r="J31" s="8"/>
      <c r="K31" s="24">
        <v>1146</v>
      </c>
      <c r="L31" s="8"/>
      <c r="M31" s="24">
        <v>1125</v>
      </c>
      <c r="N31" s="8"/>
      <c r="O31" s="24">
        <v>1105</v>
      </c>
      <c r="P31" s="8"/>
      <c r="Q31" s="24">
        <v>1077</v>
      </c>
      <c r="R31" s="8"/>
      <c r="S31" s="24">
        <v>1105</v>
      </c>
      <c r="T31" s="8"/>
      <c r="U31" s="24">
        <v>1095</v>
      </c>
      <c r="V31" s="8"/>
      <c r="W31" s="24">
        <v>1102</v>
      </c>
      <c r="X31" s="8"/>
      <c r="Y31" s="24">
        <v>1102</v>
      </c>
      <c r="Z31" s="8"/>
      <c r="AA31" s="24">
        <v>1112</v>
      </c>
      <c r="AB31" s="8"/>
      <c r="AC31" s="8"/>
      <c r="AE31" s="8"/>
      <c r="AG31" s="8"/>
    </row>
    <row r="32" ht="12" customHeight="1">
      <c r="A32" s="8" t="s">
        <v>125</v>
      </c>
      <c r="B32" s="8" t="s">
        <v>228</v>
      </c>
      <c r="C32" s="24">
        <v>1223</v>
      </c>
      <c r="D32" s="8"/>
      <c r="E32" s="24">
        <v>1174</v>
      </c>
      <c r="F32" s="8"/>
      <c r="G32" s="24">
        <v>1207</v>
      </c>
      <c r="H32" s="8"/>
      <c r="I32" s="24">
        <v>1190</v>
      </c>
      <c r="J32" s="8"/>
      <c r="K32" s="24">
        <v>1238</v>
      </c>
      <c r="L32" s="8"/>
      <c r="M32" s="24">
        <v>1302</v>
      </c>
      <c r="N32" s="8"/>
      <c r="O32" s="24">
        <v>1282</v>
      </c>
      <c r="P32" s="8"/>
      <c r="Q32" s="24">
        <v>1250</v>
      </c>
      <c r="R32" s="8"/>
      <c r="S32" s="24">
        <v>1299</v>
      </c>
      <c r="T32" s="8"/>
      <c r="U32" s="24">
        <v>1322</v>
      </c>
      <c r="V32" s="8"/>
      <c r="W32" s="24">
        <v>1305</v>
      </c>
      <c r="X32" s="8"/>
      <c r="Y32" s="24">
        <v>1293</v>
      </c>
      <c r="Z32" s="8"/>
      <c r="AA32" s="24">
        <v>1263</v>
      </c>
      <c r="AB32" s="8"/>
      <c r="AC32" s="8"/>
      <c r="AE32" s="8"/>
      <c r="AG32" s="8"/>
    </row>
    <row r="33" ht="12" customHeight="1">
      <c r="A33" s="8" t="s">
        <v>127</v>
      </c>
      <c r="B33" s="8" t="s">
        <v>229</v>
      </c>
      <c r="C33" s="24">
        <v>1176</v>
      </c>
      <c r="D33" s="8"/>
      <c r="E33" s="24">
        <v>1187</v>
      </c>
      <c r="F33" s="8"/>
      <c r="G33" s="24">
        <v>1230</v>
      </c>
      <c r="H33" s="8"/>
      <c r="I33" s="24">
        <v>1228</v>
      </c>
      <c r="J33" s="8"/>
      <c r="K33" s="24">
        <v>1230</v>
      </c>
      <c r="L33" s="8"/>
      <c r="M33" s="24">
        <v>1245</v>
      </c>
      <c r="N33" s="8"/>
      <c r="O33" s="24">
        <v>1173</v>
      </c>
      <c r="P33" s="8"/>
      <c r="Q33" s="24">
        <v>1163</v>
      </c>
      <c r="R33" s="8"/>
      <c r="S33" s="24">
        <v>1172</v>
      </c>
      <c r="T33" s="8"/>
      <c r="U33" s="24">
        <v>1160</v>
      </c>
      <c r="V33" s="8"/>
      <c r="W33" s="24">
        <v>1167</v>
      </c>
      <c r="X33" s="8"/>
      <c r="Y33" s="24">
        <v>1167</v>
      </c>
      <c r="Z33" s="8"/>
      <c r="AA33" s="24">
        <v>1143</v>
      </c>
      <c r="AB33" s="8"/>
      <c r="AC33" s="8"/>
      <c r="AE33" s="8"/>
      <c r="AG33" s="8"/>
    </row>
    <row r="34" ht="12" customHeight="1">
      <c r="A34" s="8" t="s">
        <v>129</v>
      </c>
      <c r="B34" s="8" t="s">
        <v>230</v>
      </c>
      <c r="C34" s="24">
        <v>1139</v>
      </c>
      <c r="D34" s="8"/>
      <c r="E34" s="24">
        <v>1171</v>
      </c>
      <c r="F34" s="8"/>
      <c r="G34" s="24">
        <v>1203</v>
      </c>
      <c r="H34" s="8"/>
      <c r="I34" s="24">
        <v>1187</v>
      </c>
      <c r="J34" s="8"/>
      <c r="K34" s="24">
        <v>1186</v>
      </c>
      <c r="L34" s="8"/>
      <c r="M34" s="24">
        <v>1192</v>
      </c>
      <c r="N34" s="8"/>
      <c r="O34" s="24">
        <v>1198</v>
      </c>
      <c r="P34" s="8"/>
      <c r="Q34" s="24">
        <v>1212</v>
      </c>
      <c r="R34" s="8"/>
      <c r="S34" s="24">
        <v>1202</v>
      </c>
      <c r="T34" s="8"/>
      <c r="U34" s="24">
        <v>1188</v>
      </c>
      <c r="V34" s="8"/>
      <c r="W34" s="24">
        <v>1208</v>
      </c>
      <c r="X34" s="8"/>
      <c r="Y34" s="24">
        <v>1204</v>
      </c>
      <c r="Z34" s="8"/>
      <c r="AA34" s="24">
        <v>1199</v>
      </c>
      <c r="AB34" s="8"/>
      <c r="AC34" s="8"/>
      <c r="AE34" s="8"/>
      <c r="AG34" s="8"/>
    </row>
    <row r="35" ht="12" customHeight="1">
      <c r="A35" s="11" t="s">
        <v>131</v>
      </c>
      <c r="B35" s="8" t="s">
        <v>231</v>
      </c>
      <c r="C35" s="24">
        <v>1148</v>
      </c>
      <c r="D35" s="8"/>
      <c r="E35" s="24">
        <v>1154</v>
      </c>
      <c r="F35" s="8"/>
      <c r="G35" s="24">
        <v>1168</v>
      </c>
      <c r="H35" s="8"/>
      <c r="I35" s="24">
        <v>1067</v>
      </c>
      <c r="J35" s="8"/>
      <c r="K35" s="24">
        <v>1086</v>
      </c>
      <c r="L35" s="8"/>
      <c r="M35" s="24">
        <v>1108</v>
      </c>
      <c r="N35" s="8"/>
      <c r="O35" s="24">
        <v>1109</v>
      </c>
      <c r="P35" s="8"/>
      <c r="Q35" s="24">
        <v>1233</v>
      </c>
      <c r="R35" s="8"/>
      <c r="S35" s="24">
        <v>1207</v>
      </c>
      <c r="T35" s="8"/>
      <c r="U35" s="24">
        <v>1212</v>
      </c>
      <c r="V35" s="8"/>
      <c r="W35" s="24">
        <v>1211</v>
      </c>
      <c r="X35" s="8"/>
      <c r="Y35" s="24">
        <v>1206</v>
      </c>
      <c r="Z35" s="8"/>
      <c r="AA35" s="24">
        <v>1198</v>
      </c>
      <c r="AB35" s="8"/>
      <c r="AC35" s="8"/>
      <c r="AE35" s="8"/>
      <c r="AG35" s="8"/>
    </row>
    <row r="36" ht="12" customHeight="1">
      <c r="A36" s="8" t="s">
        <v>133</v>
      </c>
      <c r="B36" s="8" t="s">
        <v>232</v>
      </c>
      <c r="C36" s="24">
        <v>1030</v>
      </c>
      <c r="D36" s="8"/>
      <c r="E36" s="24">
        <v>1035</v>
      </c>
      <c r="F36" s="8"/>
      <c r="G36" s="24">
        <v>1044</v>
      </c>
      <c r="H36" s="8"/>
      <c r="I36" s="24">
        <v>736</v>
      </c>
      <c r="J36" s="8"/>
      <c r="K36" s="24">
        <v>740</v>
      </c>
      <c r="L36" s="8"/>
      <c r="M36" s="24">
        <v>739</v>
      </c>
      <c r="N36" s="8"/>
      <c r="O36" s="24">
        <v>740</v>
      </c>
      <c r="P36" s="8"/>
      <c r="Q36" s="24">
        <v>1060</v>
      </c>
      <c r="R36" s="8"/>
      <c r="S36" s="24">
        <v>959</v>
      </c>
      <c r="T36" s="8"/>
      <c r="U36" s="24">
        <v>961</v>
      </c>
      <c r="V36" s="8"/>
      <c r="W36" s="24">
        <v>957</v>
      </c>
      <c r="X36" s="8"/>
      <c r="Y36" s="24">
        <v>926</v>
      </c>
      <c r="Z36" s="8"/>
      <c r="AA36" s="24">
        <v>899</v>
      </c>
      <c r="AB36" s="8"/>
      <c r="AC36" s="8"/>
      <c r="AE36" s="8"/>
      <c r="AG36" s="8"/>
    </row>
    <row r="37" ht="12" customHeight="1">
      <c r="A37" s="8" t="s">
        <v>135</v>
      </c>
      <c r="B37" s="8" t="s">
        <v>233</v>
      </c>
      <c r="C37" s="24">
        <v>1207</v>
      </c>
      <c r="D37" s="8"/>
      <c r="E37" s="24">
        <v>1213</v>
      </c>
      <c r="F37" s="8"/>
      <c r="G37" s="24">
        <v>1230</v>
      </c>
      <c r="H37" s="8"/>
      <c r="I37" s="24">
        <v>1243</v>
      </c>
      <c r="J37" s="8"/>
      <c r="K37" s="24">
        <v>1269</v>
      </c>
      <c r="L37" s="8"/>
      <c r="M37" s="24">
        <v>1303</v>
      </c>
      <c r="N37" s="8"/>
      <c r="O37" s="24">
        <v>1304</v>
      </c>
      <c r="P37" s="8"/>
      <c r="Q37" s="24">
        <v>1321</v>
      </c>
      <c r="R37" s="8"/>
      <c r="S37" s="24">
        <v>1336</v>
      </c>
      <c r="T37" s="8"/>
      <c r="U37" s="24">
        <v>1342</v>
      </c>
      <c r="V37" s="8"/>
      <c r="W37" s="24">
        <v>1346</v>
      </c>
      <c r="X37" s="8"/>
      <c r="Y37" s="24">
        <v>1365</v>
      </c>
      <c r="Z37" s="8"/>
      <c r="AA37" s="24">
        <v>1374</v>
      </c>
      <c r="AB37" s="8"/>
      <c r="AC37" s="8"/>
      <c r="AE37" s="8"/>
      <c r="AG37" s="8"/>
    </row>
    <row r="38" ht="12" customHeight="1">
      <c r="A38" s="8" t="s">
        <v>137</v>
      </c>
      <c r="B38" s="8" t="s">
        <v>234</v>
      </c>
      <c r="C38" s="24">
        <v>1422</v>
      </c>
      <c r="D38" s="8"/>
      <c r="E38" s="24">
        <v>1450</v>
      </c>
      <c r="F38" s="8"/>
      <c r="G38" s="24">
        <v>1481</v>
      </c>
      <c r="H38" s="8"/>
      <c r="I38" s="24">
        <v>1546</v>
      </c>
      <c r="J38" s="8"/>
      <c r="K38" s="24">
        <v>1647</v>
      </c>
      <c r="L38" s="8"/>
      <c r="M38" s="24">
        <v>1659</v>
      </c>
      <c r="N38" s="8"/>
      <c r="O38" s="24">
        <v>1674</v>
      </c>
      <c r="P38" s="8"/>
      <c r="Q38" s="24">
        <v>1798</v>
      </c>
      <c r="R38" s="8"/>
      <c r="S38" s="24">
        <v>1830</v>
      </c>
      <c r="T38" s="8"/>
      <c r="U38" s="24">
        <v>1831</v>
      </c>
      <c r="V38" s="8"/>
      <c r="W38" s="24">
        <v>1847</v>
      </c>
      <c r="X38" s="8"/>
      <c r="Y38" s="24">
        <v>1875</v>
      </c>
      <c r="Z38" s="8"/>
      <c r="AA38" s="24">
        <v>1894</v>
      </c>
      <c r="AB38" s="8"/>
      <c r="AC38" s="8"/>
      <c r="AE38" s="8"/>
      <c r="AG38" s="8"/>
    </row>
    <row r="39" ht="12" customHeight="1">
      <c r="A39" s="11" t="s">
        <v>139</v>
      </c>
      <c r="B39" s="8" t="s">
        <v>235</v>
      </c>
      <c r="C39" s="24">
        <v>1138</v>
      </c>
      <c r="D39" s="8"/>
      <c r="E39" s="24">
        <v>1128</v>
      </c>
      <c r="F39" s="8"/>
      <c r="G39" s="24">
        <v>1108</v>
      </c>
      <c r="H39" s="8"/>
      <c r="I39" s="24">
        <v>1215</v>
      </c>
      <c r="J39" s="8"/>
      <c r="K39" s="24">
        <v>1214</v>
      </c>
      <c r="L39" s="8"/>
      <c r="M39" s="24">
        <v>1193</v>
      </c>
      <c r="N39" s="8"/>
      <c r="O39" s="24">
        <v>1187</v>
      </c>
      <c r="P39" s="8"/>
      <c r="Q39" s="24">
        <v>1150</v>
      </c>
      <c r="R39" s="8"/>
      <c r="S39" s="24">
        <v>1160</v>
      </c>
      <c r="T39" s="8"/>
      <c r="U39" s="24">
        <v>1190</v>
      </c>
      <c r="V39" s="8"/>
      <c r="W39" s="24">
        <v>1171</v>
      </c>
      <c r="X39" s="8"/>
      <c r="Y39" s="24">
        <v>1176</v>
      </c>
      <c r="Z39" s="8"/>
      <c r="AA39" s="24">
        <v>1195</v>
      </c>
      <c r="AB39" s="8"/>
      <c r="AC39" s="8"/>
      <c r="AE39" s="8"/>
      <c r="AG39" s="8"/>
    </row>
    <row r="40" ht="12" customHeight="1">
      <c r="A40" s="8" t="s">
        <v>141</v>
      </c>
      <c r="B40" s="8" t="s">
        <v>236</v>
      </c>
      <c r="C40" s="24">
        <v>1155</v>
      </c>
      <c r="D40" s="8"/>
      <c r="E40" s="24">
        <v>1170</v>
      </c>
      <c r="F40" s="8"/>
      <c r="G40" s="24">
        <v>1185</v>
      </c>
      <c r="H40" s="8"/>
      <c r="I40" s="24">
        <v>1204</v>
      </c>
      <c r="J40" s="8"/>
      <c r="K40" s="24">
        <v>1168</v>
      </c>
      <c r="L40" s="8"/>
      <c r="M40" s="24">
        <v>1172</v>
      </c>
      <c r="N40" s="8"/>
      <c r="O40" s="24">
        <v>1112</v>
      </c>
      <c r="P40" s="8"/>
      <c r="Q40" s="24">
        <v>1082</v>
      </c>
      <c r="R40" s="8"/>
      <c r="S40" s="24">
        <v>1130</v>
      </c>
      <c r="T40" s="8"/>
      <c r="U40" s="24">
        <v>1133</v>
      </c>
      <c r="V40" s="8"/>
      <c r="W40" s="24">
        <v>1150</v>
      </c>
      <c r="X40" s="8"/>
      <c r="Y40" s="24">
        <v>1148</v>
      </c>
      <c r="Z40" s="8"/>
      <c r="AA40" s="24">
        <v>1147</v>
      </c>
      <c r="AB40" s="8"/>
      <c r="AC40" s="8"/>
      <c r="AE40" s="8"/>
      <c r="AG40" s="8"/>
    </row>
    <row r="41" ht="12" customHeight="1">
      <c r="A41" s="8" t="s">
        <v>143</v>
      </c>
      <c r="B41" s="8" t="s">
        <v>237</v>
      </c>
      <c r="C41" s="24">
        <v>1111</v>
      </c>
      <c r="D41" s="8"/>
      <c r="E41" s="24">
        <v>1088</v>
      </c>
      <c r="F41" s="8"/>
      <c r="G41" s="24">
        <v>1074</v>
      </c>
      <c r="H41" s="8"/>
      <c r="I41" s="24">
        <v>1212</v>
      </c>
      <c r="J41" s="8"/>
      <c r="K41" s="24">
        <v>1218</v>
      </c>
      <c r="L41" s="8"/>
      <c r="M41" s="24">
        <v>1197</v>
      </c>
      <c r="N41" s="8"/>
      <c r="O41" s="24">
        <v>1212</v>
      </c>
      <c r="P41" s="8"/>
      <c r="Q41" s="24">
        <v>1157</v>
      </c>
      <c r="R41" s="8"/>
      <c r="S41" s="24">
        <v>1145</v>
      </c>
      <c r="T41" s="8"/>
      <c r="U41" s="24">
        <v>1180</v>
      </c>
      <c r="V41" s="8"/>
      <c r="W41" s="24">
        <v>1161</v>
      </c>
      <c r="X41" s="8"/>
      <c r="Y41" s="24">
        <v>1165</v>
      </c>
      <c r="Z41" s="8"/>
      <c r="AA41" s="24">
        <v>1185</v>
      </c>
      <c r="AB41" s="8"/>
      <c r="AC41" s="8"/>
      <c r="AE41" s="8"/>
      <c r="AG41" s="8"/>
    </row>
    <row r="42" ht="12" customHeight="1">
      <c r="A42" s="8" t="s">
        <v>145</v>
      </c>
      <c r="B42" s="8" t="s">
        <v>238</v>
      </c>
      <c r="C42" s="24">
        <v>1190</v>
      </c>
      <c r="D42" s="8"/>
      <c r="E42" s="24">
        <v>1160</v>
      </c>
      <c r="F42" s="8"/>
      <c r="G42" s="24">
        <v>1142</v>
      </c>
      <c r="H42" s="8"/>
      <c r="I42" s="24">
        <v>1331</v>
      </c>
      <c r="J42" s="8"/>
      <c r="K42" s="24">
        <v>1332</v>
      </c>
      <c r="L42" s="8"/>
      <c r="M42" s="24">
        <v>1300</v>
      </c>
      <c r="N42" s="8"/>
      <c r="O42" s="24">
        <v>1309</v>
      </c>
      <c r="P42" s="8"/>
      <c r="Q42" s="24">
        <v>1228</v>
      </c>
      <c r="R42" s="8"/>
      <c r="S42" s="24">
        <v>1212</v>
      </c>
      <c r="T42" s="8"/>
      <c r="U42" s="24">
        <v>1268</v>
      </c>
      <c r="V42" s="8"/>
      <c r="W42" s="24">
        <v>1207</v>
      </c>
      <c r="X42" s="8"/>
      <c r="Y42" s="24">
        <v>1209</v>
      </c>
      <c r="Z42" s="8"/>
      <c r="AA42" s="24">
        <v>1239</v>
      </c>
      <c r="AB42" s="8"/>
      <c r="AC42" s="8"/>
      <c r="AE42" s="8"/>
      <c r="AG42" s="8"/>
    </row>
    <row r="43" ht="12" customHeight="1">
      <c r="A43" s="8" t="s">
        <v>147</v>
      </c>
      <c r="B43" s="8" t="s">
        <v>239</v>
      </c>
      <c r="C43" s="24">
        <v>1291</v>
      </c>
      <c r="D43" s="8"/>
      <c r="E43" s="24">
        <v>1322</v>
      </c>
      <c r="F43" s="8"/>
      <c r="G43" s="24">
        <v>1210</v>
      </c>
      <c r="H43" s="8"/>
      <c r="I43" s="24">
        <v>1284</v>
      </c>
      <c r="J43" s="8"/>
      <c r="K43" s="24">
        <v>1299</v>
      </c>
      <c r="L43" s="8"/>
      <c r="M43" s="24">
        <v>1245</v>
      </c>
      <c r="N43" s="8"/>
      <c r="O43" s="24">
        <v>1203</v>
      </c>
      <c r="P43" s="8"/>
      <c r="Q43" s="24">
        <v>1245</v>
      </c>
      <c r="R43" s="8"/>
      <c r="S43" s="24">
        <v>1307</v>
      </c>
      <c r="T43" s="8"/>
      <c r="U43" s="24">
        <v>1322</v>
      </c>
      <c r="V43" s="8"/>
      <c r="W43" s="24">
        <v>1231</v>
      </c>
      <c r="X43" s="8"/>
      <c r="Y43" s="24">
        <v>1259</v>
      </c>
      <c r="Z43" s="8"/>
      <c r="AA43" s="24">
        <v>1318</v>
      </c>
      <c r="AB43" s="8"/>
      <c r="AC43" s="8"/>
      <c r="AE43" s="8"/>
      <c r="AG43" s="8"/>
    </row>
    <row r="44" ht="12" customHeight="1">
      <c r="A44" s="11" t="s">
        <v>149</v>
      </c>
      <c r="B44" s="8" t="s">
        <v>240</v>
      </c>
      <c r="C44" s="24">
        <v>882</v>
      </c>
      <c r="D44" s="8"/>
      <c r="E44" s="24">
        <v>885</v>
      </c>
      <c r="F44" s="8"/>
      <c r="G44" s="24">
        <v>890</v>
      </c>
      <c r="H44" s="8"/>
      <c r="I44" s="24">
        <v>905</v>
      </c>
      <c r="J44" s="8"/>
      <c r="K44" s="24">
        <v>918</v>
      </c>
      <c r="L44" s="8"/>
      <c r="M44" s="24">
        <v>924</v>
      </c>
      <c r="N44" s="8"/>
      <c r="O44" s="24">
        <v>928</v>
      </c>
      <c r="P44" s="8"/>
      <c r="Q44" s="24">
        <v>936</v>
      </c>
      <c r="R44" s="8"/>
      <c r="S44" s="24">
        <v>952</v>
      </c>
      <c r="T44" s="8"/>
      <c r="U44" s="24">
        <v>958</v>
      </c>
      <c r="V44" s="8"/>
      <c r="W44" s="24">
        <v>959</v>
      </c>
      <c r="X44" s="8"/>
      <c r="Y44" s="24">
        <v>964</v>
      </c>
      <c r="Z44" s="8"/>
      <c r="AA44" s="24">
        <v>1002</v>
      </c>
      <c r="AB44" s="8"/>
      <c r="AC44" s="8"/>
      <c r="AE44" s="8"/>
      <c r="AG44" s="8"/>
    </row>
    <row r="45" ht="12" customHeight="1">
      <c r="A45" s="8" t="s">
        <v>151</v>
      </c>
      <c r="B45" s="8" t="s">
        <v>241</v>
      </c>
      <c r="C45" s="24">
        <v>1402</v>
      </c>
      <c r="D45" s="8"/>
      <c r="E45" s="24">
        <v>1413</v>
      </c>
      <c r="F45" s="8"/>
      <c r="G45" s="24">
        <v>1402</v>
      </c>
      <c r="H45" s="8"/>
      <c r="I45" s="24">
        <v>1497</v>
      </c>
      <c r="J45" s="8"/>
      <c r="K45" s="24">
        <v>1514</v>
      </c>
      <c r="L45" s="8"/>
      <c r="M45" s="24">
        <v>1491</v>
      </c>
      <c r="N45" s="8"/>
      <c r="O45" s="24">
        <v>1485</v>
      </c>
      <c r="P45" s="8"/>
      <c r="Q45" s="24">
        <v>1520</v>
      </c>
      <c r="R45" s="8"/>
      <c r="S45" s="24">
        <v>1519</v>
      </c>
      <c r="T45" s="8"/>
      <c r="U45" s="24">
        <v>1513</v>
      </c>
      <c r="V45" s="8"/>
      <c r="W45" s="24">
        <v>1527</v>
      </c>
      <c r="X45" s="8"/>
      <c r="Y45" s="24">
        <v>1642</v>
      </c>
      <c r="Z45" s="8"/>
      <c r="AA45" s="24">
        <v>1646</v>
      </c>
      <c r="AB45" s="8"/>
      <c r="AC45" s="8"/>
      <c r="AE45" s="8"/>
      <c r="AG45" s="8"/>
    </row>
    <row r="46" ht="12" customHeight="1">
      <c r="A46" s="8" t="s">
        <v>153</v>
      </c>
      <c r="B46" s="8" t="s">
        <v>242</v>
      </c>
      <c r="C46" s="24">
        <v>274</v>
      </c>
      <c r="D46" s="8"/>
      <c r="E46" s="24">
        <v>278</v>
      </c>
      <c r="F46" s="8"/>
      <c r="G46" s="24">
        <v>250</v>
      </c>
      <c r="H46" s="8"/>
      <c r="I46" s="24">
        <v>235</v>
      </c>
      <c r="J46" s="8"/>
      <c r="K46" s="24">
        <v>272</v>
      </c>
      <c r="L46" s="8"/>
      <c r="M46" s="24">
        <v>264</v>
      </c>
      <c r="N46" s="8"/>
      <c r="O46" s="24">
        <v>286</v>
      </c>
      <c r="P46" s="8"/>
      <c r="Q46" s="24">
        <v>242</v>
      </c>
      <c r="R46" s="8"/>
      <c r="S46" s="24">
        <v>242</v>
      </c>
      <c r="T46" s="8"/>
      <c r="U46" s="24">
        <v>230</v>
      </c>
      <c r="V46" s="8"/>
      <c r="W46" s="24">
        <v>213</v>
      </c>
      <c r="X46" s="8"/>
      <c r="Y46" s="24">
        <v>206</v>
      </c>
      <c r="Z46" s="8"/>
      <c r="AA46" s="24">
        <v>229</v>
      </c>
      <c r="AB46" s="8"/>
      <c r="AC46" s="8"/>
      <c r="AE46" s="8"/>
      <c r="AG46" s="8"/>
    </row>
    <row r="47" ht="12" customHeight="1">
      <c r="A47" s="8" t="s">
        <v>155</v>
      </c>
      <c r="B47" s="8" t="s">
        <v>243</v>
      </c>
      <c r="C47" s="24">
        <v>899</v>
      </c>
      <c r="D47" s="8"/>
      <c r="E47" s="24">
        <v>902</v>
      </c>
      <c r="F47" s="8"/>
      <c r="G47" s="24">
        <v>910</v>
      </c>
      <c r="H47" s="8"/>
      <c r="I47" s="24">
        <v>925</v>
      </c>
      <c r="J47" s="8"/>
      <c r="K47" s="24">
        <v>936</v>
      </c>
      <c r="L47" s="8"/>
      <c r="M47" s="24">
        <v>944</v>
      </c>
      <c r="N47" s="8"/>
      <c r="O47" s="24">
        <v>946</v>
      </c>
      <c r="P47" s="8"/>
      <c r="Q47" s="24">
        <v>957</v>
      </c>
      <c r="R47" s="8"/>
      <c r="S47" s="24">
        <v>974</v>
      </c>
      <c r="T47" s="8"/>
      <c r="U47" s="24">
        <v>991</v>
      </c>
      <c r="V47" s="8"/>
      <c r="W47" s="24">
        <v>1004</v>
      </c>
      <c r="X47" s="8"/>
      <c r="Y47" s="24">
        <v>1014</v>
      </c>
      <c r="Z47" s="8"/>
      <c r="AA47" s="24">
        <v>1043</v>
      </c>
      <c r="AB47" s="8"/>
      <c r="AC47" s="8"/>
      <c r="AE47" s="8"/>
      <c r="AG47" s="8"/>
    </row>
    <row r="48" ht="12" customHeight="1">
      <c r="A48" s="11" t="s">
        <v>157</v>
      </c>
      <c r="B48" s="8" t="s">
        <v>244</v>
      </c>
      <c r="C48" s="24">
        <v>1107</v>
      </c>
      <c r="D48" s="8"/>
      <c r="E48" s="24">
        <v>1116</v>
      </c>
      <c r="F48" s="8"/>
      <c r="G48" s="24">
        <v>1115</v>
      </c>
      <c r="H48" s="8"/>
      <c r="I48" s="24">
        <v>1134</v>
      </c>
      <c r="J48" s="8"/>
      <c r="K48" s="24">
        <v>1158</v>
      </c>
      <c r="L48" s="8"/>
      <c r="M48" s="24">
        <v>1173</v>
      </c>
      <c r="N48" s="8"/>
      <c r="O48" s="24">
        <v>1148</v>
      </c>
      <c r="P48" s="8"/>
      <c r="Q48" s="24">
        <v>1153</v>
      </c>
      <c r="R48" s="8"/>
      <c r="S48" s="24">
        <v>1177</v>
      </c>
      <c r="T48" s="8"/>
      <c r="U48" s="24">
        <v>1168</v>
      </c>
      <c r="V48" s="8"/>
      <c r="W48" s="24">
        <v>1164</v>
      </c>
      <c r="X48" s="8"/>
      <c r="Y48" s="24">
        <v>1175</v>
      </c>
      <c r="Z48" s="8"/>
      <c r="AA48" s="24">
        <v>1194</v>
      </c>
      <c r="AB48" s="8"/>
      <c r="AC48" s="8"/>
      <c r="AE48" s="8"/>
      <c r="AG48" s="8"/>
    </row>
    <row r="49" ht="12" customHeight="1">
      <c r="A49" s="8" t="s">
        <v>159</v>
      </c>
      <c r="B49" s="8" t="s">
        <v>245</v>
      </c>
      <c r="C49" s="24">
        <v>500</v>
      </c>
      <c r="D49" s="8"/>
      <c r="E49" s="24">
        <v>471</v>
      </c>
      <c r="F49" s="8"/>
      <c r="G49" s="24">
        <v>389</v>
      </c>
      <c r="H49" s="8"/>
      <c r="I49" s="24">
        <v>410</v>
      </c>
      <c r="J49" s="8"/>
      <c r="K49" s="24">
        <v>444</v>
      </c>
      <c r="L49" s="8"/>
      <c r="M49" s="24">
        <v>398</v>
      </c>
      <c r="N49" s="8"/>
      <c r="O49" s="24">
        <v>351</v>
      </c>
      <c r="P49" s="8"/>
      <c r="Q49" s="24">
        <v>369</v>
      </c>
      <c r="R49" s="8"/>
      <c r="S49" s="24">
        <v>401</v>
      </c>
      <c r="T49" s="8"/>
      <c r="U49" s="24">
        <v>374</v>
      </c>
      <c r="V49" s="8"/>
      <c r="W49" s="24">
        <v>328</v>
      </c>
      <c r="X49" s="8"/>
      <c r="Y49" s="24">
        <v>334</v>
      </c>
      <c r="Z49" s="8"/>
      <c r="AA49" s="24">
        <v>361</v>
      </c>
      <c r="AB49" s="8"/>
      <c r="AC49" s="8"/>
      <c r="AE49" s="8"/>
      <c r="AG49" s="8"/>
    </row>
    <row r="50" ht="12" customHeight="1">
      <c r="A50" s="8" t="s">
        <v>161</v>
      </c>
      <c r="B50" s="8" t="s">
        <v>246</v>
      </c>
      <c r="C50" s="24">
        <v>1375</v>
      </c>
      <c r="D50" s="8"/>
      <c r="E50" s="24">
        <v>1398</v>
      </c>
      <c r="F50" s="8"/>
      <c r="G50" s="24">
        <v>1396</v>
      </c>
      <c r="H50" s="8"/>
      <c r="I50" s="24">
        <v>1410</v>
      </c>
      <c r="J50" s="8"/>
      <c r="K50" s="24">
        <v>1398</v>
      </c>
      <c r="L50" s="8"/>
      <c r="M50" s="24">
        <v>1428</v>
      </c>
      <c r="N50" s="8"/>
      <c r="O50" s="24">
        <v>1427</v>
      </c>
      <c r="P50" s="8"/>
      <c r="Q50" s="24">
        <v>1390</v>
      </c>
      <c r="R50" s="8"/>
      <c r="S50" s="24">
        <v>1404</v>
      </c>
      <c r="T50" s="8"/>
      <c r="U50" s="24">
        <v>1415</v>
      </c>
      <c r="V50" s="8"/>
      <c r="W50" s="24">
        <v>1440</v>
      </c>
      <c r="X50" s="8"/>
      <c r="Y50" s="24">
        <v>1435</v>
      </c>
      <c r="Z50" s="8"/>
      <c r="AA50" s="24">
        <v>1446</v>
      </c>
      <c r="AB50" s="8"/>
      <c r="AC50" s="8"/>
      <c r="AE50" s="8"/>
      <c r="AG50" s="8"/>
    </row>
    <row r="51" ht="12" customHeight="1">
      <c r="A51" s="8" t="s">
        <v>163</v>
      </c>
      <c r="B51" s="8" t="s">
        <v>247</v>
      </c>
      <c r="C51" s="24">
        <v>1223</v>
      </c>
      <c r="D51" s="8"/>
      <c r="E51" s="24">
        <v>1239</v>
      </c>
      <c r="F51" s="8"/>
      <c r="G51" s="24">
        <v>1304</v>
      </c>
      <c r="H51" s="8"/>
      <c r="I51" s="24">
        <v>1305</v>
      </c>
      <c r="J51" s="8"/>
      <c r="K51" s="24">
        <v>1319</v>
      </c>
      <c r="L51" s="8"/>
      <c r="M51" s="24">
        <v>1323</v>
      </c>
      <c r="N51" s="8"/>
      <c r="O51" s="24">
        <v>1297</v>
      </c>
      <c r="P51" s="8"/>
      <c r="Q51" s="24">
        <v>1305</v>
      </c>
      <c r="R51" s="8"/>
      <c r="S51" s="24">
        <v>1305</v>
      </c>
      <c r="T51" s="8"/>
      <c r="U51" s="24">
        <v>1292</v>
      </c>
      <c r="V51" s="8"/>
      <c r="W51" s="24">
        <v>1264</v>
      </c>
      <c r="X51" s="8"/>
      <c r="Y51" s="24">
        <v>1281</v>
      </c>
      <c r="Z51" s="8"/>
      <c r="AA51" s="24">
        <v>1290</v>
      </c>
      <c r="AB51" s="8"/>
      <c r="AC51" s="8"/>
      <c r="AE51" s="8"/>
      <c r="AG51" s="8"/>
    </row>
    <row r="52" ht="12" customHeight="1">
      <c r="A52" s="8" t="s">
        <v>165</v>
      </c>
      <c r="B52" s="8" t="s">
        <v>248</v>
      </c>
      <c r="C52" s="24">
        <v>1087</v>
      </c>
      <c r="D52" s="8"/>
      <c r="E52" s="24">
        <v>1099</v>
      </c>
      <c r="F52" s="8"/>
      <c r="G52" s="24">
        <v>1112</v>
      </c>
      <c r="H52" s="8"/>
      <c r="I52" s="24">
        <v>1131</v>
      </c>
      <c r="J52" s="8"/>
      <c r="K52" s="24">
        <v>1159</v>
      </c>
      <c r="L52" s="8"/>
      <c r="M52" s="24">
        <v>1191</v>
      </c>
      <c r="N52" s="8"/>
      <c r="O52" s="24">
        <v>1215</v>
      </c>
      <c r="P52" s="8"/>
      <c r="Q52" s="24">
        <v>1212</v>
      </c>
      <c r="R52" s="8"/>
      <c r="S52" s="24">
        <v>1228</v>
      </c>
      <c r="T52" s="8"/>
      <c r="U52" s="24">
        <v>1235</v>
      </c>
      <c r="V52" s="8"/>
      <c r="W52" s="24">
        <v>1302</v>
      </c>
      <c r="X52" s="8"/>
      <c r="Y52" s="24">
        <v>1309</v>
      </c>
      <c r="Z52" s="8"/>
      <c r="AA52" s="24">
        <v>1310</v>
      </c>
      <c r="AB52" s="8"/>
      <c r="AC52" s="8"/>
      <c r="AE52" s="8"/>
      <c r="AG52" s="8"/>
    </row>
    <row r="53" ht="12" customHeight="1">
      <c r="A53" s="8" t="s">
        <v>167</v>
      </c>
      <c r="B53" s="8" t="s">
        <v>249</v>
      </c>
      <c r="C53" s="24">
        <v>1293</v>
      </c>
      <c r="D53" s="8"/>
      <c r="E53" s="24">
        <v>1284</v>
      </c>
      <c r="F53" s="8"/>
      <c r="G53" s="24">
        <v>1320</v>
      </c>
      <c r="H53" s="8"/>
      <c r="I53" s="24">
        <v>1342</v>
      </c>
      <c r="J53" s="8"/>
      <c r="K53" s="24">
        <v>1347</v>
      </c>
      <c r="L53" s="8"/>
      <c r="M53" s="24">
        <v>1347</v>
      </c>
      <c r="N53" s="8"/>
      <c r="O53" s="24">
        <v>1359</v>
      </c>
      <c r="P53" s="8"/>
      <c r="Q53" s="24">
        <v>1378</v>
      </c>
      <c r="R53" s="8"/>
      <c r="S53" s="24">
        <v>1392</v>
      </c>
      <c r="T53" s="8"/>
      <c r="U53" s="24">
        <v>1386</v>
      </c>
      <c r="V53" s="8"/>
      <c r="W53" s="24">
        <v>1395</v>
      </c>
      <c r="X53" s="8"/>
      <c r="Y53" s="24">
        <v>1418</v>
      </c>
      <c r="Z53" s="8"/>
      <c r="AA53" s="24">
        <v>1436</v>
      </c>
      <c r="AB53" s="8"/>
      <c r="AC53" s="8"/>
      <c r="AE53" s="8"/>
      <c r="AG53" s="8"/>
    </row>
    <row r="54" ht="12" customHeight="1">
      <c r="A54" s="8" t="s">
        <v>169</v>
      </c>
      <c r="B54" s="8" t="s">
        <v>250</v>
      </c>
      <c r="C54" s="24">
        <v>1877</v>
      </c>
      <c r="D54" s="8"/>
      <c r="E54" s="24">
        <v>1966</v>
      </c>
      <c r="F54" s="8"/>
      <c r="G54" s="24">
        <v>1816</v>
      </c>
      <c r="H54" s="8"/>
      <c r="I54" s="24">
        <v>1881</v>
      </c>
      <c r="J54" s="8"/>
      <c r="K54" s="24">
        <v>1941</v>
      </c>
      <c r="L54" s="8"/>
      <c r="M54" s="24">
        <v>2068</v>
      </c>
      <c r="N54" s="8"/>
      <c r="O54" s="24">
        <v>1856</v>
      </c>
      <c r="P54" s="8"/>
      <c r="Q54" s="24">
        <v>1856</v>
      </c>
      <c r="R54" s="8"/>
      <c r="S54" s="24">
        <v>1983</v>
      </c>
      <c r="T54" s="8"/>
      <c r="U54" s="24">
        <v>2024</v>
      </c>
      <c r="V54" s="8"/>
      <c r="W54" s="24">
        <v>2037</v>
      </c>
      <c r="X54" s="8"/>
      <c r="Y54" s="24">
        <v>2045</v>
      </c>
      <c r="Z54" s="8"/>
      <c r="AA54" s="24">
        <v>2118</v>
      </c>
      <c r="AB54" s="8"/>
      <c r="AC54" s="8"/>
      <c r="AE54" s="8"/>
      <c r="AG54" s="8"/>
    </row>
    <row r="55" ht="12" customHeight="1">
      <c r="A55" s="11" t="s">
        <v>171</v>
      </c>
      <c r="B55" s="8" t="s">
        <v>251</v>
      </c>
      <c r="C55" s="24">
        <v>1024</v>
      </c>
      <c r="D55" s="8"/>
      <c r="E55" s="24">
        <v>1059</v>
      </c>
      <c r="F55" s="8"/>
      <c r="G55" s="24">
        <v>1059</v>
      </c>
      <c r="H55" s="8"/>
      <c r="I55" s="24">
        <v>1063</v>
      </c>
      <c r="J55" s="8"/>
      <c r="K55" s="24">
        <v>1063</v>
      </c>
      <c r="L55" s="8"/>
      <c r="M55" s="24">
        <v>1105</v>
      </c>
      <c r="N55" s="8"/>
      <c r="O55" s="24">
        <v>1105</v>
      </c>
      <c r="P55" s="8"/>
      <c r="Q55" s="24">
        <v>1104</v>
      </c>
      <c r="R55" s="8"/>
      <c r="S55" s="24">
        <v>1104</v>
      </c>
      <c r="T55" s="8"/>
      <c r="U55" s="24">
        <v>1238</v>
      </c>
      <c r="V55" s="8"/>
      <c r="W55" s="24">
        <v>1238</v>
      </c>
      <c r="X55" s="8"/>
      <c r="Y55" s="24">
        <v>1243</v>
      </c>
      <c r="Z55" s="8"/>
      <c r="AA55" s="24">
        <v>1243</v>
      </c>
      <c r="AB55" s="8"/>
      <c r="AC55" s="8"/>
      <c r="AE55" s="8"/>
      <c r="AG55" s="8"/>
    </row>
    <row r="56" ht="12" customHeight="1">
      <c r="A56" s="8" t="s">
        <v>173</v>
      </c>
      <c r="B56" s="8" t="s">
        <v>252</v>
      </c>
      <c r="C56" s="24">
        <v>1271</v>
      </c>
      <c r="D56" s="8"/>
      <c r="E56" s="24">
        <v>1271</v>
      </c>
      <c r="F56" s="8"/>
      <c r="G56" s="24">
        <v>1271</v>
      </c>
      <c r="H56" s="8"/>
      <c r="I56" s="24">
        <v>1305</v>
      </c>
      <c r="J56" s="8"/>
      <c r="K56" s="24">
        <v>1305</v>
      </c>
      <c r="L56" s="8"/>
      <c r="M56" s="24">
        <v>1305</v>
      </c>
      <c r="N56" s="8"/>
      <c r="O56" s="24">
        <v>1305</v>
      </c>
      <c r="P56" s="8"/>
      <c r="Q56" s="24">
        <v>1298</v>
      </c>
      <c r="R56" s="8"/>
      <c r="S56" s="24">
        <v>1298</v>
      </c>
      <c r="T56" s="8"/>
      <c r="U56" s="24">
        <v>1298</v>
      </c>
      <c r="V56" s="8"/>
      <c r="W56" s="24">
        <v>1298</v>
      </c>
      <c r="X56" s="8"/>
      <c r="Y56" s="24">
        <v>1330</v>
      </c>
      <c r="Z56" s="8"/>
      <c r="AA56" s="24">
        <v>1330</v>
      </c>
      <c r="AB56" s="8"/>
      <c r="AC56" s="8"/>
      <c r="AE56" s="8"/>
      <c r="AG56" s="8"/>
    </row>
    <row r="57" ht="12" customHeight="1">
      <c r="A57" s="8" t="s">
        <v>175</v>
      </c>
      <c r="B57" s="8" t="s">
        <v>253</v>
      </c>
      <c r="C57" s="24">
        <v>1123</v>
      </c>
      <c r="D57" s="8"/>
      <c r="E57" s="24">
        <v>1131</v>
      </c>
      <c r="F57" s="8"/>
      <c r="G57" s="24">
        <v>1131</v>
      </c>
      <c r="H57" s="8"/>
      <c r="I57" s="24">
        <v>1131</v>
      </c>
      <c r="J57" s="8"/>
      <c r="K57" s="24">
        <v>1131</v>
      </c>
      <c r="L57" s="8"/>
      <c r="M57" s="24">
        <v>1166</v>
      </c>
      <c r="N57" s="8"/>
      <c r="O57" s="24">
        <v>1166</v>
      </c>
      <c r="P57" s="8"/>
      <c r="Q57" s="24">
        <v>1166</v>
      </c>
      <c r="R57" s="8"/>
      <c r="S57" s="24">
        <v>1166</v>
      </c>
      <c r="T57" s="8"/>
      <c r="U57" s="24">
        <v>1214</v>
      </c>
      <c r="V57" s="8"/>
      <c r="W57" s="24">
        <v>1214</v>
      </c>
      <c r="X57" s="8"/>
      <c r="Y57" s="24">
        <v>1214</v>
      </c>
      <c r="Z57" s="8"/>
      <c r="AA57" s="24">
        <v>1214</v>
      </c>
      <c r="AB57" s="8"/>
      <c r="AC57" s="8"/>
      <c r="AE57" s="8"/>
      <c r="AG57" s="8"/>
    </row>
    <row r="58" ht="12" customHeight="1">
      <c r="A58" s="8" t="s">
        <v>177</v>
      </c>
      <c r="B58" s="8" t="s">
        <v>254</v>
      </c>
      <c r="C58" s="24">
        <v>909</v>
      </c>
      <c r="D58" s="8"/>
      <c r="E58" s="24">
        <v>958</v>
      </c>
      <c r="F58" s="8"/>
      <c r="G58" s="24">
        <v>958</v>
      </c>
      <c r="H58" s="8"/>
      <c r="I58" s="24">
        <v>958</v>
      </c>
      <c r="J58" s="8"/>
      <c r="K58" s="24">
        <v>958</v>
      </c>
      <c r="L58" s="8"/>
      <c r="M58" s="24">
        <v>1008</v>
      </c>
      <c r="N58" s="8"/>
      <c r="O58" s="24">
        <v>1008</v>
      </c>
      <c r="P58" s="8"/>
      <c r="Q58" s="24">
        <v>1008</v>
      </c>
      <c r="R58" s="8"/>
      <c r="S58" s="24">
        <v>1008</v>
      </c>
      <c r="T58" s="8"/>
      <c r="U58" s="24">
        <v>1236</v>
      </c>
      <c r="V58" s="8"/>
      <c r="W58" s="24">
        <v>1236</v>
      </c>
      <c r="X58" s="8"/>
      <c r="Y58" s="24">
        <v>1236</v>
      </c>
      <c r="Z58" s="8"/>
      <c r="AA58" s="24">
        <v>1236</v>
      </c>
      <c r="AB58" s="8"/>
      <c r="AC58" s="8"/>
      <c r="AE58" s="8"/>
      <c r="AG58" s="8"/>
    </row>
    <row r="59" ht="12" customHeight="1">
      <c r="A59" s="8" t="s">
        <v>179</v>
      </c>
      <c r="B59" s="8" t="s">
        <v>255</v>
      </c>
      <c r="C59" s="24">
        <v>1118</v>
      </c>
      <c r="D59" s="8"/>
      <c r="E59" s="24">
        <v>1181</v>
      </c>
      <c r="F59" s="8"/>
      <c r="G59" s="24">
        <v>1181</v>
      </c>
      <c r="H59" s="8"/>
      <c r="I59" s="24">
        <v>1181</v>
      </c>
      <c r="J59" s="8"/>
      <c r="K59" s="24">
        <v>1181</v>
      </c>
      <c r="L59" s="8"/>
      <c r="M59" s="24">
        <v>1237</v>
      </c>
      <c r="N59" s="8"/>
      <c r="O59" s="24">
        <v>1237</v>
      </c>
      <c r="P59" s="8"/>
      <c r="Q59" s="24">
        <v>1237</v>
      </c>
      <c r="R59" s="8"/>
      <c r="S59" s="24">
        <v>1237</v>
      </c>
      <c r="T59" s="8"/>
      <c r="U59" s="24">
        <v>1300</v>
      </c>
      <c r="V59" s="8"/>
      <c r="W59" s="24">
        <v>1300</v>
      </c>
      <c r="X59" s="8"/>
      <c r="Y59" s="24">
        <v>1300</v>
      </c>
      <c r="Z59" s="8"/>
      <c r="AA59" s="24">
        <v>1300</v>
      </c>
      <c r="AB59" s="8"/>
      <c r="AC59" s="8"/>
      <c r="AE59" s="8"/>
      <c r="AG59" s="8"/>
    </row>
    <row r="60" ht="12" customHeight="1">
      <c r="A60" s="11" t="s">
        <v>181</v>
      </c>
      <c r="B60" s="8" t="s">
        <v>256</v>
      </c>
      <c r="C60" s="24">
        <v>1246</v>
      </c>
      <c r="D60" s="8"/>
      <c r="E60" s="24">
        <v>1271</v>
      </c>
      <c r="F60" s="8"/>
      <c r="G60" s="24">
        <v>1308</v>
      </c>
      <c r="H60" s="8"/>
      <c r="I60" s="24">
        <v>1336</v>
      </c>
      <c r="J60" s="8"/>
      <c r="K60" s="24">
        <v>1361</v>
      </c>
      <c r="L60" s="8"/>
      <c r="M60" s="24">
        <v>1397</v>
      </c>
      <c r="N60" s="8"/>
      <c r="O60" s="24">
        <v>1427</v>
      </c>
      <c r="P60" s="8"/>
      <c r="Q60" s="24">
        <v>1445</v>
      </c>
      <c r="R60" s="8"/>
      <c r="S60" s="24">
        <v>1465</v>
      </c>
      <c r="T60" s="8"/>
      <c r="U60" s="24">
        <v>1475</v>
      </c>
      <c r="V60" s="8"/>
      <c r="W60" s="24">
        <v>1485</v>
      </c>
      <c r="X60" s="8"/>
      <c r="Y60" s="24">
        <v>1483</v>
      </c>
      <c r="Z60" s="8"/>
      <c r="AA60" s="24">
        <v>1482</v>
      </c>
      <c r="AB60" s="8"/>
      <c r="AC60" s="8"/>
      <c r="AE60" s="8"/>
      <c r="AG60" s="8"/>
    </row>
    <row r="61" ht="12" customHeight="1">
      <c r="A61" s="8" t="s">
        <v>183</v>
      </c>
      <c r="B61" s="8" t="s">
        <v>257</v>
      </c>
      <c r="C61" s="24">
        <v>1067</v>
      </c>
      <c r="D61" s="8"/>
      <c r="E61" s="24">
        <v>1091</v>
      </c>
      <c r="F61" s="8"/>
      <c r="G61" s="24">
        <v>1119</v>
      </c>
      <c r="H61" s="8"/>
      <c r="I61" s="24">
        <v>1113</v>
      </c>
      <c r="J61" s="8"/>
      <c r="K61" s="24">
        <v>1097</v>
      </c>
      <c r="L61" s="8"/>
      <c r="M61" s="24">
        <v>1100</v>
      </c>
      <c r="N61" s="8"/>
      <c r="O61" s="24">
        <v>1094</v>
      </c>
      <c r="P61" s="8"/>
      <c r="Q61" s="24">
        <v>1083</v>
      </c>
      <c r="R61" s="8"/>
      <c r="S61" s="24">
        <v>1083</v>
      </c>
      <c r="T61" s="8"/>
      <c r="U61" s="24">
        <v>1087</v>
      </c>
      <c r="V61" s="8"/>
      <c r="W61" s="24">
        <v>1098</v>
      </c>
      <c r="X61" s="8"/>
      <c r="Y61" s="24">
        <v>1100</v>
      </c>
      <c r="Z61" s="8"/>
      <c r="AA61" s="24">
        <v>1100</v>
      </c>
      <c r="AB61" s="8"/>
      <c r="AC61" s="8"/>
      <c r="AE61" s="8"/>
      <c r="AG61" s="8"/>
    </row>
    <row r="62" ht="12" customHeight="1">
      <c r="A62" s="8" t="s">
        <v>185</v>
      </c>
      <c r="B62" s="8" t="s">
        <v>258</v>
      </c>
      <c r="C62" s="24">
        <v>1424</v>
      </c>
      <c r="D62" s="8"/>
      <c r="E62" s="24">
        <v>1422</v>
      </c>
      <c r="F62" s="8"/>
      <c r="G62" s="24">
        <v>1403</v>
      </c>
      <c r="H62" s="8"/>
      <c r="I62" s="24">
        <v>1427</v>
      </c>
      <c r="J62" s="8"/>
      <c r="K62" s="24">
        <v>1452</v>
      </c>
      <c r="L62" s="8"/>
      <c r="M62" s="24">
        <v>1458</v>
      </c>
      <c r="N62" s="8"/>
      <c r="O62" s="24">
        <v>1526</v>
      </c>
      <c r="P62" s="8"/>
      <c r="Q62" s="24">
        <v>1575</v>
      </c>
      <c r="R62" s="8"/>
      <c r="S62" s="24">
        <v>1659</v>
      </c>
      <c r="T62" s="8"/>
      <c r="U62" s="24">
        <v>1656</v>
      </c>
      <c r="V62" s="8"/>
      <c r="W62" s="24">
        <v>1695</v>
      </c>
      <c r="X62" s="8"/>
      <c r="Y62" s="24">
        <v>1716</v>
      </c>
      <c r="Z62" s="8"/>
      <c r="AA62" s="24">
        <v>1762</v>
      </c>
      <c r="AB62" s="8"/>
      <c r="AC62" s="8"/>
      <c r="AE62" s="8"/>
      <c r="AG62" s="8"/>
    </row>
    <row r="63" ht="12" customHeight="1">
      <c r="A63" s="8" t="s">
        <v>187</v>
      </c>
      <c r="B63" s="8" t="s">
        <v>259</v>
      </c>
      <c r="C63" s="24">
        <v>1345</v>
      </c>
      <c r="D63" s="8"/>
      <c r="E63" s="24">
        <v>1379</v>
      </c>
      <c r="F63" s="8"/>
      <c r="G63" s="24">
        <v>1438</v>
      </c>
      <c r="H63" s="8"/>
      <c r="I63" s="24">
        <v>1504</v>
      </c>
      <c r="J63" s="8"/>
      <c r="K63" s="24">
        <v>1571</v>
      </c>
      <c r="L63" s="8"/>
      <c r="M63" s="24">
        <v>1647</v>
      </c>
      <c r="N63" s="8"/>
      <c r="O63" s="24">
        <v>1716</v>
      </c>
      <c r="P63" s="8"/>
      <c r="Q63" s="24">
        <v>1765</v>
      </c>
      <c r="R63" s="8"/>
      <c r="S63" s="24">
        <v>1805</v>
      </c>
      <c r="T63" s="8"/>
      <c r="U63" s="24">
        <v>1823</v>
      </c>
      <c r="V63" s="8"/>
      <c r="W63" s="24">
        <v>1832</v>
      </c>
      <c r="X63" s="8"/>
      <c r="Y63" s="24">
        <v>1834</v>
      </c>
      <c r="Z63" s="8"/>
      <c r="AA63" s="24">
        <v>1829</v>
      </c>
      <c r="AB63" s="8"/>
      <c r="AC63" s="8"/>
      <c r="AE63" s="8"/>
      <c r="AG63" s="8"/>
    </row>
    <row r="64" ht="12" customHeight="1">
      <c r="A64" s="8" t="s">
        <v>189</v>
      </c>
      <c r="B64" s="8" t="s">
        <v>260</v>
      </c>
      <c r="C64" s="24">
        <v>710</v>
      </c>
      <c r="D64" s="8"/>
      <c r="E64" s="24">
        <v>710</v>
      </c>
      <c r="F64" s="8"/>
      <c r="G64" s="24">
        <v>710</v>
      </c>
      <c r="H64" s="8"/>
      <c r="I64" s="24">
        <v>710</v>
      </c>
      <c r="J64" s="8"/>
      <c r="K64" s="24">
        <v>710</v>
      </c>
      <c r="L64" s="8"/>
      <c r="M64" s="24">
        <v>710</v>
      </c>
      <c r="N64" s="8"/>
      <c r="O64" s="24">
        <v>710</v>
      </c>
      <c r="P64" s="8"/>
      <c r="Q64" s="24">
        <v>704</v>
      </c>
      <c r="R64" s="8"/>
      <c r="S64" s="24">
        <v>704</v>
      </c>
      <c r="T64" s="8"/>
      <c r="U64" s="24">
        <v>704</v>
      </c>
      <c r="V64" s="8"/>
      <c r="W64" s="24">
        <v>699</v>
      </c>
      <c r="X64" s="8"/>
      <c r="Y64" s="24">
        <v>699</v>
      </c>
      <c r="Z64" s="8"/>
      <c r="AA64" s="24">
        <v>699</v>
      </c>
      <c r="AB64" s="8"/>
      <c r="AC64" s="8"/>
      <c r="AE64" s="8"/>
      <c r="AG64" s="8"/>
    </row>
    <row r="65" ht="12" customHeight="1">
      <c r="A65" s="8" t="s">
        <v>191</v>
      </c>
      <c r="B65" s="8" t="s">
        <v>261</v>
      </c>
      <c r="C65" s="24">
        <v>1413</v>
      </c>
      <c r="D65" s="8"/>
      <c r="E65" s="24">
        <v>1417</v>
      </c>
      <c r="F65" s="8"/>
      <c r="G65" s="24">
        <v>1407</v>
      </c>
      <c r="H65" s="8"/>
      <c r="I65" s="24">
        <v>1430</v>
      </c>
      <c r="J65" s="8"/>
      <c r="K65" s="24">
        <v>1447</v>
      </c>
      <c r="L65" s="8"/>
      <c r="M65" s="24">
        <v>1468</v>
      </c>
      <c r="N65" s="8"/>
      <c r="O65" s="24">
        <v>1480</v>
      </c>
      <c r="P65" s="8"/>
      <c r="Q65" s="24">
        <v>1481</v>
      </c>
      <c r="R65" s="8"/>
      <c r="S65" s="24">
        <v>1481</v>
      </c>
      <c r="T65" s="8"/>
      <c r="U65" s="24">
        <v>1498</v>
      </c>
      <c r="V65" s="8"/>
      <c r="W65" s="24">
        <v>1508</v>
      </c>
      <c r="X65" s="8"/>
      <c r="Y65" s="24">
        <v>1471</v>
      </c>
      <c r="Z65" s="8"/>
      <c r="AA65" s="24">
        <v>1469</v>
      </c>
      <c r="AB65" s="8"/>
      <c r="AC65" s="8"/>
      <c r="AE65" s="8"/>
      <c r="AG65" s="8"/>
    </row>
    <row r="66" ht="12" customHeight="1">
      <c r="A66" s="11" t="s">
        <v>193</v>
      </c>
      <c r="B66" s="8" t="s">
        <v>262</v>
      </c>
      <c r="C66" s="24">
        <v>1384</v>
      </c>
      <c r="D66" s="8"/>
      <c r="E66" s="24">
        <v>1476</v>
      </c>
      <c r="F66" s="8"/>
      <c r="G66" s="24">
        <v>1532</v>
      </c>
      <c r="H66" s="8"/>
      <c r="I66" s="24">
        <v>1653</v>
      </c>
      <c r="J66" s="8"/>
      <c r="K66" s="24">
        <v>1801</v>
      </c>
      <c r="L66" s="8"/>
      <c r="M66" s="24">
        <v>1878</v>
      </c>
      <c r="N66" s="8"/>
      <c r="O66" s="24">
        <v>1918</v>
      </c>
      <c r="P66" s="8"/>
      <c r="Q66" s="24">
        <v>1940</v>
      </c>
      <c r="R66" s="8"/>
      <c r="S66" s="24">
        <v>1930</v>
      </c>
      <c r="T66" s="8"/>
      <c r="U66" s="24">
        <v>1901</v>
      </c>
      <c r="V66" s="8"/>
      <c r="W66" s="24">
        <v>1811</v>
      </c>
      <c r="X66" s="8"/>
      <c r="Y66" s="24">
        <v>1727</v>
      </c>
      <c r="Z66" s="8"/>
      <c r="AA66" s="24">
        <v>1676</v>
      </c>
      <c r="AB66" s="8"/>
      <c r="AC66" s="8"/>
      <c r="AE66" s="8"/>
      <c r="AG66" s="8"/>
    </row>
    <row r="67" ht="12" customHeight="1">
      <c r="A67" s="8" t="s">
        <v>195</v>
      </c>
      <c r="B67" s="8" t="s">
        <v>263</v>
      </c>
      <c r="C67" s="24">
        <v>1384</v>
      </c>
      <c r="D67" s="8"/>
      <c r="E67" s="24">
        <v>1476</v>
      </c>
      <c r="F67" s="8"/>
      <c r="G67" s="24">
        <v>1532</v>
      </c>
      <c r="H67" s="8"/>
      <c r="I67" s="24">
        <v>1653</v>
      </c>
      <c r="J67" s="8"/>
      <c r="K67" s="24">
        <v>1801</v>
      </c>
      <c r="L67" s="8"/>
      <c r="M67" s="24">
        <v>1878</v>
      </c>
      <c r="N67" s="8"/>
      <c r="O67" s="24">
        <v>1918</v>
      </c>
      <c r="P67" s="8"/>
      <c r="Q67" s="24">
        <v>1940</v>
      </c>
      <c r="R67" s="8"/>
      <c r="S67" s="24">
        <v>1930</v>
      </c>
      <c r="T67" s="8"/>
      <c r="U67" s="24">
        <v>1901</v>
      </c>
      <c r="V67" s="8"/>
      <c r="W67" s="24">
        <v>1811</v>
      </c>
      <c r="X67" s="8"/>
      <c r="Y67" s="24">
        <v>1727</v>
      </c>
      <c r="Z67" s="8"/>
      <c r="AA67" s="24">
        <v>1676</v>
      </c>
      <c r="AB67" s="8"/>
      <c r="AC67" s="8"/>
      <c r="AE67" s="8"/>
      <c r="AG67" s="8"/>
    </row>
    <row r="68" ht="12" customHeight="1">
      <c r="A68" s="13" t="s">
        <v>69</v>
      </c>
      <c r="B68" s="10" t="s">
        <v>42</v>
      </c>
      <c r="C68" s="25">
        <v>1249</v>
      </c>
      <c r="D68" s="10"/>
      <c r="E68" s="25">
        <v>1274</v>
      </c>
      <c r="F68" s="10"/>
      <c r="G68" s="25">
        <v>1290</v>
      </c>
      <c r="H68" s="10"/>
      <c r="I68" s="25">
        <v>1313</v>
      </c>
      <c r="J68" s="10"/>
      <c r="K68" s="25">
        <v>1327</v>
      </c>
      <c r="L68" s="10"/>
      <c r="M68" s="25">
        <v>1341</v>
      </c>
      <c r="N68" s="10"/>
      <c r="O68" s="25">
        <v>1348</v>
      </c>
      <c r="P68" s="10"/>
      <c r="Q68" s="25">
        <v>1363</v>
      </c>
      <c r="R68" s="10"/>
      <c r="S68" s="25">
        <v>1371</v>
      </c>
      <c r="T68" s="10"/>
      <c r="U68" s="25">
        <v>1388</v>
      </c>
      <c r="V68" s="10"/>
      <c r="W68" s="25">
        <v>1397</v>
      </c>
      <c r="X68" s="10"/>
      <c r="Y68" s="25">
        <v>1409</v>
      </c>
      <c r="Z68" s="10"/>
      <c r="AA68" s="25">
        <v>1413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264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204</v>
      </c>
      <c r="C8" s="22">
        <v>3.1000000000000001</v>
      </c>
      <c r="D8" s="22"/>
      <c r="E8" s="22">
        <v>4.0999999999999996</v>
      </c>
      <c r="F8" s="22"/>
      <c r="G8" s="22">
        <v>1.8</v>
      </c>
      <c r="H8" s="22"/>
      <c r="I8" s="22">
        <v>0.29999999999999999</v>
      </c>
      <c r="J8" s="22"/>
      <c r="K8" s="22">
        <v>-0.80000000000000004</v>
      </c>
      <c r="L8" s="22"/>
      <c r="M8" s="22">
        <v>0.40000000000000002</v>
      </c>
      <c r="N8" s="22"/>
      <c r="O8" s="22">
        <v>-0.59999999999999998</v>
      </c>
      <c r="P8" s="22"/>
      <c r="Q8" s="22">
        <v>0.80000000000000004</v>
      </c>
      <c r="R8" s="22"/>
      <c r="S8" s="22">
        <v>0.10000000000000001</v>
      </c>
      <c r="T8" s="22"/>
      <c r="U8" s="22">
        <v>1.8999999999999999</v>
      </c>
      <c r="V8" s="22"/>
      <c r="W8" s="22">
        <v>1.8</v>
      </c>
      <c r="X8" s="22"/>
      <c r="Y8" s="22">
        <v>1.8999999999999999</v>
      </c>
      <c r="Z8" s="22"/>
      <c r="AA8" s="22">
        <v>-1</v>
      </c>
      <c r="AB8" s="22"/>
      <c r="AC8" s="22"/>
    </row>
    <row r="9" ht="12" customHeight="1">
      <c r="A9" s="8" t="s">
        <v>79</v>
      </c>
      <c r="B9" s="8" t="s">
        <v>205</v>
      </c>
      <c r="C9" s="26">
        <v>0.90000000000000002</v>
      </c>
      <c r="D9" s="8"/>
      <c r="E9" s="26">
        <v>10</v>
      </c>
      <c r="F9" s="8"/>
      <c r="G9" s="26">
        <v>-2.2000000000000002</v>
      </c>
      <c r="H9" s="8"/>
      <c r="I9" s="26">
        <v>-0.5</v>
      </c>
      <c r="J9" s="8"/>
      <c r="K9" s="26">
        <v>-2.5</v>
      </c>
      <c r="L9" s="8"/>
      <c r="M9" s="26">
        <v>-1.3</v>
      </c>
      <c r="N9" s="8"/>
      <c r="O9" s="26">
        <v>-9.6999999999999993</v>
      </c>
      <c r="P9" s="8"/>
      <c r="Q9" s="26">
        <v>1</v>
      </c>
      <c r="R9" s="8"/>
      <c r="S9" s="26">
        <v>-0.10000000000000001</v>
      </c>
      <c r="T9" s="8"/>
      <c r="U9" s="26">
        <v>1.2</v>
      </c>
      <c r="V9" s="8"/>
      <c r="W9" s="26">
        <v>3.5</v>
      </c>
      <c r="X9" s="8"/>
      <c r="Y9" s="26">
        <v>8.6999999999999993</v>
      </c>
      <c r="Z9" s="8"/>
      <c r="AA9" s="26">
        <v>-9</v>
      </c>
      <c r="AB9" s="8"/>
      <c r="AC9" s="8"/>
    </row>
    <row r="10" ht="12" customHeight="1">
      <c r="A10" s="8" t="s">
        <v>81</v>
      </c>
      <c r="B10" s="8" t="s">
        <v>206</v>
      </c>
      <c r="C10" s="26">
        <v>4.0999999999999996</v>
      </c>
      <c r="D10" s="8"/>
      <c r="E10" s="26">
        <v>1.7</v>
      </c>
      <c r="F10" s="8"/>
      <c r="G10" s="26">
        <v>1.6000000000000001</v>
      </c>
      <c r="H10" s="8"/>
      <c r="I10" s="26">
        <v>0.5</v>
      </c>
      <c r="J10" s="8"/>
      <c r="K10" s="26">
        <v>-1.2</v>
      </c>
      <c r="L10" s="8"/>
      <c r="M10" s="26">
        <v>-0.59999999999999998</v>
      </c>
      <c r="N10" s="8"/>
      <c r="O10" s="26">
        <v>0.5</v>
      </c>
      <c r="P10" s="8"/>
      <c r="Q10" s="26">
        <v>1.3</v>
      </c>
      <c r="R10" s="8"/>
      <c r="S10" s="26">
        <v>0.69999999999999996</v>
      </c>
      <c r="T10" s="8"/>
      <c r="U10" s="26">
        <v>1.6000000000000001</v>
      </c>
      <c r="V10" s="8"/>
      <c r="W10" s="26">
        <v>1.3999999999999999</v>
      </c>
      <c r="X10" s="8"/>
      <c r="Y10" s="26">
        <v>3.6000000000000001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207</v>
      </c>
      <c r="C11" s="26">
        <v>3.7000000000000002</v>
      </c>
      <c r="D11" s="8"/>
      <c r="E11" s="26">
        <v>4.0999999999999996</v>
      </c>
      <c r="F11" s="8"/>
      <c r="G11" s="26">
        <v>2.7999999999999998</v>
      </c>
      <c r="H11" s="8"/>
      <c r="I11" s="26">
        <v>0</v>
      </c>
      <c r="J11" s="8"/>
      <c r="K11" s="26">
        <v>-0.80000000000000004</v>
      </c>
      <c r="L11" s="8"/>
      <c r="M11" s="26">
        <v>0.90000000000000002</v>
      </c>
      <c r="N11" s="8"/>
      <c r="O11" s="26">
        <v>0.90000000000000002</v>
      </c>
      <c r="P11" s="8"/>
      <c r="Q11" s="26">
        <v>0.90000000000000002</v>
      </c>
      <c r="R11" s="8"/>
      <c r="S11" s="26">
        <v>-0.20000000000000001</v>
      </c>
      <c r="T11" s="8"/>
      <c r="U11" s="26">
        <v>2.7999999999999998</v>
      </c>
      <c r="V11" s="8"/>
      <c r="W11" s="26">
        <v>1.6000000000000001</v>
      </c>
      <c r="X11" s="8"/>
      <c r="Y11" s="26">
        <v>0.40000000000000002</v>
      </c>
      <c r="Z11" s="8"/>
      <c r="AA11" s="26">
        <v>-0.29999999999999999</v>
      </c>
      <c r="AB11" s="8"/>
      <c r="AC11" s="8"/>
    </row>
    <row r="12" ht="12" customHeight="1">
      <c r="A12" s="8" t="s">
        <v>85</v>
      </c>
      <c r="B12" s="8" t="s">
        <v>208</v>
      </c>
      <c r="C12" s="26">
        <v>2.7999999999999998</v>
      </c>
      <c r="D12" s="8"/>
      <c r="E12" s="26">
        <v>2.3999999999999999</v>
      </c>
      <c r="F12" s="8"/>
      <c r="G12" s="26">
        <v>3</v>
      </c>
      <c r="H12" s="8"/>
      <c r="I12" s="26">
        <v>0.80000000000000004</v>
      </c>
      <c r="J12" s="8"/>
      <c r="K12" s="26">
        <v>0.10000000000000001</v>
      </c>
      <c r="L12" s="8"/>
      <c r="M12" s="26">
        <v>1.2</v>
      </c>
      <c r="N12" s="8"/>
      <c r="O12" s="26">
        <v>2.2999999999999998</v>
      </c>
      <c r="P12" s="8"/>
      <c r="Q12" s="26">
        <v>0.80000000000000004</v>
      </c>
      <c r="R12" s="8"/>
      <c r="S12" s="26">
        <v>0</v>
      </c>
      <c r="T12" s="8"/>
      <c r="U12" s="26">
        <v>2.3999999999999999</v>
      </c>
      <c r="V12" s="8"/>
      <c r="W12" s="26">
        <v>2.5</v>
      </c>
      <c r="X12" s="8"/>
      <c r="Y12" s="26">
        <v>-0.80000000000000004</v>
      </c>
      <c r="Z12" s="8"/>
      <c r="AA12" s="26">
        <v>0.5</v>
      </c>
      <c r="AB12" s="8"/>
      <c r="AC12" s="8"/>
    </row>
    <row r="13" ht="12" customHeight="1">
      <c r="A13" s="8" t="s">
        <v>87</v>
      </c>
      <c r="B13" s="8" t="s">
        <v>209</v>
      </c>
      <c r="C13" s="26">
        <v>2.5</v>
      </c>
      <c r="D13" s="8"/>
      <c r="E13" s="26">
        <v>1.8999999999999999</v>
      </c>
      <c r="F13" s="8"/>
      <c r="G13" s="26">
        <v>2.8999999999999999</v>
      </c>
      <c r="H13" s="8"/>
      <c r="I13" s="26">
        <v>1.5</v>
      </c>
      <c r="J13" s="8"/>
      <c r="K13" s="26">
        <v>0.90000000000000002</v>
      </c>
      <c r="L13" s="8"/>
      <c r="M13" s="26">
        <v>1</v>
      </c>
      <c r="N13" s="8"/>
      <c r="O13" s="26">
        <v>1.5</v>
      </c>
      <c r="P13" s="8"/>
      <c r="Q13" s="26">
        <v>0.40000000000000002</v>
      </c>
      <c r="R13" s="8"/>
      <c r="S13" s="26">
        <v>0.5</v>
      </c>
      <c r="T13" s="8"/>
      <c r="U13" s="26">
        <v>0.29999999999999999</v>
      </c>
      <c r="V13" s="8"/>
      <c r="W13" s="26">
        <v>0.90000000000000002</v>
      </c>
      <c r="X13" s="8"/>
      <c r="Y13" s="26">
        <v>0.80000000000000004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210</v>
      </c>
      <c r="C14" s="26">
        <v>0.59999999999999998</v>
      </c>
      <c r="D14" s="8"/>
      <c r="E14" s="26">
        <v>6.2999999999999998</v>
      </c>
      <c r="F14" s="8"/>
      <c r="G14" s="26">
        <v>0.5</v>
      </c>
      <c r="H14" s="8"/>
      <c r="I14" s="26">
        <v>0.80000000000000004</v>
      </c>
      <c r="J14" s="8"/>
      <c r="K14" s="26">
        <v>2.2000000000000002</v>
      </c>
      <c r="L14" s="8"/>
      <c r="M14" s="26">
        <v>5.2999999999999998</v>
      </c>
      <c r="N14" s="8"/>
      <c r="O14" s="26">
        <v>0.29999999999999999</v>
      </c>
      <c r="P14" s="8"/>
      <c r="Q14" s="26">
        <v>0.5</v>
      </c>
      <c r="R14" s="8"/>
      <c r="S14" s="26">
        <v>0.40000000000000002</v>
      </c>
      <c r="T14" s="8"/>
      <c r="U14" s="26">
        <v>2.3999999999999999</v>
      </c>
      <c r="V14" s="8"/>
      <c r="W14" s="26">
        <v>-0.20000000000000001</v>
      </c>
      <c r="X14" s="8"/>
      <c r="Y14" s="26">
        <v>0.29999999999999999</v>
      </c>
      <c r="Z14" s="8"/>
      <c r="AA14" s="26">
        <v>0.29999999999999999</v>
      </c>
      <c r="AB14" s="8"/>
      <c r="AC14" s="8"/>
    </row>
    <row r="15" ht="12" customHeight="1">
      <c r="A15" s="8" t="s">
        <v>91</v>
      </c>
      <c r="B15" s="8" t="s">
        <v>211</v>
      </c>
      <c r="C15" s="26">
        <v>0.69999999999999996</v>
      </c>
      <c r="D15" s="8"/>
      <c r="E15" s="26">
        <v>1.8</v>
      </c>
      <c r="F15" s="8"/>
      <c r="G15" s="26">
        <v>2</v>
      </c>
      <c r="H15" s="8"/>
      <c r="I15" s="26">
        <v>1.8</v>
      </c>
      <c r="J15" s="8"/>
      <c r="K15" s="26">
        <v>-0.10000000000000001</v>
      </c>
      <c r="L15" s="8"/>
      <c r="M15" s="26">
        <v>1</v>
      </c>
      <c r="N15" s="8"/>
      <c r="O15" s="26">
        <v>1.5</v>
      </c>
      <c r="P15" s="8"/>
      <c r="Q15" s="26">
        <v>0.69999999999999996</v>
      </c>
      <c r="R15" s="8"/>
      <c r="S15" s="26">
        <v>-0.59999999999999998</v>
      </c>
      <c r="T15" s="8"/>
      <c r="U15" s="26">
        <v>0.90000000000000002</v>
      </c>
      <c r="V15" s="8"/>
      <c r="W15" s="26">
        <v>-0.59999999999999998</v>
      </c>
      <c r="X15" s="8"/>
      <c r="Y15" s="26">
        <v>0.59999999999999998</v>
      </c>
      <c r="Z15" s="8"/>
      <c r="AA15" s="26">
        <v>-1</v>
      </c>
      <c r="AB15" s="8"/>
      <c r="AC15" s="8"/>
    </row>
    <row r="16" ht="12" customHeight="1">
      <c r="A16" s="8" t="s">
        <v>93</v>
      </c>
      <c r="B16" s="8" t="s">
        <v>212</v>
      </c>
      <c r="C16" s="26">
        <v>0.59999999999999998</v>
      </c>
      <c r="D16" s="8"/>
      <c r="E16" s="26">
        <v>7.5999999999999996</v>
      </c>
      <c r="F16" s="8"/>
      <c r="G16" s="26">
        <v>0</v>
      </c>
      <c r="H16" s="8"/>
      <c r="I16" s="26">
        <v>0.59999999999999998</v>
      </c>
      <c r="J16" s="8"/>
      <c r="K16" s="26">
        <v>2.7000000000000002</v>
      </c>
      <c r="L16" s="8"/>
      <c r="M16" s="26">
        <v>6.5</v>
      </c>
      <c r="N16" s="8"/>
      <c r="O16" s="26">
        <v>0</v>
      </c>
      <c r="P16" s="8"/>
      <c r="Q16" s="26">
        <v>0.40000000000000002</v>
      </c>
      <c r="R16" s="8"/>
      <c r="S16" s="26">
        <v>0.59999999999999998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213</v>
      </c>
      <c r="C17" s="26">
        <v>1</v>
      </c>
      <c r="D17" s="8"/>
      <c r="E17" s="26">
        <v>0</v>
      </c>
      <c r="F17" s="8"/>
      <c r="G17" s="26">
        <v>2.2999999999999998</v>
      </c>
      <c r="H17" s="8"/>
      <c r="I17" s="26">
        <v>0.5</v>
      </c>
      <c r="J17" s="8"/>
      <c r="K17" s="26">
        <v>0.20000000000000001</v>
      </c>
      <c r="L17" s="8"/>
      <c r="M17" s="26">
        <v>0.29999999999999999</v>
      </c>
      <c r="N17" s="8"/>
      <c r="O17" s="26">
        <v>0.29999999999999999</v>
      </c>
      <c r="P17" s="8"/>
      <c r="Q17" s="26">
        <v>0</v>
      </c>
      <c r="R17" s="8"/>
      <c r="S17" s="26">
        <v>-0.80000000000000004</v>
      </c>
      <c r="T17" s="8"/>
      <c r="U17" s="26">
        <v>0.69999999999999996</v>
      </c>
      <c r="V17" s="8"/>
      <c r="W17" s="26">
        <v>-0.40000000000000002</v>
      </c>
      <c r="X17" s="8"/>
      <c r="Y17" s="26">
        <v>0.59999999999999998</v>
      </c>
      <c r="Z17" s="8"/>
      <c r="AA17" s="26">
        <v>0.59999999999999998</v>
      </c>
      <c r="AB17" s="8"/>
      <c r="AC17" s="8"/>
    </row>
    <row r="18" ht="12" customHeight="1">
      <c r="A18" s="8" t="s">
        <v>97</v>
      </c>
      <c r="B18" s="8" t="s">
        <v>214</v>
      </c>
      <c r="C18" s="26">
        <v>0.59999999999999998</v>
      </c>
      <c r="D18" s="8"/>
      <c r="E18" s="26">
        <v>-0.29999999999999999</v>
      </c>
      <c r="F18" s="8"/>
      <c r="G18" s="26">
        <v>2.8999999999999999</v>
      </c>
      <c r="H18" s="8"/>
      <c r="I18" s="26">
        <v>0.80000000000000004</v>
      </c>
      <c r="J18" s="8"/>
      <c r="K18" s="26">
        <v>0.29999999999999999</v>
      </c>
      <c r="L18" s="8"/>
      <c r="M18" s="26">
        <v>0.29999999999999999</v>
      </c>
      <c r="N18" s="8"/>
      <c r="O18" s="26">
        <v>0.5</v>
      </c>
      <c r="P18" s="8"/>
      <c r="Q18" s="26">
        <v>-0.29999999999999999</v>
      </c>
      <c r="R18" s="8"/>
      <c r="S18" s="26">
        <v>-1.2</v>
      </c>
      <c r="T18" s="8"/>
      <c r="U18" s="26">
        <v>-0.10000000000000001</v>
      </c>
      <c r="V18" s="8"/>
      <c r="W18" s="26">
        <v>0.69999999999999996</v>
      </c>
      <c r="X18" s="8"/>
      <c r="Y18" s="26">
        <v>0.10000000000000001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215</v>
      </c>
      <c r="C19" s="26">
        <v>2.8999999999999999</v>
      </c>
      <c r="D19" s="8"/>
      <c r="E19" s="26">
        <v>0.80000000000000004</v>
      </c>
      <c r="F19" s="8"/>
      <c r="G19" s="26">
        <v>0</v>
      </c>
      <c r="H19" s="8"/>
      <c r="I19" s="26">
        <v>-0.80000000000000004</v>
      </c>
      <c r="J19" s="8"/>
      <c r="K19" s="26">
        <v>-0.5</v>
      </c>
      <c r="L19" s="8"/>
      <c r="M19" s="26">
        <v>0.40000000000000002</v>
      </c>
      <c r="N19" s="8"/>
      <c r="O19" s="26">
        <v>-0.40000000000000002</v>
      </c>
      <c r="P19" s="8"/>
      <c r="Q19" s="26">
        <v>0.90000000000000002</v>
      </c>
      <c r="R19" s="8"/>
      <c r="S19" s="26">
        <v>0.59999999999999998</v>
      </c>
      <c r="T19" s="8"/>
      <c r="U19" s="26">
        <v>2.3999999999999999</v>
      </c>
      <c r="V19" s="8"/>
      <c r="W19" s="26">
        <v>-2.6000000000000001</v>
      </c>
      <c r="X19" s="8"/>
      <c r="Y19" s="26">
        <v>1.7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216</v>
      </c>
      <c r="C20" s="26">
        <v>1.1000000000000001</v>
      </c>
      <c r="D20" s="8"/>
      <c r="E20" s="26">
        <v>1.2</v>
      </c>
      <c r="F20" s="8"/>
      <c r="G20" s="26">
        <v>1.5</v>
      </c>
      <c r="H20" s="8"/>
      <c r="I20" s="26">
        <v>1.3999999999999999</v>
      </c>
      <c r="J20" s="8"/>
      <c r="K20" s="26">
        <v>1.2</v>
      </c>
      <c r="L20" s="8"/>
      <c r="M20" s="26">
        <v>1</v>
      </c>
      <c r="N20" s="8"/>
      <c r="O20" s="26">
        <v>1.5</v>
      </c>
      <c r="P20" s="8"/>
      <c r="Q20" s="26">
        <v>1.8999999999999999</v>
      </c>
      <c r="R20" s="8"/>
      <c r="S20" s="26">
        <v>0.69999999999999996</v>
      </c>
      <c r="T20" s="8"/>
      <c r="U20" s="26">
        <v>0.90000000000000002</v>
      </c>
      <c r="V20" s="8"/>
      <c r="W20" s="26">
        <v>1.3</v>
      </c>
      <c r="X20" s="8"/>
      <c r="Y20" s="26">
        <v>1.2</v>
      </c>
      <c r="Z20" s="8"/>
      <c r="AA20" s="26">
        <v>0.29999999999999999</v>
      </c>
      <c r="AB20" s="8"/>
      <c r="AC20" s="8"/>
    </row>
    <row r="21" ht="12" customHeight="1">
      <c r="A21" s="8" t="s">
        <v>103</v>
      </c>
      <c r="B21" s="8" t="s">
        <v>217</v>
      </c>
      <c r="C21" s="26">
        <v>1.2</v>
      </c>
      <c r="D21" s="8"/>
      <c r="E21" s="26">
        <v>1.2</v>
      </c>
      <c r="F21" s="8"/>
      <c r="G21" s="26">
        <v>1.3999999999999999</v>
      </c>
      <c r="H21" s="8"/>
      <c r="I21" s="26">
        <v>1.3</v>
      </c>
      <c r="J21" s="8"/>
      <c r="K21" s="26">
        <v>1.2</v>
      </c>
      <c r="L21" s="8"/>
      <c r="M21" s="26">
        <v>1.2</v>
      </c>
      <c r="N21" s="8"/>
      <c r="O21" s="26">
        <v>1.3</v>
      </c>
      <c r="P21" s="8"/>
      <c r="Q21" s="26">
        <v>1</v>
      </c>
      <c r="R21" s="8"/>
      <c r="S21" s="26">
        <v>0.90000000000000002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218</v>
      </c>
      <c r="C22" s="26">
        <v>1.2</v>
      </c>
      <c r="D22" s="8"/>
      <c r="E22" s="26">
        <v>1.2</v>
      </c>
      <c r="F22" s="8"/>
      <c r="G22" s="26">
        <v>1.3999999999999999</v>
      </c>
      <c r="H22" s="8"/>
      <c r="I22" s="26">
        <v>1.3</v>
      </c>
      <c r="J22" s="8"/>
      <c r="K22" s="26">
        <v>1.2</v>
      </c>
      <c r="L22" s="8"/>
      <c r="M22" s="26">
        <v>1.2</v>
      </c>
      <c r="N22" s="8"/>
      <c r="O22" s="26">
        <v>1.3</v>
      </c>
      <c r="P22" s="8"/>
      <c r="Q22" s="26">
        <v>1</v>
      </c>
      <c r="R22" s="8"/>
      <c r="S22" s="26">
        <v>0.90000000000000002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219</v>
      </c>
      <c r="C23" s="26">
        <v>2.1000000000000001</v>
      </c>
      <c r="D23" s="8"/>
      <c r="E23" s="26">
        <v>0.40000000000000002</v>
      </c>
      <c r="F23" s="8"/>
      <c r="G23" s="26">
        <v>1.3999999999999999</v>
      </c>
      <c r="H23" s="8"/>
      <c r="I23" s="26">
        <v>0.90000000000000002</v>
      </c>
      <c r="J23" s="8"/>
      <c r="K23" s="26">
        <v>1</v>
      </c>
      <c r="L23" s="8"/>
      <c r="M23" s="26">
        <v>0.10000000000000001</v>
      </c>
      <c r="N23" s="8"/>
      <c r="O23" s="26">
        <v>1.6000000000000001</v>
      </c>
      <c r="P23" s="8"/>
      <c r="Q23" s="26">
        <v>1.1000000000000001</v>
      </c>
      <c r="R23" s="8"/>
      <c r="S23" s="26">
        <v>0</v>
      </c>
      <c r="T23" s="8"/>
      <c r="U23" s="26">
        <v>0.29999999999999999</v>
      </c>
      <c r="V23" s="8"/>
      <c r="W23" s="26">
        <v>0.29999999999999999</v>
      </c>
      <c r="X23" s="8"/>
      <c r="Y23" s="26">
        <v>0.69999999999999996</v>
      </c>
      <c r="Z23" s="8"/>
      <c r="AA23" s="26">
        <v>0.59999999999999998</v>
      </c>
      <c r="AB23" s="8"/>
      <c r="AC23" s="8"/>
    </row>
    <row r="24" ht="12" customHeight="1">
      <c r="A24" s="8" t="s">
        <v>109</v>
      </c>
      <c r="B24" s="8" t="s">
        <v>220</v>
      </c>
      <c r="C24" s="26">
        <v>0</v>
      </c>
      <c r="D24" s="8"/>
      <c r="E24" s="26">
        <v>0.10000000000000001</v>
      </c>
      <c r="F24" s="8"/>
      <c r="G24" s="26">
        <v>0.10000000000000001</v>
      </c>
      <c r="H24" s="8"/>
      <c r="I24" s="26">
        <v>9.5999999999999996</v>
      </c>
      <c r="J24" s="8"/>
      <c r="K24" s="26">
        <v>0</v>
      </c>
      <c r="L24" s="8"/>
      <c r="M24" s="26">
        <v>0</v>
      </c>
      <c r="N24" s="8"/>
      <c r="O24" s="26">
        <v>0.10000000000000001</v>
      </c>
      <c r="P24" s="8"/>
      <c r="Q24" s="26">
        <v>12</v>
      </c>
      <c r="R24" s="8"/>
      <c r="S24" s="26">
        <v>0</v>
      </c>
      <c r="T24" s="8"/>
      <c r="U24" s="26">
        <v>0.10000000000000001</v>
      </c>
      <c r="V24" s="8"/>
      <c r="W24" s="26">
        <v>0</v>
      </c>
      <c r="X24" s="8"/>
      <c r="Y24" s="26">
        <v>7.7999999999999998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221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9.8000000000000007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12.300000000000001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222</v>
      </c>
      <c r="C26" s="26">
        <v>1.1000000000000001</v>
      </c>
      <c r="D26" s="8"/>
      <c r="E26" s="26">
        <v>2.2000000000000002</v>
      </c>
      <c r="F26" s="8"/>
      <c r="G26" s="26">
        <v>2.7000000000000002</v>
      </c>
      <c r="H26" s="8"/>
      <c r="I26" s="26">
        <v>-1.3999999999999999</v>
      </c>
      <c r="J26" s="8"/>
      <c r="K26" s="26">
        <v>1.8</v>
      </c>
      <c r="L26" s="8"/>
      <c r="M26" s="26">
        <v>0.29999999999999999</v>
      </c>
      <c r="N26" s="8"/>
      <c r="O26" s="26">
        <v>2.8999999999999999</v>
      </c>
      <c r="P26" s="8"/>
      <c r="Q26" s="26">
        <v>0.69999999999999996</v>
      </c>
      <c r="R26" s="8"/>
      <c r="S26" s="26">
        <v>0.69999999999999996</v>
      </c>
      <c r="T26" s="8"/>
      <c r="U26" s="26">
        <v>2.2999999999999998</v>
      </c>
      <c r="V26" s="8"/>
      <c r="W26" s="26">
        <v>4.7999999999999998</v>
      </c>
      <c r="X26" s="8"/>
      <c r="Y26" s="26">
        <v>3.1000000000000001</v>
      </c>
      <c r="Z26" s="8"/>
      <c r="AA26" s="26">
        <v>1.3999999999999999</v>
      </c>
      <c r="AB26" s="8"/>
      <c r="AC26" s="8"/>
    </row>
    <row r="27" ht="12" customHeight="1">
      <c r="A27" s="8" t="s">
        <v>115</v>
      </c>
      <c r="B27" s="8" t="s">
        <v>223</v>
      </c>
      <c r="C27" s="26">
        <v>0.90000000000000002</v>
      </c>
      <c r="D27" s="8"/>
      <c r="E27" s="26">
        <v>2.2000000000000002</v>
      </c>
      <c r="F27" s="8"/>
      <c r="G27" s="26">
        <v>2.7000000000000002</v>
      </c>
      <c r="H27" s="8"/>
      <c r="I27" s="26">
        <v>-1.7</v>
      </c>
      <c r="J27" s="8"/>
      <c r="K27" s="26">
        <v>1.8</v>
      </c>
      <c r="L27" s="8"/>
      <c r="M27" s="26">
        <v>0.40000000000000002</v>
      </c>
      <c r="N27" s="8"/>
      <c r="O27" s="26">
        <v>3</v>
      </c>
      <c r="P27" s="8"/>
      <c r="Q27" s="26">
        <v>0.59999999999999998</v>
      </c>
      <c r="R27" s="8"/>
      <c r="S27" s="26">
        <v>0.59999999999999998</v>
      </c>
      <c r="T27" s="8"/>
      <c r="U27" s="26">
        <v>2.2000000000000002</v>
      </c>
      <c r="V27" s="8"/>
      <c r="W27" s="26">
        <v>5</v>
      </c>
      <c r="X27" s="8"/>
      <c r="Y27" s="26">
        <v>3.2999999999999998</v>
      </c>
      <c r="Z27" s="8"/>
      <c r="AA27" s="26">
        <v>1.2</v>
      </c>
      <c r="AB27" s="8"/>
      <c r="AC27" s="8"/>
    </row>
    <row r="28" ht="12" customHeight="1">
      <c r="A28" s="11" t="s">
        <v>117</v>
      </c>
      <c r="B28" s="8" t="s">
        <v>224</v>
      </c>
      <c r="C28" s="26">
        <v>5.4000000000000004</v>
      </c>
      <c r="D28" s="8"/>
      <c r="E28" s="26">
        <v>-1.5</v>
      </c>
      <c r="F28" s="8"/>
      <c r="G28" s="26">
        <v>3.5</v>
      </c>
      <c r="H28" s="8"/>
      <c r="I28" s="26">
        <v>-2.2999999999999998</v>
      </c>
      <c r="J28" s="8"/>
      <c r="K28" s="26">
        <v>0.69999999999999996</v>
      </c>
      <c r="L28" s="8"/>
      <c r="M28" s="26">
        <v>-3.3999999999999999</v>
      </c>
      <c r="N28" s="8"/>
      <c r="O28" s="26">
        <v>0.80000000000000004</v>
      </c>
      <c r="P28" s="8"/>
      <c r="Q28" s="26">
        <v>0</v>
      </c>
      <c r="R28" s="8"/>
      <c r="S28" s="26">
        <v>0.29999999999999999</v>
      </c>
      <c r="T28" s="8"/>
      <c r="U28" s="26">
        <v>-0.59999999999999998</v>
      </c>
      <c r="V28" s="8"/>
      <c r="W28" s="26">
        <v>0.29999999999999999</v>
      </c>
      <c r="X28" s="8"/>
      <c r="Y28" s="26">
        <v>-0.80000000000000004</v>
      </c>
      <c r="Z28" s="8"/>
      <c r="AA28" s="26">
        <v>0.59999999999999998</v>
      </c>
      <c r="AB28" s="8"/>
      <c r="AC28" s="8"/>
    </row>
    <row r="29" ht="12" customHeight="1">
      <c r="A29" s="8" t="s">
        <v>119</v>
      </c>
      <c r="B29" s="8" t="s">
        <v>225</v>
      </c>
      <c r="C29" s="26">
        <v>10.300000000000001</v>
      </c>
      <c r="D29" s="8"/>
      <c r="E29" s="26">
        <v>-5.9000000000000004</v>
      </c>
      <c r="F29" s="8"/>
      <c r="G29" s="26">
        <v>3.7999999999999998</v>
      </c>
      <c r="H29" s="8"/>
      <c r="I29" s="26">
        <v>-4.4000000000000004</v>
      </c>
      <c r="J29" s="8"/>
      <c r="K29" s="26">
        <v>0.90000000000000002</v>
      </c>
      <c r="L29" s="8"/>
      <c r="M29" s="26">
        <v>-10.1</v>
      </c>
      <c r="N29" s="8"/>
      <c r="O29" s="26">
        <v>3.7000000000000002</v>
      </c>
      <c r="P29" s="8"/>
      <c r="Q29" s="26">
        <v>2.3999999999999999</v>
      </c>
      <c r="R29" s="8"/>
      <c r="S29" s="26">
        <v>1.1000000000000001</v>
      </c>
      <c r="T29" s="8"/>
      <c r="U29" s="26">
        <v>-1.3999999999999999</v>
      </c>
      <c r="V29" s="8"/>
      <c r="W29" s="26">
        <v>-1.8999999999999999</v>
      </c>
      <c r="X29" s="8"/>
      <c r="Y29" s="26">
        <v>-1.8</v>
      </c>
      <c r="Z29" s="8"/>
      <c r="AA29" s="26">
        <v>4.2000000000000002</v>
      </c>
      <c r="AB29" s="8"/>
      <c r="AC29" s="8"/>
    </row>
    <row r="30" ht="12" customHeight="1">
      <c r="A30" s="8" t="s">
        <v>121</v>
      </c>
      <c r="B30" s="8" t="s">
        <v>226</v>
      </c>
      <c r="C30" s="26">
        <v>2.2000000000000002</v>
      </c>
      <c r="D30" s="8"/>
      <c r="E30" s="26">
        <v>1.3</v>
      </c>
      <c r="F30" s="8"/>
      <c r="G30" s="26">
        <v>-0.5</v>
      </c>
      <c r="H30" s="8"/>
      <c r="I30" s="26">
        <v>-3</v>
      </c>
      <c r="J30" s="8"/>
      <c r="K30" s="26">
        <v>8.4000000000000004</v>
      </c>
      <c r="L30" s="8"/>
      <c r="M30" s="26">
        <v>-4.2999999999999998</v>
      </c>
      <c r="N30" s="8"/>
      <c r="O30" s="26">
        <v>10.699999999999999</v>
      </c>
      <c r="P30" s="8"/>
      <c r="Q30" s="26">
        <v>-5.0999999999999996</v>
      </c>
      <c r="R30" s="8"/>
      <c r="S30" s="26">
        <v>-8</v>
      </c>
      <c r="T30" s="8"/>
      <c r="U30" s="26">
        <v>4.2999999999999998</v>
      </c>
      <c r="V30" s="8"/>
      <c r="W30" s="26">
        <v>3.7000000000000002</v>
      </c>
      <c r="X30" s="8"/>
      <c r="Y30" s="26">
        <v>-1</v>
      </c>
      <c r="Z30" s="8"/>
      <c r="AA30" s="26">
        <v>-2</v>
      </c>
      <c r="AB30" s="8"/>
      <c r="AC30" s="8"/>
    </row>
    <row r="31" ht="12" customHeight="1">
      <c r="A31" s="8" t="s">
        <v>123</v>
      </c>
      <c r="B31" s="8" t="s">
        <v>227</v>
      </c>
      <c r="C31" s="26">
        <v>2.5</v>
      </c>
      <c r="D31" s="8"/>
      <c r="E31" s="26">
        <v>-1.3999999999999999</v>
      </c>
      <c r="F31" s="8"/>
      <c r="G31" s="26">
        <v>5.2999999999999998</v>
      </c>
      <c r="H31" s="8"/>
      <c r="I31" s="26">
        <v>-1.5</v>
      </c>
      <c r="J31" s="8"/>
      <c r="K31" s="26">
        <v>-0.80000000000000004</v>
      </c>
      <c r="L31" s="8"/>
      <c r="M31" s="26">
        <v>-1.8</v>
      </c>
      <c r="N31" s="8"/>
      <c r="O31" s="26">
        <v>-1.8</v>
      </c>
      <c r="P31" s="8"/>
      <c r="Q31" s="26">
        <v>-2.5</v>
      </c>
      <c r="R31" s="8"/>
      <c r="S31" s="26">
        <v>2.6000000000000001</v>
      </c>
      <c r="T31" s="8"/>
      <c r="U31" s="26">
        <v>-0.90000000000000002</v>
      </c>
      <c r="V31" s="8"/>
      <c r="W31" s="26">
        <v>0.59999999999999998</v>
      </c>
      <c r="X31" s="8"/>
      <c r="Y31" s="26">
        <v>0</v>
      </c>
      <c r="Z31" s="8"/>
      <c r="AA31" s="26">
        <v>0.90000000000000002</v>
      </c>
      <c r="AB31" s="8"/>
      <c r="AC31" s="8"/>
    </row>
    <row r="32" ht="12" customHeight="1">
      <c r="A32" s="8" t="s">
        <v>125</v>
      </c>
      <c r="B32" s="8" t="s">
        <v>228</v>
      </c>
      <c r="C32" s="26">
        <v>3.1000000000000001</v>
      </c>
      <c r="D32" s="8"/>
      <c r="E32" s="26">
        <v>-4</v>
      </c>
      <c r="F32" s="8"/>
      <c r="G32" s="26">
        <v>2.7999999999999998</v>
      </c>
      <c r="H32" s="8"/>
      <c r="I32" s="26">
        <v>-1.3999999999999999</v>
      </c>
      <c r="J32" s="8"/>
      <c r="K32" s="26">
        <v>4</v>
      </c>
      <c r="L32" s="8"/>
      <c r="M32" s="26">
        <v>5.2000000000000002</v>
      </c>
      <c r="N32" s="8"/>
      <c r="O32" s="26">
        <v>-1.5</v>
      </c>
      <c r="P32" s="8"/>
      <c r="Q32" s="26">
        <v>-2.5</v>
      </c>
      <c r="R32" s="8"/>
      <c r="S32" s="26">
        <v>3.8999999999999999</v>
      </c>
      <c r="T32" s="8"/>
      <c r="U32" s="26">
        <v>1.8</v>
      </c>
      <c r="V32" s="8"/>
      <c r="W32" s="26">
        <v>-1.3</v>
      </c>
      <c r="X32" s="8"/>
      <c r="Y32" s="26">
        <v>-0.90000000000000002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229</v>
      </c>
      <c r="C33" s="26">
        <v>2.3999999999999999</v>
      </c>
      <c r="D33" s="8"/>
      <c r="E33" s="26">
        <v>0.90000000000000002</v>
      </c>
      <c r="F33" s="8"/>
      <c r="G33" s="26">
        <v>3.6000000000000001</v>
      </c>
      <c r="H33" s="8"/>
      <c r="I33" s="26">
        <v>-0.20000000000000001</v>
      </c>
      <c r="J33" s="8"/>
      <c r="K33" s="26">
        <v>0.20000000000000001</v>
      </c>
      <c r="L33" s="8"/>
      <c r="M33" s="26">
        <v>1.2</v>
      </c>
      <c r="N33" s="8"/>
      <c r="O33" s="26">
        <v>-5.7999999999999998</v>
      </c>
      <c r="P33" s="8"/>
      <c r="Q33" s="26">
        <v>-0.90000000000000002</v>
      </c>
      <c r="R33" s="8"/>
      <c r="S33" s="26">
        <v>0.80000000000000004</v>
      </c>
      <c r="T33" s="8"/>
      <c r="U33" s="26">
        <v>-1</v>
      </c>
      <c r="V33" s="8"/>
      <c r="W33" s="26">
        <v>0.59999999999999998</v>
      </c>
      <c r="X33" s="8"/>
      <c r="Y33" s="26">
        <v>0</v>
      </c>
      <c r="Z33" s="8"/>
      <c r="AA33" s="26">
        <v>-2.1000000000000001</v>
      </c>
      <c r="AB33" s="8"/>
      <c r="AC33" s="8"/>
    </row>
    <row r="34" ht="12" customHeight="1">
      <c r="A34" s="8" t="s">
        <v>129</v>
      </c>
      <c r="B34" s="8" t="s">
        <v>230</v>
      </c>
      <c r="C34" s="26">
        <v>3.8999999999999999</v>
      </c>
      <c r="D34" s="8"/>
      <c r="E34" s="26">
        <v>2.7999999999999998</v>
      </c>
      <c r="F34" s="8"/>
      <c r="G34" s="26">
        <v>2.7000000000000002</v>
      </c>
      <c r="H34" s="8"/>
      <c r="I34" s="26">
        <v>-1.3</v>
      </c>
      <c r="J34" s="8"/>
      <c r="K34" s="26">
        <v>-0.10000000000000001</v>
      </c>
      <c r="L34" s="8"/>
      <c r="M34" s="26">
        <v>0.5</v>
      </c>
      <c r="N34" s="8"/>
      <c r="O34" s="26">
        <v>0.5</v>
      </c>
      <c r="P34" s="8"/>
      <c r="Q34" s="26">
        <v>1.2</v>
      </c>
      <c r="R34" s="8"/>
      <c r="S34" s="26">
        <v>-0.80000000000000004</v>
      </c>
      <c r="T34" s="8"/>
      <c r="U34" s="26">
        <v>-1.2</v>
      </c>
      <c r="V34" s="8"/>
      <c r="W34" s="26">
        <v>1.7</v>
      </c>
      <c r="X34" s="8"/>
      <c r="Y34" s="26">
        <v>-0.29999999999999999</v>
      </c>
      <c r="Z34" s="8"/>
      <c r="AA34" s="26">
        <v>-0.40000000000000002</v>
      </c>
      <c r="AB34" s="8"/>
      <c r="AC34" s="8"/>
    </row>
    <row r="35" ht="12" customHeight="1">
      <c r="A35" s="11" t="s">
        <v>131</v>
      </c>
      <c r="B35" s="8" t="s">
        <v>231</v>
      </c>
      <c r="C35" s="26">
        <v>1.5</v>
      </c>
      <c r="D35" s="8"/>
      <c r="E35" s="26">
        <v>0.5</v>
      </c>
      <c r="F35" s="8"/>
      <c r="G35" s="26">
        <v>1.2</v>
      </c>
      <c r="H35" s="8"/>
      <c r="I35" s="26">
        <v>-8.5999999999999996</v>
      </c>
      <c r="J35" s="8"/>
      <c r="K35" s="26">
        <v>1.8</v>
      </c>
      <c r="L35" s="8"/>
      <c r="M35" s="26">
        <v>2</v>
      </c>
      <c r="N35" s="8"/>
      <c r="O35" s="26">
        <v>0.10000000000000001</v>
      </c>
      <c r="P35" s="8"/>
      <c r="Q35" s="26">
        <v>11.199999999999999</v>
      </c>
      <c r="R35" s="8"/>
      <c r="S35" s="26">
        <v>-2.1000000000000001</v>
      </c>
      <c r="T35" s="8"/>
      <c r="U35" s="26">
        <v>0.40000000000000002</v>
      </c>
      <c r="V35" s="8"/>
      <c r="W35" s="26">
        <v>-0.10000000000000001</v>
      </c>
      <c r="X35" s="8"/>
      <c r="Y35" s="26">
        <v>-0.40000000000000002</v>
      </c>
      <c r="Z35" s="8"/>
      <c r="AA35" s="26">
        <v>-0.69999999999999996</v>
      </c>
      <c r="AB35" s="8"/>
      <c r="AC35" s="8"/>
    </row>
    <row r="36" ht="12" customHeight="1">
      <c r="A36" s="8" t="s">
        <v>133</v>
      </c>
      <c r="B36" s="8" t="s">
        <v>232</v>
      </c>
      <c r="C36" s="26">
        <v>1.2</v>
      </c>
      <c r="D36" s="8"/>
      <c r="E36" s="26">
        <v>0.5</v>
      </c>
      <c r="F36" s="8"/>
      <c r="G36" s="26">
        <v>0.90000000000000002</v>
      </c>
      <c r="H36" s="8"/>
      <c r="I36" s="26">
        <v>-29.5</v>
      </c>
      <c r="J36" s="8"/>
      <c r="K36" s="26">
        <v>0.5</v>
      </c>
      <c r="L36" s="8"/>
      <c r="M36" s="26">
        <v>-0.10000000000000001</v>
      </c>
      <c r="N36" s="8"/>
      <c r="O36" s="26">
        <v>0.10000000000000001</v>
      </c>
      <c r="P36" s="8"/>
      <c r="Q36" s="26">
        <v>43.200000000000003</v>
      </c>
      <c r="R36" s="8"/>
      <c r="S36" s="26">
        <v>-9.5</v>
      </c>
      <c r="T36" s="8"/>
      <c r="U36" s="26">
        <v>0.20000000000000001</v>
      </c>
      <c r="V36" s="8"/>
      <c r="W36" s="26">
        <v>-0.40000000000000002</v>
      </c>
      <c r="X36" s="8"/>
      <c r="Y36" s="26">
        <v>-3.2000000000000002</v>
      </c>
      <c r="Z36" s="8"/>
      <c r="AA36" s="26">
        <v>-2.8999999999999999</v>
      </c>
      <c r="AB36" s="8"/>
      <c r="AC36" s="8"/>
    </row>
    <row r="37" ht="12" customHeight="1">
      <c r="A37" s="8" t="s">
        <v>135</v>
      </c>
      <c r="B37" s="8" t="s">
        <v>233</v>
      </c>
      <c r="C37" s="26">
        <v>1.7</v>
      </c>
      <c r="D37" s="8"/>
      <c r="E37" s="26">
        <v>0.5</v>
      </c>
      <c r="F37" s="8"/>
      <c r="G37" s="26">
        <v>1.3999999999999999</v>
      </c>
      <c r="H37" s="8"/>
      <c r="I37" s="26">
        <v>1.1000000000000001</v>
      </c>
      <c r="J37" s="8"/>
      <c r="K37" s="26">
        <v>2.1000000000000001</v>
      </c>
      <c r="L37" s="8"/>
      <c r="M37" s="26">
        <v>2.7000000000000002</v>
      </c>
      <c r="N37" s="8"/>
      <c r="O37" s="26">
        <v>0.10000000000000001</v>
      </c>
      <c r="P37" s="8"/>
      <c r="Q37" s="26">
        <v>1.3</v>
      </c>
      <c r="R37" s="8"/>
      <c r="S37" s="26">
        <v>1.1000000000000001</v>
      </c>
      <c r="T37" s="8"/>
      <c r="U37" s="26">
        <v>0.40000000000000002</v>
      </c>
      <c r="V37" s="8"/>
      <c r="W37" s="26">
        <v>0.29999999999999999</v>
      </c>
      <c r="X37" s="8"/>
      <c r="Y37" s="26">
        <v>1.3999999999999999</v>
      </c>
      <c r="Z37" s="8"/>
      <c r="AA37" s="26">
        <v>0.69999999999999996</v>
      </c>
      <c r="AB37" s="8"/>
      <c r="AC37" s="8"/>
    </row>
    <row r="38" ht="12" customHeight="1">
      <c r="A38" s="8" t="s">
        <v>137</v>
      </c>
      <c r="B38" s="8" t="s">
        <v>234</v>
      </c>
      <c r="C38" s="26">
        <v>1.8999999999999999</v>
      </c>
      <c r="D38" s="8"/>
      <c r="E38" s="26">
        <v>2</v>
      </c>
      <c r="F38" s="8"/>
      <c r="G38" s="26">
        <v>2.1000000000000001</v>
      </c>
      <c r="H38" s="8"/>
      <c r="I38" s="26">
        <v>4.4000000000000004</v>
      </c>
      <c r="J38" s="8"/>
      <c r="K38" s="26">
        <v>6.5</v>
      </c>
      <c r="L38" s="8"/>
      <c r="M38" s="26">
        <v>0.69999999999999996</v>
      </c>
      <c r="N38" s="8"/>
      <c r="O38" s="26">
        <v>0.90000000000000002</v>
      </c>
      <c r="P38" s="8"/>
      <c r="Q38" s="26">
        <v>7.4000000000000004</v>
      </c>
      <c r="R38" s="8"/>
      <c r="S38" s="26">
        <v>1.8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235</v>
      </c>
      <c r="C39" s="26">
        <v>-1.8999999999999999</v>
      </c>
      <c r="D39" s="8"/>
      <c r="E39" s="26">
        <v>-0.90000000000000002</v>
      </c>
      <c r="F39" s="8"/>
      <c r="G39" s="26">
        <v>-1.8</v>
      </c>
      <c r="H39" s="8"/>
      <c r="I39" s="26">
        <v>9.6999999999999993</v>
      </c>
      <c r="J39" s="8"/>
      <c r="K39" s="26">
        <v>-0.10000000000000001</v>
      </c>
      <c r="L39" s="8"/>
      <c r="M39" s="26">
        <v>-1.7</v>
      </c>
      <c r="N39" s="8"/>
      <c r="O39" s="26">
        <v>-0.5</v>
      </c>
      <c r="P39" s="8"/>
      <c r="Q39" s="26">
        <v>-3.1000000000000001</v>
      </c>
      <c r="R39" s="8"/>
      <c r="S39" s="26">
        <v>0.90000000000000002</v>
      </c>
      <c r="T39" s="8"/>
      <c r="U39" s="26">
        <v>2.6000000000000001</v>
      </c>
      <c r="V39" s="8"/>
      <c r="W39" s="26">
        <v>-1.6000000000000001</v>
      </c>
      <c r="X39" s="8"/>
      <c r="Y39" s="26">
        <v>0.40000000000000002</v>
      </c>
      <c r="Z39" s="8"/>
      <c r="AA39" s="26">
        <v>1.6000000000000001</v>
      </c>
      <c r="AB39" s="8"/>
      <c r="AC39" s="8"/>
    </row>
    <row r="40" ht="12" customHeight="1">
      <c r="A40" s="8" t="s">
        <v>141</v>
      </c>
      <c r="B40" s="8" t="s">
        <v>236</v>
      </c>
      <c r="C40" s="26">
        <v>-0.29999999999999999</v>
      </c>
      <c r="D40" s="8"/>
      <c r="E40" s="26">
        <v>1.3</v>
      </c>
      <c r="F40" s="8"/>
      <c r="G40" s="26">
        <v>1.3</v>
      </c>
      <c r="H40" s="8"/>
      <c r="I40" s="26">
        <v>1.6000000000000001</v>
      </c>
      <c r="J40" s="8"/>
      <c r="K40" s="26">
        <v>-3</v>
      </c>
      <c r="L40" s="8"/>
      <c r="M40" s="26">
        <v>0.29999999999999999</v>
      </c>
      <c r="N40" s="8"/>
      <c r="O40" s="26">
        <v>-5.0999999999999996</v>
      </c>
      <c r="P40" s="8"/>
      <c r="Q40" s="26">
        <v>-2.7000000000000002</v>
      </c>
      <c r="R40" s="8"/>
      <c r="S40" s="26">
        <v>4.4000000000000004</v>
      </c>
      <c r="T40" s="8"/>
      <c r="U40" s="26">
        <v>0.29999999999999999</v>
      </c>
      <c r="V40" s="8"/>
      <c r="W40" s="26">
        <v>1.5</v>
      </c>
      <c r="X40" s="8"/>
      <c r="Y40" s="26">
        <v>-0.20000000000000001</v>
      </c>
      <c r="Z40" s="8"/>
      <c r="AA40" s="26">
        <v>-0.10000000000000001</v>
      </c>
      <c r="AB40" s="8"/>
      <c r="AC40" s="8"/>
    </row>
    <row r="41" ht="12" customHeight="1">
      <c r="A41" s="8" t="s">
        <v>143</v>
      </c>
      <c r="B41" s="8" t="s">
        <v>237</v>
      </c>
      <c r="C41" s="26">
        <v>-5</v>
      </c>
      <c r="D41" s="8"/>
      <c r="E41" s="26">
        <v>-2.1000000000000001</v>
      </c>
      <c r="F41" s="8"/>
      <c r="G41" s="26">
        <v>-1.3</v>
      </c>
      <c r="H41" s="8"/>
      <c r="I41" s="26">
        <v>12.800000000000001</v>
      </c>
      <c r="J41" s="8"/>
      <c r="K41" s="26">
        <v>0.5</v>
      </c>
      <c r="L41" s="8"/>
      <c r="M41" s="26">
        <v>-1.7</v>
      </c>
      <c r="N41" s="8"/>
      <c r="O41" s="26">
        <v>1.3</v>
      </c>
      <c r="P41" s="8"/>
      <c r="Q41" s="26">
        <v>-4.5</v>
      </c>
      <c r="R41" s="8"/>
      <c r="S41" s="26">
        <v>-1</v>
      </c>
      <c r="T41" s="8"/>
      <c r="U41" s="26">
        <v>3.1000000000000001</v>
      </c>
      <c r="V41" s="8"/>
      <c r="W41" s="26">
        <v>-1.6000000000000001</v>
      </c>
      <c r="X41" s="8"/>
      <c r="Y41" s="26">
        <v>0.29999999999999999</v>
      </c>
      <c r="Z41" s="8"/>
      <c r="AA41" s="26">
        <v>1.7</v>
      </c>
      <c r="AB41" s="8"/>
      <c r="AC41" s="8"/>
    </row>
    <row r="42" ht="12" customHeight="1">
      <c r="A42" s="8" t="s">
        <v>145</v>
      </c>
      <c r="B42" s="8" t="s">
        <v>238</v>
      </c>
      <c r="C42" s="26">
        <v>-7.2000000000000002</v>
      </c>
      <c r="D42" s="8"/>
      <c r="E42" s="26">
        <v>-2.5</v>
      </c>
      <c r="F42" s="8"/>
      <c r="G42" s="26">
        <v>-1.6000000000000001</v>
      </c>
      <c r="H42" s="8"/>
      <c r="I42" s="26">
        <v>16.5</v>
      </c>
      <c r="J42" s="8"/>
      <c r="K42" s="26">
        <v>0.10000000000000001</v>
      </c>
      <c r="L42" s="8"/>
      <c r="M42" s="26">
        <v>-2.3999999999999999</v>
      </c>
      <c r="N42" s="8"/>
      <c r="O42" s="26">
        <v>0.69999999999999996</v>
      </c>
      <c r="P42" s="8"/>
      <c r="Q42" s="26">
        <v>-6.2000000000000002</v>
      </c>
      <c r="R42" s="8"/>
      <c r="S42" s="26">
        <v>-1.3</v>
      </c>
      <c r="T42" s="8"/>
      <c r="U42" s="26">
        <v>4.5999999999999996</v>
      </c>
      <c r="V42" s="8"/>
      <c r="W42" s="26">
        <v>-4.7999999999999998</v>
      </c>
      <c r="X42" s="8"/>
      <c r="Y42" s="26">
        <v>0.20000000000000001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239</v>
      </c>
      <c r="C43" s="26">
        <v>14.6</v>
      </c>
      <c r="D43" s="8"/>
      <c r="E43" s="26">
        <v>2.3999999999999999</v>
      </c>
      <c r="F43" s="8"/>
      <c r="G43" s="26">
        <v>-8.5</v>
      </c>
      <c r="H43" s="8"/>
      <c r="I43" s="26">
        <v>6.0999999999999996</v>
      </c>
      <c r="J43" s="8"/>
      <c r="K43" s="26">
        <v>1.2</v>
      </c>
      <c r="L43" s="8"/>
      <c r="M43" s="26">
        <v>-4.2000000000000002</v>
      </c>
      <c r="N43" s="8"/>
      <c r="O43" s="26">
        <v>-3.3999999999999999</v>
      </c>
      <c r="P43" s="8"/>
      <c r="Q43" s="26">
        <v>3.5</v>
      </c>
      <c r="R43" s="8"/>
      <c r="S43" s="26">
        <v>5</v>
      </c>
      <c r="T43" s="8"/>
      <c r="U43" s="26">
        <v>1.1000000000000001</v>
      </c>
      <c r="V43" s="8"/>
      <c r="W43" s="26">
        <v>-6.9000000000000004</v>
      </c>
      <c r="X43" s="8"/>
      <c r="Y43" s="26">
        <v>2.2999999999999998</v>
      </c>
      <c r="Z43" s="8"/>
      <c r="AA43" s="26">
        <v>4.7000000000000002</v>
      </c>
      <c r="AB43" s="8"/>
      <c r="AC43" s="8"/>
    </row>
    <row r="44" ht="12" customHeight="1">
      <c r="A44" s="11" t="s">
        <v>149</v>
      </c>
      <c r="B44" s="8" t="s">
        <v>240</v>
      </c>
      <c r="C44" s="26">
        <v>0.10000000000000001</v>
      </c>
      <c r="D44" s="8"/>
      <c r="E44" s="26">
        <v>0.29999999999999999</v>
      </c>
      <c r="F44" s="8"/>
      <c r="G44" s="26">
        <v>0.59999999999999998</v>
      </c>
      <c r="H44" s="8"/>
      <c r="I44" s="26">
        <v>1.7</v>
      </c>
      <c r="J44" s="8"/>
      <c r="K44" s="26">
        <v>1.3999999999999999</v>
      </c>
      <c r="L44" s="8"/>
      <c r="M44" s="26">
        <v>0.69999999999999996</v>
      </c>
      <c r="N44" s="8"/>
      <c r="O44" s="26">
        <v>0.40000000000000002</v>
      </c>
      <c r="P44" s="8"/>
      <c r="Q44" s="26">
        <v>0.90000000000000002</v>
      </c>
      <c r="R44" s="8"/>
      <c r="S44" s="26">
        <v>1.7</v>
      </c>
      <c r="T44" s="8"/>
      <c r="U44" s="26">
        <v>0.59999999999999998</v>
      </c>
      <c r="V44" s="8"/>
      <c r="W44" s="26">
        <v>0.10000000000000001</v>
      </c>
      <c r="X44" s="8"/>
      <c r="Y44" s="26">
        <v>0.5</v>
      </c>
      <c r="Z44" s="8"/>
      <c r="AA44" s="26">
        <v>3.8999999999999999</v>
      </c>
      <c r="AB44" s="8"/>
      <c r="AC44" s="8"/>
    </row>
    <row r="45" ht="12" customHeight="1">
      <c r="A45" s="8" t="s">
        <v>151</v>
      </c>
      <c r="B45" s="8" t="s">
        <v>241</v>
      </c>
      <c r="C45" s="26">
        <v>1.2</v>
      </c>
      <c r="D45" s="8"/>
      <c r="E45" s="26">
        <v>0.80000000000000004</v>
      </c>
      <c r="F45" s="8"/>
      <c r="G45" s="26">
        <v>-0.80000000000000004</v>
      </c>
      <c r="H45" s="8"/>
      <c r="I45" s="26">
        <v>6.7999999999999998</v>
      </c>
      <c r="J45" s="8"/>
      <c r="K45" s="26">
        <v>1.1000000000000001</v>
      </c>
      <c r="L45" s="8"/>
      <c r="M45" s="26">
        <v>-1.5</v>
      </c>
      <c r="N45" s="8"/>
      <c r="O45" s="26">
        <v>-0.40000000000000002</v>
      </c>
      <c r="P45" s="8"/>
      <c r="Q45" s="26">
        <v>2.3999999999999999</v>
      </c>
      <c r="R45" s="8"/>
      <c r="S45" s="26">
        <v>-0.10000000000000001</v>
      </c>
      <c r="T45" s="8"/>
      <c r="U45" s="26">
        <v>-0.40000000000000002</v>
      </c>
      <c r="V45" s="8"/>
      <c r="W45" s="26">
        <v>0.90000000000000002</v>
      </c>
      <c r="X45" s="8"/>
      <c r="Y45" s="26">
        <v>7.5</v>
      </c>
      <c r="Z45" s="8"/>
      <c r="AA45" s="26">
        <v>0.20000000000000001</v>
      </c>
      <c r="AB45" s="8"/>
      <c r="AC45" s="8"/>
    </row>
    <row r="46" ht="12" customHeight="1">
      <c r="A46" s="8" t="s">
        <v>153</v>
      </c>
      <c r="B46" s="8" t="s">
        <v>242</v>
      </c>
      <c r="C46" s="26">
        <v>-0.40000000000000002</v>
      </c>
      <c r="D46" s="8"/>
      <c r="E46" s="26">
        <v>1.5</v>
      </c>
      <c r="F46" s="8"/>
      <c r="G46" s="26">
        <v>-10.1</v>
      </c>
      <c r="H46" s="8"/>
      <c r="I46" s="26">
        <v>-6</v>
      </c>
      <c r="J46" s="8"/>
      <c r="K46" s="26">
        <v>15.699999999999999</v>
      </c>
      <c r="L46" s="8"/>
      <c r="M46" s="26">
        <v>-2.8999999999999999</v>
      </c>
      <c r="N46" s="8"/>
      <c r="O46" s="26">
        <v>8.3000000000000007</v>
      </c>
      <c r="P46" s="8"/>
      <c r="Q46" s="26">
        <v>-15.4</v>
      </c>
      <c r="R46" s="8"/>
      <c r="S46" s="26">
        <v>0</v>
      </c>
      <c r="T46" s="8"/>
      <c r="U46" s="26">
        <v>-5</v>
      </c>
      <c r="V46" s="8"/>
      <c r="W46" s="26">
        <v>-7.4000000000000004</v>
      </c>
      <c r="X46" s="8"/>
      <c r="Y46" s="26">
        <v>-3.2999999999999998</v>
      </c>
      <c r="Z46" s="8"/>
      <c r="AA46" s="26">
        <v>11.199999999999999</v>
      </c>
      <c r="AB46" s="8"/>
      <c r="AC46" s="8"/>
    </row>
    <row r="47" ht="12" customHeight="1">
      <c r="A47" s="8" t="s">
        <v>155</v>
      </c>
      <c r="B47" s="8" t="s">
        <v>243</v>
      </c>
      <c r="C47" s="26">
        <v>0.10000000000000001</v>
      </c>
      <c r="D47" s="8"/>
      <c r="E47" s="26">
        <v>0.29999999999999999</v>
      </c>
      <c r="F47" s="8"/>
      <c r="G47" s="26">
        <v>0.90000000000000002</v>
      </c>
      <c r="H47" s="8"/>
      <c r="I47" s="26">
        <v>1.6000000000000001</v>
      </c>
      <c r="J47" s="8"/>
      <c r="K47" s="26">
        <v>1.2</v>
      </c>
      <c r="L47" s="8"/>
      <c r="M47" s="26">
        <v>0.90000000000000002</v>
      </c>
      <c r="N47" s="8"/>
      <c r="O47" s="26">
        <v>0.20000000000000001</v>
      </c>
      <c r="P47" s="8"/>
      <c r="Q47" s="26">
        <v>1.2</v>
      </c>
      <c r="R47" s="8"/>
      <c r="S47" s="26">
        <v>1.8</v>
      </c>
      <c r="T47" s="8"/>
      <c r="U47" s="26">
        <v>1.7</v>
      </c>
      <c r="V47" s="8"/>
      <c r="W47" s="26">
        <v>1.3</v>
      </c>
      <c r="X47" s="8"/>
      <c r="Y47" s="26">
        <v>1</v>
      </c>
      <c r="Z47" s="8"/>
      <c r="AA47" s="26">
        <v>2.8999999999999999</v>
      </c>
      <c r="AB47" s="8"/>
      <c r="AC47" s="8"/>
    </row>
    <row r="48" ht="12" customHeight="1">
      <c r="A48" s="11" t="s">
        <v>157</v>
      </c>
      <c r="B48" s="8" t="s">
        <v>244</v>
      </c>
      <c r="C48" s="26">
        <v>3.7000000000000002</v>
      </c>
      <c r="D48" s="8"/>
      <c r="E48" s="26">
        <v>0.80000000000000004</v>
      </c>
      <c r="F48" s="8"/>
      <c r="G48" s="26">
        <v>-0.10000000000000001</v>
      </c>
      <c r="H48" s="8"/>
      <c r="I48" s="26">
        <v>1.7</v>
      </c>
      <c r="J48" s="8"/>
      <c r="K48" s="26">
        <v>2.1000000000000001</v>
      </c>
      <c r="L48" s="8"/>
      <c r="M48" s="26">
        <v>1.3</v>
      </c>
      <c r="N48" s="8"/>
      <c r="O48" s="26">
        <v>-2.1000000000000001</v>
      </c>
      <c r="P48" s="8"/>
      <c r="Q48" s="26">
        <v>0.40000000000000002</v>
      </c>
      <c r="R48" s="8"/>
      <c r="S48" s="26">
        <v>2.1000000000000001</v>
      </c>
      <c r="T48" s="8"/>
      <c r="U48" s="26">
        <v>-0.80000000000000004</v>
      </c>
      <c r="V48" s="8"/>
      <c r="W48" s="26">
        <v>-0.29999999999999999</v>
      </c>
      <c r="X48" s="8"/>
      <c r="Y48" s="26">
        <v>0.90000000000000002</v>
      </c>
      <c r="Z48" s="8"/>
      <c r="AA48" s="26">
        <v>1.6000000000000001</v>
      </c>
      <c r="AB48" s="8"/>
      <c r="AC48" s="8"/>
    </row>
    <row r="49" ht="12" customHeight="1">
      <c r="A49" s="8" t="s">
        <v>159</v>
      </c>
      <c r="B49" s="8" t="s">
        <v>245</v>
      </c>
      <c r="C49" s="26">
        <v>8</v>
      </c>
      <c r="D49" s="8"/>
      <c r="E49" s="26">
        <v>-5.7999999999999998</v>
      </c>
      <c r="F49" s="8"/>
      <c r="G49" s="26">
        <v>-17.399999999999999</v>
      </c>
      <c r="H49" s="8"/>
      <c r="I49" s="26">
        <v>5.4000000000000004</v>
      </c>
      <c r="J49" s="8"/>
      <c r="K49" s="26">
        <v>8.3000000000000007</v>
      </c>
      <c r="L49" s="8"/>
      <c r="M49" s="26">
        <v>-10.4</v>
      </c>
      <c r="N49" s="8"/>
      <c r="O49" s="26">
        <v>-11.800000000000001</v>
      </c>
      <c r="P49" s="8"/>
      <c r="Q49" s="26">
        <v>5.0999999999999996</v>
      </c>
      <c r="R49" s="8"/>
      <c r="S49" s="26">
        <v>8.6999999999999993</v>
      </c>
      <c r="T49" s="8"/>
      <c r="U49" s="26">
        <v>-6.7000000000000002</v>
      </c>
      <c r="V49" s="8"/>
      <c r="W49" s="26">
        <v>-12.300000000000001</v>
      </c>
      <c r="X49" s="8"/>
      <c r="Y49" s="26">
        <v>1.8</v>
      </c>
      <c r="Z49" s="8"/>
      <c r="AA49" s="26">
        <v>8.0999999999999996</v>
      </c>
      <c r="AB49" s="8"/>
      <c r="AC49" s="8"/>
    </row>
    <row r="50" ht="12" customHeight="1">
      <c r="A50" s="8" t="s">
        <v>161</v>
      </c>
      <c r="B50" s="8" t="s">
        <v>246</v>
      </c>
      <c r="C50" s="26">
        <v>2.7999999999999998</v>
      </c>
      <c r="D50" s="8"/>
      <c r="E50" s="26">
        <v>1.7</v>
      </c>
      <c r="F50" s="8"/>
      <c r="G50" s="26">
        <v>-0.10000000000000001</v>
      </c>
      <c r="H50" s="8"/>
      <c r="I50" s="26">
        <v>1</v>
      </c>
      <c r="J50" s="8"/>
      <c r="K50" s="26">
        <v>-0.90000000000000002</v>
      </c>
      <c r="L50" s="8"/>
      <c r="M50" s="26">
        <v>2.1000000000000001</v>
      </c>
      <c r="N50" s="8"/>
      <c r="O50" s="26">
        <v>-0.10000000000000001</v>
      </c>
      <c r="P50" s="8"/>
      <c r="Q50" s="26">
        <v>-2.6000000000000001</v>
      </c>
      <c r="R50" s="8"/>
      <c r="S50" s="26">
        <v>1</v>
      </c>
      <c r="T50" s="8"/>
      <c r="U50" s="26">
        <v>0.80000000000000004</v>
      </c>
      <c r="V50" s="8"/>
      <c r="W50" s="26">
        <v>1.8</v>
      </c>
      <c r="X50" s="8"/>
      <c r="Y50" s="26">
        <v>-0.29999999999999999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247</v>
      </c>
      <c r="C51" s="26">
        <v>2.2000000000000002</v>
      </c>
      <c r="D51" s="8"/>
      <c r="E51" s="26">
        <v>1.3</v>
      </c>
      <c r="F51" s="8"/>
      <c r="G51" s="26">
        <v>5.2000000000000002</v>
      </c>
      <c r="H51" s="8"/>
      <c r="I51" s="26">
        <v>0.10000000000000001</v>
      </c>
      <c r="J51" s="8"/>
      <c r="K51" s="26">
        <v>1.1000000000000001</v>
      </c>
      <c r="L51" s="8"/>
      <c r="M51" s="26">
        <v>0.29999999999999999</v>
      </c>
      <c r="N51" s="8"/>
      <c r="O51" s="26">
        <v>-2</v>
      </c>
      <c r="P51" s="8"/>
      <c r="Q51" s="26">
        <v>0.59999999999999998</v>
      </c>
      <c r="R51" s="8"/>
      <c r="S51" s="26">
        <v>0</v>
      </c>
      <c r="T51" s="8"/>
      <c r="U51" s="26">
        <v>-1</v>
      </c>
      <c r="V51" s="8"/>
      <c r="W51" s="26">
        <v>-2.2000000000000002</v>
      </c>
      <c r="X51" s="8"/>
      <c r="Y51" s="26">
        <v>1.3</v>
      </c>
      <c r="Z51" s="8"/>
      <c r="AA51" s="26">
        <v>0.69999999999999996</v>
      </c>
      <c r="AB51" s="8"/>
      <c r="AC51" s="8"/>
    </row>
    <row r="52" ht="12" customHeight="1">
      <c r="A52" s="8" t="s">
        <v>165</v>
      </c>
      <c r="B52" s="8" t="s">
        <v>248</v>
      </c>
      <c r="C52" s="26">
        <v>3.5</v>
      </c>
      <c r="D52" s="8"/>
      <c r="E52" s="26">
        <v>1.1000000000000001</v>
      </c>
      <c r="F52" s="8"/>
      <c r="G52" s="26">
        <v>1.2</v>
      </c>
      <c r="H52" s="8"/>
      <c r="I52" s="26">
        <v>1.7</v>
      </c>
      <c r="J52" s="8"/>
      <c r="K52" s="26">
        <v>2.5</v>
      </c>
      <c r="L52" s="8"/>
      <c r="M52" s="26">
        <v>2.7999999999999998</v>
      </c>
      <c r="N52" s="8"/>
      <c r="O52" s="26">
        <v>2</v>
      </c>
      <c r="P52" s="8"/>
      <c r="Q52" s="26">
        <v>-0.20000000000000001</v>
      </c>
      <c r="R52" s="8"/>
      <c r="S52" s="26">
        <v>1.3</v>
      </c>
      <c r="T52" s="8"/>
      <c r="U52" s="26">
        <v>0.59999999999999998</v>
      </c>
      <c r="V52" s="8"/>
      <c r="W52" s="26">
        <v>5.4000000000000004</v>
      </c>
      <c r="X52" s="8"/>
      <c r="Y52" s="26">
        <v>0.5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249</v>
      </c>
      <c r="C53" s="26">
        <v>3.3999999999999999</v>
      </c>
      <c r="D53" s="8"/>
      <c r="E53" s="26">
        <v>-0.69999999999999996</v>
      </c>
      <c r="F53" s="8"/>
      <c r="G53" s="26">
        <v>2.7999999999999998</v>
      </c>
      <c r="H53" s="8"/>
      <c r="I53" s="26">
        <v>1.7</v>
      </c>
      <c r="J53" s="8"/>
      <c r="K53" s="26">
        <v>0.40000000000000002</v>
      </c>
      <c r="L53" s="8"/>
      <c r="M53" s="26">
        <v>0</v>
      </c>
      <c r="N53" s="8"/>
      <c r="O53" s="26">
        <v>0.90000000000000002</v>
      </c>
      <c r="P53" s="8"/>
      <c r="Q53" s="26">
        <v>1.3999999999999999</v>
      </c>
      <c r="R53" s="8"/>
      <c r="S53" s="26">
        <v>1</v>
      </c>
      <c r="T53" s="8"/>
      <c r="U53" s="26">
        <v>-0.40000000000000002</v>
      </c>
      <c r="V53" s="8"/>
      <c r="W53" s="26">
        <v>0.59999999999999998</v>
      </c>
      <c r="X53" s="8"/>
      <c r="Y53" s="26">
        <v>1.6000000000000001</v>
      </c>
      <c r="Z53" s="8"/>
      <c r="AA53" s="26">
        <v>1.3</v>
      </c>
      <c r="AB53" s="8"/>
      <c r="AC53" s="8"/>
    </row>
    <row r="54" ht="12" customHeight="1">
      <c r="A54" s="8" t="s">
        <v>169</v>
      </c>
      <c r="B54" s="8" t="s">
        <v>250</v>
      </c>
      <c r="C54" s="26">
        <v>6.7999999999999998</v>
      </c>
      <c r="D54" s="8"/>
      <c r="E54" s="26">
        <v>4.7000000000000002</v>
      </c>
      <c r="F54" s="8"/>
      <c r="G54" s="26">
        <v>-7.5999999999999996</v>
      </c>
      <c r="H54" s="8"/>
      <c r="I54" s="26">
        <v>3.6000000000000001</v>
      </c>
      <c r="J54" s="8"/>
      <c r="K54" s="26">
        <v>3.2000000000000002</v>
      </c>
      <c r="L54" s="8"/>
      <c r="M54" s="26">
        <v>6.5</v>
      </c>
      <c r="N54" s="8"/>
      <c r="O54" s="26">
        <v>-10.300000000000001</v>
      </c>
      <c r="P54" s="8"/>
      <c r="Q54" s="26">
        <v>0</v>
      </c>
      <c r="R54" s="8"/>
      <c r="S54" s="26">
        <v>6.7999999999999998</v>
      </c>
      <c r="T54" s="8"/>
      <c r="U54" s="26">
        <v>2.1000000000000001</v>
      </c>
      <c r="V54" s="8"/>
      <c r="W54" s="26">
        <v>0.59999999999999998</v>
      </c>
      <c r="X54" s="8"/>
      <c r="Y54" s="26">
        <v>0.40000000000000002</v>
      </c>
      <c r="Z54" s="8"/>
      <c r="AA54" s="26">
        <v>3.6000000000000001</v>
      </c>
      <c r="AB54" s="8"/>
      <c r="AC54" s="8"/>
    </row>
    <row r="55" ht="12" customHeight="1">
      <c r="A55" s="11" t="s">
        <v>171</v>
      </c>
      <c r="B55" s="8" t="s">
        <v>251</v>
      </c>
      <c r="C55" s="26">
        <v>0</v>
      </c>
      <c r="D55" s="8"/>
      <c r="E55" s="26">
        <v>3.3999999999999999</v>
      </c>
      <c r="F55" s="8"/>
      <c r="G55" s="26">
        <v>0</v>
      </c>
      <c r="H55" s="8"/>
      <c r="I55" s="26">
        <v>0.40000000000000002</v>
      </c>
      <c r="J55" s="8"/>
      <c r="K55" s="26">
        <v>0</v>
      </c>
      <c r="L55" s="8"/>
      <c r="M55" s="26">
        <v>4</v>
      </c>
      <c r="N55" s="8"/>
      <c r="O55" s="26">
        <v>0</v>
      </c>
      <c r="P55" s="8"/>
      <c r="Q55" s="26">
        <v>-0.10000000000000001</v>
      </c>
      <c r="R55" s="8"/>
      <c r="S55" s="26">
        <v>0</v>
      </c>
      <c r="T55" s="8"/>
      <c r="U55" s="26">
        <v>12.1</v>
      </c>
      <c r="V55" s="8"/>
      <c r="W55" s="26">
        <v>0</v>
      </c>
      <c r="X55" s="8"/>
      <c r="Y55" s="26">
        <v>0.40000000000000002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252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2.7000000000000002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-0.5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2.5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253</v>
      </c>
      <c r="C57" s="26">
        <v>0</v>
      </c>
      <c r="D57" s="8"/>
      <c r="E57" s="26">
        <v>0.69999999999999996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3.1000000000000001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254</v>
      </c>
      <c r="C58" s="26">
        <v>0</v>
      </c>
      <c r="D58" s="8"/>
      <c r="E58" s="26">
        <v>5.4000000000000004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5.2000000000000002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255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4.7000000000000002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256</v>
      </c>
      <c r="C60" s="26">
        <v>1.6000000000000001</v>
      </c>
      <c r="D60" s="8"/>
      <c r="E60" s="26">
        <v>2</v>
      </c>
      <c r="F60" s="8"/>
      <c r="G60" s="26">
        <v>2.8999999999999999</v>
      </c>
      <c r="H60" s="8"/>
      <c r="I60" s="26">
        <v>2.1000000000000001</v>
      </c>
      <c r="J60" s="8"/>
      <c r="K60" s="26">
        <v>1.8999999999999999</v>
      </c>
      <c r="L60" s="8"/>
      <c r="M60" s="26">
        <v>2.6000000000000001</v>
      </c>
      <c r="N60" s="8"/>
      <c r="O60" s="26">
        <v>2.1000000000000001</v>
      </c>
      <c r="P60" s="8"/>
      <c r="Q60" s="26">
        <v>1.3</v>
      </c>
      <c r="R60" s="8"/>
      <c r="S60" s="26">
        <v>1.3999999999999999</v>
      </c>
      <c r="T60" s="8"/>
      <c r="U60" s="26">
        <v>0.69999999999999996</v>
      </c>
      <c r="V60" s="8"/>
      <c r="W60" s="26">
        <v>0.69999999999999996</v>
      </c>
      <c r="X60" s="8"/>
      <c r="Y60" s="26">
        <v>-0.10000000000000001</v>
      </c>
      <c r="Z60" s="8"/>
      <c r="AA60" s="26">
        <v>-0.10000000000000001</v>
      </c>
      <c r="AB60" s="8"/>
      <c r="AC60" s="8"/>
    </row>
    <row r="61" ht="12" customHeight="1">
      <c r="A61" s="8" t="s">
        <v>183</v>
      </c>
      <c r="B61" s="8" t="s">
        <v>257</v>
      </c>
      <c r="C61" s="26">
        <v>2.5</v>
      </c>
      <c r="D61" s="8"/>
      <c r="E61" s="26">
        <v>2.2000000000000002</v>
      </c>
      <c r="F61" s="8"/>
      <c r="G61" s="26">
        <v>2.6000000000000001</v>
      </c>
      <c r="H61" s="8"/>
      <c r="I61" s="26">
        <v>-0.5</v>
      </c>
      <c r="J61" s="8"/>
      <c r="K61" s="26">
        <v>-1.3999999999999999</v>
      </c>
      <c r="L61" s="8"/>
      <c r="M61" s="26">
        <v>0.29999999999999999</v>
      </c>
      <c r="N61" s="8"/>
      <c r="O61" s="26">
        <v>-0.5</v>
      </c>
      <c r="P61" s="8"/>
      <c r="Q61" s="26">
        <v>-1</v>
      </c>
      <c r="R61" s="8"/>
      <c r="S61" s="26">
        <v>0</v>
      </c>
      <c r="T61" s="8"/>
      <c r="U61" s="26">
        <v>0.40000000000000002</v>
      </c>
      <c r="V61" s="8"/>
      <c r="W61" s="26">
        <v>1</v>
      </c>
      <c r="X61" s="8"/>
      <c r="Y61" s="26">
        <v>0.20000000000000001</v>
      </c>
      <c r="Z61" s="8"/>
      <c r="AA61" s="26">
        <v>0</v>
      </c>
      <c r="AB61" s="8"/>
      <c r="AC61" s="8"/>
    </row>
    <row r="62" ht="12" customHeight="1">
      <c r="A62" s="8" t="s">
        <v>185</v>
      </c>
      <c r="B62" s="8" t="s">
        <v>258</v>
      </c>
      <c r="C62" s="26">
        <v>1.3999999999999999</v>
      </c>
      <c r="D62" s="8"/>
      <c r="E62" s="26">
        <v>-0.10000000000000001</v>
      </c>
      <c r="F62" s="8"/>
      <c r="G62" s="26">
        <v>-1.3</v>
      </c>
      <c r="H62" s="8"/>
      <c r="I62" s="26">
        <v>1.7</v>
      </c>
      <c r="J62" s="8"/>
      <c r="K62" s="26">
        <v>1.8</v>
      </c>
      <c r="L62" s="8"/>
      <c r="M62" s="26">
        <v>0.40000000000000002</v>
      </c>
      <c r="N62" s="8"/>
      <c r="O62" s="26">
        <v>4.7000000000000002</v>
      </c>
      <c r="P62" s="8"/>
      <c r="Q62" s="26">
        <v>3.2000000000000002</v>
      </c>
      <c r="R62" s="8"/>
      <c r="S62" s="26">
        <v>5.2999999999999998</v>
      </c>
      <c r="T62" s="8"/>
      <c r="U62" s="26">
        <v>-0.20000000000000001</v>
      </c>
      <c r="V62" s="8"/>
      <c r="W62" s="26">
        <v>2.3999999999999999</v>
      </c>
      <c r="X62" s="8"/>
      <c r="Y62" s="26">
        <v>1.2</v>
      </c>
      <c r="Z62" s="8"/>
      <c r="AA62" s="26">
        <v>2.7000000000000002</v>
      </c>
      <c r="AB62" s="8"/>
      <c r="AC62" s="8"/>
    </row>
    <row r="63" ht="12" customHeight="1">
      <c r="A63" s="8" t="s">
        <v>187</v>
      </c>
      <c r="B63" s="8" t="s">
        <v>259</v>
      </c>
      <c r="C63" s="26">
        <v>1.8</v>
      </c>
      <c r="D63" s="8"/>
      <c r="E63" s="26">
        <v>2.5</v>
      </c>
      <c r="F63" s="8"/>
      <c r="G63" s="26">
        <v>4.2999999999999998</v>
      </c>
      <c r="H63" s="8"/>
      <c r="I63" s="26">
        <v>4.5999999999999996</v>
      </c>
      <c r="J63" s="8"/>
      <c r="K63" s="26">
        <v>4.5</v>
      </c>
      <c r="L63" s="8"/>
      <c r="M63" s="26">
        <v>4.7999999999999998</v>
      </c>
      <c r="N63" s="8"/>
      <c r="O63" s="26">
        <v>4.2000000000000002</v>
      </c>
      <c r="P63" s="8"/>
      <c r="Q63" s="26">
        <v>2.8999999999999999</v>
      </c>
      <c r="R63" s="8"/>
      <c r="S63" s="26">
        <v>2.2999999999999998</v>
      </c>
      <c r="T63" s="8"/>
      <c r="U63" s="26">
        <v>1</v>
      </c>
      <c r="V63" s="8"/>
      <c r="W63" s="26">
        <v>0.5</v>
      </c>
      <c r="X63" s="8"/>
      <c r="Y63" s="26">
        <v>0.10000000000000001</v>
      </c>
      <c r="Z63" s="8"/>
      <c r="AA63" s="26">
        <v>-0.29999999999999999</v>
      </c>
      <c r="AB63" s="8"/>
      <c r="AC63" s="8"/>
    </row>
    <row r="64" ht="12" customHeight="1">
      <c r="A64" s="8" t="s">
        <v>189</v>
      </c>
      <c r="B64" s="8" t="s">
        <v>260</v>
      </c>
      <c r="C64" s="26">
        <v>-0.69999999999999996</v>
      </c>
      <c r="D64" s="8"/>
      <c r="E64" s="26">
        <v>0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-0.80000000000000004</v>
      </c>
      <c r="R64" s="8"/>
      <c r="S64" s="26">
        <v>0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261</v>
      </c>
      <c r="C65" s="26">
        <v>-0.80000000000000004</v>
      </c>
      <c r="D65" s="8"/>
      <c r="E65" s="26">
        <v>0.29999999999999999</v>
      </c>
      <c r="F65" s="8"/>
      <c r="G65" s="26">
        <v>-0.69999999999999996</v>
      </c>
      <c r="H65" s="8"/>
      <c r="I65" s="26">
        <v>1.6000000000000001</v>
      </c>
      <c r="J65" s="8"/>
      <c r="K65" s="26">
        <v>1.2</v>
      </c>
      <c r="L65" s="8"/>
      <c r="M65" s="26">
        <v>1.5</v>
      </c>
      <c r="N65" s="8"/>
      <c r="O65" s="26">
        <v>0.80000000000000004</v>
      </c>
      <c r="P65" s="8"/>
      <c r="Q65" s="26">
        <v>0.10000000000000001</v>
      </c>
      <c r="R65" s="8"/>
      <c r="S65" s="26">
        <v>0</v>
      </c>
      <c r="T65" s="8"/>
      <c r="U65" s="26">
        <v>1.1000000000000001</v>
      </c>
      <c r="V65" s="8"/>
      <c r="W65" s="26">
        <v>0.69999999999999996</v>
      </c>
      <c r="X65" s="8"/>
      <c r="Y65" s="26">
        <v>-2.5</v>
      </c>
      <c r="Z65" s="8"/>
      <c r="AA65" s="26">
        <v>-0.10000000000000001</v>
      </c>
      <c r="AB65" s="8"/>
      <c r="AC65" s="8"/>
    </row>
    <row r="66" ht="12" customHeight="1">
      <c r="A66" s="11" t="s">
        <v>193</v>
      </c>
      <c r="B66" s="8" t="s">
        <v>262</v>
      </c>
      <c r="C66" s="26">
        <v>6.5</v>
      </c>
      <c r="D66" s="8"/>
      <c r="E66" s="26">
        <v>6.5999999999999996</v>
      </c>
      <c r="F66" s="8"/>
      <c r="G66" s="26">
        <v>3.7999999999999998</v>
      </c>
      <c r="H66" s="8"/>
      <c r="I66" s="26">
        <v>7.9000000000000004</v>
      </c>
      <c r="J66" s="8"/>
      <c r="K66" s="26">
        <v>9</v>
      </c>
      <c r="L66" s="8"/>
      <c r="M66" s="26">
        <v>4.2999999999999998</v>
      </c>
      <c r="N66" s="8"/>
      <c r="O66" s="26">
        <v>2.1000000000000001</v>
      </c>
      <c r="P66" s="8"/>
      <c r="Q66" s="26">
        <v>1.1000000000000001</v>
      </c>
      <c r="R66" s="8"/>
      <c r="S66" s="26">
        <v>-0.5</v>
      </c>
      <c r="T66" s="8"/>
      <c r="U66" s="26">
        <v>-1.5</v>
      </c>
      <c r="V66" s="8"/>
      <c r="W66" s="26">
        <v>-4.7000000000000002</v>
      </c>
      <c r="X66" s="8"/>
      <c r="Y66" s="26">
        <v>-4.5999999999999996</v>
      </c>
      <c r="Z66" s="8"/>
      <c r="AA66" s="26">
        <v>-3</v>
      </c>
      <c r="AB66" s="8"/>
      <c r="AC66" s="8"/>
    </row>
    <row r="67" ht="12" customHeight="1">
      <c r="A67" s="8" t="s">
        <v>195</v>
      </c>
      <c r="B67" s="8" t="s">
        <v>263</v>
      </c>
      <c r="C67" s="26">
        <v>6.5</v>
      </c>
      <c r="D67" s="8"/>
      <c r="E67" s="26">
        <v>6.5999999999999996</v>
      </c>
      <c r="F67" s="8"/>
      <c r="G67" s="26">
        <v>3.7999999999999998</v>
      </c>
      <c r="H67" s="8"/>
      <c r="I67" s="26">
        <v>7.9000000000000004</v>
      </c>
      <c r="J67" s="8"/>
      <c r="K67" s="26">
        <v>9</v>
      </c>
      <c r="L67" s="8"/>
      <c r="M67" s="26">
        <v>4.2999999999999998</v>
      </c>
      <c r="N67" s="8"/>
      <c r="O67" s="26">
        <v>2.1000000000000001</v>
      </c>
      <c r="P67" s="8"/>
      <c r="Q67" s="26">
        <v>1.1000000000000001</v>
      </c>
      <c r="R67" s="8"/>
      <c r="S67" s="26">
        <v>-0.5</v>
      </c>
      <c r="T67" s="8"/>
      <c r="U67" s="26">
        <v>-1.5</v>
      </c>
      <c r="V67" s="8"/>
      <c r="W67" s="26">
        <v>-4.7000000000000002</v>
      </c>
      <c r="X67" s="8"/>
      <c r="Y67" s="26">
        <v>-4.5999999999999996</v>
      </c>
      <c r="Z67" s="8"/>
      <c r="AA67" s="26">
        <v>-3</v>
      </c>
      <c r="AB67" s="8"/>
      <c r="AC67" s="8"/>
    </row>
    <row r="68" ht="12" customHeight="1">
      <c r="A68" s="13" t="s">
        <v>69</v>
      </c>
      <c r="B68" s="10" t="s">
        <v>42</v>
      </c>
      <c r="C68" s="27">
        <v>1.5</v>
      </c>
      <c r="D68" s="10"/>
      <c r="E68" s="27">
        <v>2</v>
      </c>
      <c r="F68" s="10"/>
      <c r="G68" s="27">
        <v>1.3</v>
      </c>
      <c r="H68" s="10"/>
      <c r="I68" s="27">
        <v>1.8</v>
      </c>
      <c r="J68" s="10"/>
      <c r="K68" s="27">
        <v>1.1000000000000001</v>
      </c>
      <c r="L68" s="10"/>
      <c r="M68" s="27">
        <v>1.1000000000000001</v>
      </c>
      <c r="N68" s="10"/>
      <c r="O68" s="27">
        <v>0.5</v>
      </c>
      <c r="P68" s="10"/>
      <c r="Q68" s="27">
        <v>1.1000000000000001</v>
      </c>
      <c r="R68" s="10"/>
      <c r="S68" s="27">
        <v>0.59999999999999998</v>
      </c>
      <c r="T68" s="10"/>
      <c r="U68" s="27">
        <v>1.2</v>
      </c>
      <c r="V68" s="10"/>
      <c r="W68" s="27">
        <v>0.59999999999999998</v>
      </c>
      <c r="X68" s="10"/>
      <c r="Y68" s="27">
        <v>0.90000000000000002</v>
      </c>
      <c r="Z68" s="10"/>
      <c r="AA68" s="27">
        <v>0.29999999999999999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265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203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204</v>
      </c>
      <c r="C8" s="22">
        <v>11.4</v>
      </c>
      <c r="D8" s="22"/>
      <c r="E8" s="22">
        <v>12.199999999999999</v>
      </c>
      <c r="F8" s="22"/>
      <c r="G8" s="22">
        <v>13</v>
      </c>
      <c r="H8" s="22"/>
      <c r="I8" s="22">
        <v>9.5999999999999996</v>
      </c>
      <c r="J8" s="22"/>
      <c r="K8" s="22">
        <v>5.5</v>
      </c>
      <c r="L8" s="22"/>
      <c r="M8" s="22">
        <v>1.7</v>
      </c>
      <c r="N8" s="22"/>
      <c r="O8" s="22">
        <v>-0.69999999999999996</v>
      </c>
      <c r="P8" s="22"/>
      <c r="Q8" s="22">
        <v>-0.20000000000000001</v>
      </c>
      <c r="R8" s="22"/>
      <c r="S8" s="22">
        <v>0.69999999999999996</v>
      </c>
      <c r="T8" s="22"/>
      <c r="U8" s="22">
        <v>2.2000000000000002</v>
      </c>
      <c r="V8" s="22"/>
      <c r="W8" s="22">
        <v>4.7000000000000002</v>
      </c>
      <c r="X8" s="22"/>
      <c r="Y8" s="22">
        <v>5.7999999999999998</v>
      </c>
      <c r="Z8" s="22"/>
      <c r="AA8" s="22">
        <v>4.5999999999999996</v>
      </c>
      <c r="AB8" s="22"/>
      <c r="AC8" s="22"/>
    </row>
    <row r="9" ht="12" customHeight="1">
      <c r="A9" s="8" t="s">
        <v>79</v>
      </c>
      <c r="B9" s="8" t="s">
        <v>205</v>
      </c>
      <c r="C9" s="26">
        <v>21.300000000000001</v>
      </c>
      <c r="D9" s="8"/>
      <c r="E9" s="26">
        <v>21.399999999999999</v>
      </c>
      <c r="F9" s="8"/>
      <c r="G9" s="26">
        <v>21.899999999999999</v>
      </c>
      <c r="H9" s="8"/>
      <c r="I9" s="26">
        <v>8</v>
      </c>
      <c r="J9" s="8"/>
      <c r="K9" s="26">
        <v>4.2999999999999998</v>
      </c>
      <c r="L9" s="8"/>
      <c r="M9" s="26">
        <v>-6.4000000000000004</v>
      </c>
      <c r="N9" s="8"/>
      <c r="O9" s="26">
        <v>-13.6</v>
      </c>
      <c r="P9" s="8"/>
      <c r="Q9" s="26">
        <v>-12.4</v>
      </c>
      <c r="R9" s="8"/>
      <c r="S9" s="26">
        <v>-10.199999999999999</v>
      </c>
      <c r="T9" s="8"/>
      <c r="U9" s="26">
        <v>-7.9000000000000004</v>
      </c>
      <c r="V9" s="8"/>
      <c r="W9" s="26">
        <v>5.5999999999999996</v>
      </c>
      <c r="X9" s="8"/>
      <c r="Y9" s="26">
        <v>13.699999999999999</v>
      </c>
      <c r="Z9" s="8"/>
      <c r="AA9" s="26">
        <v>3.6000000000000001</v>
      </c>
      <c r="AB9" s="8"/>
    </row>
    <row r="10" ht="12" customHeight="1">
      <c r="A10" s="8" t="s">
        <v>81</v>
      </c>
      <c r="B10" s="8" t="s">
        <v>206</v>
      </c>
      <c r="C10" s="26">
        <v>10.5</v>
      </c>
      <c r="D10" s="8"/>
      <c r="E10" s="26">
        <v>8.6999999999999993</v>
      </c>
      <c r="F10" s="8"/>
      <c r="G10" s="26">
        <v>10.300000000000001</v>
      </c>
      <c r="H10" s="8"/>
      <c r="I10" s="26">
        <v>8.0999999999999996</v>
      </c>
      <c r="J10" s="8"/>
      <c r="K10" s="26">
        <v>2.6000000000000001</v>
      </c>
      <c r="L10" s="8"/>
      <c r="M10" s="26">
        <v>0.29999999999999999</v>
      </c>
      <c r="N10" s="8"/>
      <c r="O10" s="26">
        <v>-0.80000000000000004</v>
      </c>
      <c r="P10" s="8"/>
      <c r="Q10" s="26">
        <v>0</v>
      </c>
      <c r="R10" s="8"/>
      <c r="S10" s="26">
        <v>1.8999999999999999</v>
      </c>
      <c r="T10" s="8"/>
      <c r="U10" s="26">
        <v>4.0999999999999996</v>
      </c>
      <c r="V10" s="8"/>
      <c r="W10" s="26">
        <v>5</v>
      </c>
      <c r="X10" s="8"/>
      <c r="Y10" s="26">
        <v>7.4000000000000004</v>
      </c>
      <c r="Z10" s="8"/>
      <c r="AA10" s="26">
        <v>7.4000000000000004</v>
      </c>
      <c r="AB10" s="8"/>
    </row>
    <row r="11" ht="12" customHeight="1">
      <c r="A11" s="8" t="s">
        <v>83</v>
      </c>
      <c r="B11" s="8" t="s">
        <v>207</v>
      </c>
      <c r="C11" s="26">
        <v>10.5</v>
      </c>
      <c r="D11" s="8"/>
      <c r="E11" s="26">
        <v>12.1</v>
      </c>
      <c r="F11" s="8"/>
      <c r="G11" s="26">
        <v>13</v>
      </c>
      <c r="H11" s="8"/>
      <c r="I11" s="26">
        <v>11</v>
      </c>
      <c r="J11" s="8"/>
      <c r="K11" s="26">
        <v>6.0999999999999996</v>
      </c>
      <c r="L11" s="8"/>
      <c r="M11" s="26">
        <v>2.8999999999999999</v>
      </c>
      <c r="N11" s="8"/>
      <c r="O11" s="26">
        <v>1</v>
      </c>
      <c r="P11" s="8"/>
      <c r="Q11" s="26">
        <v>1.8</v>
      </c>
      <c r="R11" s="8"/>
      <c r="S11" s="26">
        <v>2.3999999999999999</v>
      </c>
      <c r="T11" s="8"/>
      <c r="U11" s="26">
        <v>4.4000000000000004</v>
      </c>
      <c r="V11" s="8"/>
      <c r="W11" s="26">
        <v>5.0999999999999996</v>
      </c>
      <c r="X11" s="8"/>
      <c r="Y11" s="26">
        <v>4.5999999999999996</v>
      </c>
      <c r="Z11" s="8"/>
      <c r="AA11" s="26">
        <v>4.5999999999999996</v>
      </c>
      <c r="AB11" s="8"/>
    </row>
    <row r="12" ht="12" customHeight="1">
      <c r="A12" s="8" t="s">
        <v>85</v>
      </c>
      <c r="B12" s="8" t="s">
        <v>208</v>
      </c>
      <c r="C12" s="26">
        <v>8.1999999999999993</v>
      </c>
      <c r="D12" s="8"/>
      <c r="E12" s="26">
        <v>8.1999999999999993</v>
      </c>
      <c r="F12" s="8"/>
      <c r="G12" s="26">
        <v>10.300000000000001</v>
      </c>
      <c r="H12" s="8"/>
      <c r="I12" s="26">
        <v>9.3000000000000007</v>
      </c>
      <c r="J12" s="8"/>
      <c r="K12" s="26">
        <v>6.4000000000000004</v>
      </c>
      <c r="L12" s="8"/>
      <c r="M12" s="26">
        <v>5.0999999999999996</v>
      </c>
      <c r="N12" s="8"/>
      <c r="O12" s="26">
        <v>4.4000000000000004</v>
      </c>
      <c r="P12" s="8"/>
      <c r="Q12" s="26">
        <v>4.4000000000000004</v>
      </c>
      <c r="R12" s="8"/>
      <c r="S12" s="26">
        <v>4.2999999999999998</v>
      </c>
      <c r="T12" s="8"/>
      <c r="U12" s="26">
        <v>5.5</v>
      </c>
      <c r="V12" s="8"/>
      <c r="W12" s="26">
        <v>5.7999999999999998</v>
      </c>
      <c r="X12" s="8"/>
      <c r="Y12" s="26">
        <v>4.2000000000000002</v>
      </c>
      <c r="Z12" s="8"/>
      <c r="AA12" s="26">
        <v>4.7000000000000002</v>
      </c>
      <c r="AB12" s="8"/>
    </row>
    <row r="13" ht="12" customHeight="1">
      <c r="A13" s="8" t="s">
        <v>87</v>
      </c>
      <c r="B13" s="8" t="s">
        <v>209</v>
      </c>
      <c r="C13" s="26">
        <v>8.5</v>
      </c>
      <c r="D13" s="8"/>
      <c r="E13" s="26">
        <v>9.3000000000000007</v>
      </c>
      <c r="F13" s="8"/>
      <c r="G13" s="26">
        <v>9.4000000000000004</v>
      </c>
      <c r="H13" s="8"/>
      <c r="I13" s="26">
        <v>9.0999999999999996</v>
      </c>
      <c r="J13" s="8"/>
      <c r="K13" s="26">
        <v>7.4000000000000004</v>
      </c>
      <c r="L13" s="8"/>
      <c r="M13" s="26">
        <v>6.4000000000000004</v>
      </c>
      <c r="N13" s="8"/>
      <c r="O13" s="26">
        <v>5</v>
      </c>
      <c r="P13" s="8"/>
      <c r="Q13" s="26">
        <v>3.7999999999999998</v>
      </c>
      <c r="R13" s="8"/>
      <c r="S13" s="26">
        <v>3.3999999999999999</v>
      </c>
      <c r="T13" s="8"/>
      <c r="U13" s="26">
        <v>2.6000000000000001</v>
      </c>
      <c r="V13" s="8"/>
      <c r="W13" s="26">
        <v>2.1000000000000001</v>
      </c>
      <c r="X13" s="8"/>
      <c r="Y13" s="26">
        <v>2.5</v>
      </c>
      <c r="Z13" s="8"/>
      <c r="AA13" s="26">
        <v>2.5</v>
      </c>
      <c r="AB13" s="8"/>
    </row>
    <row r="14" ht="12" customHeight="1">
      <c r="A14" s="11" t="s">
        <v>89</v>
      </c>
      <c r="B14" s="8" t="s">
        <v>210</v>
      </c>
      <c r="C14" s="26">
        <v>5.4000000000000004</v>
      </c>
      <c r="D14" s="8"/>
      <c r="E14" s="26">
        <v>8.0999999999999996</v>
      </c>
      <c r="F14" s="8"/>
      <c r="G14" s="26">
        <v>8.0999999999999996</v>
      </c>
      <c r="H14" s="8"/>
      <c r="I14" s="26">
        <v>8.3000000000000007</v>
      </c>
      <c r="J14" s="8"/>
      <c r="K14" s="26">
        <v>10.1</v>
      </c>
      <c r="L14" s="8"/>
      <c r="M14" s="26">
        <v>9.0999999999999996</v>
      </c>
      <c r="N14" s="8"/>
      <c r="O14" s="26">
        <v>8.9000000000000004</v>
      </c>
      <c r="P14" s="8"/>
      <c r="Q14" s="26">
        <v>8.5</v>
      </c>
      <c r="R14" s="8"/>
      <c r="S14" s="26">
        <v>6.5999999999999996</v>
      </c>
      <c r="T14" s="8"/>
      <c r="U14" s="26">
        <v>3.6000000000000001</v>
      </c>
      <c r="V14" s="8"/>
      <c r="W14" s="26">
        <v>3.1000000000000001</v>
      </c>
      <c r="X14" s="8"/>
      <c r="Y14" s="26">
        <v>3</v>
      </c>
      <c r="Z14" s="8"/>
      <c r="AA14" s="26">
        <v>2.8999999999999999</v>
      </c>
      <c r="AB14" s="8"/>
    </row>
    <row r="15" ht="12" customHeight="1">
      <c r="A15" s="8" t="s">
        <v>91</v>
      </c>
      <c r="B15" s="8" t="s">
        <v>211</v>
      </c>
      <c r="C15" s="26">
        <v>7</v>
      </c>
      <c r="D15" s="8"/>
      <c r="E15" s="26">
        <v>7.2000000000000002</v>
      </c>
      <c r="F15" s="8"/>
      <c r="G15" s="26">
        <v>7.5</v>
      </c>
      <c r="H15" s="8"/>
      <c r="I15" s="26">
        <v>6.5</v>
      </c>
      <c r="J15" s="8"/>
      <c r="K15" s="26">
        <v>5.5999999999999996</v>
      </c>
      <c r="L15" s="8"/>
      <c r="M15" s="26">
        <v>4.7999999999999998</v>
      </c>
      <c r="N15" s="8"/>
      <c r="O15" s="26">
        <v>4.2000000000000002</v>
      </c>
      <c r="P15" s="8"/>
      <c r="Q15" s="26">
        <v>3.1000000000000001</v>
      </c>
      <c r="R15" s="8"/>
      <c r="S15" s="26">
        <v>2.6000000000000001</v>
      </c>
      <c r="T15" s="8"/>
      <c r="U15" s="26">
        <v>2.5</v>
      </c>
      <c r="V15" s="8"/>
      <c r="W15" s="26">
        <v>0.5</v>
      </c>
      <c r="X15" s="8"/>
      <c r="Y15" s="26">
        <v>0.40000000000000002</v>
      </c>
      <c r="Z15" s="8"/>
      <c r="AA15" s="26">
        <v>-0.10000000000000001</v>
      </c>
      <c r="AB15" s="8"/>
    </row>
    <row r="16" ht="12" customHeight="1">
      <c r="A16" s="8" t="s">
        <v>93</v>
      </c>
      <c r="B16" s="8" t="s">
        <v>212</v>
      </c>
      <c r="C16" s="26">
        <v>5</v>
      </c>
      <c r="D16" s="8"/>
      <c r="E16" s="26">
        <v>8.3000000000000007</v>
      </c>
      <c r="F16" s="8"/>
      <c r="G16" s="26">
        <v>8.3000000000000007</v>
      </c>
      <c r="H16" s="8"/>
      <c r="I16" s="26">
        <v>8.9000000000000004</v>
      </c>
      <c r="J16" s="8"/>
      <c r="K16" s="26">
        <v>11.300000000000001</v>
      </c>
      <c r="L16" s="8"/>
      <c r="M16" s="26">
        <v>10.199999999999999</v>
      </c>
      <c r="N16" s="8"/>
      <c r="O16" s="26">
        <v>10.199999999999999</v>
      </c>
      <c r="P16" s="8"/>
      <c r="Q16" s="26">
        <v>10</v>
      </c>
      <c r="R16" s="8"/>
      <c r="S16" s="26">
        <v>7.7000000000000002</v>
      </c>
      <c r="T16" s="8"/>
      <c r="U16" s="26">
        <v>5</v>
      </c>
      <c r="V16" s="8"/>
      <c r="W16" s="26">
        <v>5.2000000000000002</v>
      </c>
      <c r="X16" s="8"/>
      <c r="Y16" s="26">
        <v>4.7999999999999998</v>
      </c>
      <c r="Z16" s="8"/>
      <c r="AA16" s="26">
        <v>5.7999999999999998</v>
      </c>
      <c r="AB16" s="8"/>
    </row>
    <row r="17" ht="12" customHeight="1">
      <c r="A17" s="11" t="s">
        <v>95</v>
      </c>
      <c r="B17" s="8" t="s">
        <v>213</v>
      </c>
      <c r="C17" s="26">
        <v>3.2000000000000002</v>
      </c>
      <c r="D17" s="8"/>
      <c r="E17" s="26">
        <v>4.0999999999999996</v>
      </c>
      <c r="F17" s="8"/>
      <c r="G17" s="26">
        <v>5.7000000000000002</v>
      </c>
      <c r="H17" s="8"/>
      <c r="I17" s="26">
        <v>3.8999999999999999</v>
      </c>
      <c r="J17" s="8"/>
      <c r="K17" s="26">
        <v>3</v>
      </c>
      <c r="L17" s="8"/>
      <c r="M17" s="26">
        <v>3.2999999999999998</v>
      </c>
      <c r="N17" s="8"/>
      <c r="O17" s="26">
        <v>1.2</v>
      </c>
      <c r="P17" s="8"/>
      <c r="Q17" s="26">
        <v>0.69999999999999996</v>
      </c>
      <c r="R17" s="8"/>
      <c r="S17" s="26">
        <v>-0.29999999999999999</v>
      </c>
      <c r="T17" s="8"/>
      <c r="U17" s="26">
        <v>0.20000000000000001</v>
      </c>
      <c r="V17" s="8"/>
      <c r="W17" s="26">
        <v>-0.5</v>
      </c>
      <c r="X17" s="8"/>
      <c r="Y17" s="26">
        <v>0.20000000000000001</v>
      </c>
      <c r="Z17" s="8"/>
      <c r="AA17" s="26">
        <v>1.6000000000000001</v>
      </c>
      <c r="AB17" s="8"/>
    </row>
    <row r="18" ht="12" customHeight="1">
      <c r="A18" s="8" t="s">
        <v>97</v>
      </c>
      <c r="B18" s="8" t="s">
        <v>214</v>
      </c>
      <c r="C18" s="26">
        <v>2.1000000000000001</v>
      </c>
      <c r="D18" s="8"/>
      <c r="E18" s="26">
        <v>2.7000000000000002</v>
      </c>
      <c r="F18" s="8"/>
      <c r="G18" s="26">
        <v>4.9000000000000004</v>
      </c>
      <c r="H18" s="8"/>
      <c r="I18" s="26">
        <v>4.0999999999999996</v>
      </c>
      <c r="J18" s="8"/>
      <c r="K18" s="26">
        <v>3.7999999999999998</v>
      </c>
      <c r="L18" s="8"/>
      <c r="M18" s="26">
        <v>4.4000000000000004</v>
      </c>
      <c r="N18" s="8"/>
      <c r="O18" s="26">
        <v>1.8999999999999999</v>
      </c>
      <c r="P18" s="8"/>
      <c r="Q18" s="26">
        <v>0.80000000000000004</v>
      </c>
      <c r="R18" s="8"/>
      <c r="S18" s="26">
        <v>-0.59999999999999998</v>
      </c>
      <c r="T18" s="8"/>
      <c r="U18" s="26">
        <v>-1</v>
      </c>
      <c r="V18" s="8"/>
      <c r="W18" s="26">
        <v>-0.80000000000000004</v>
      </c>
      <c r="X18" s="8"/>
      <c r="Y18" s="26">
        <v>-0.5</v>
      </c>
      <c r="Z18" s="8"/>
      <c r="AA18" s="26">
        <v>1.8</v>
      </c>
      <c r="AB18" s="8"/>
    </row>
    <row r="19" ht="12" customHeight="1">
      <c r="A19" s="8" t="s">
        <v>99</v>
      </c>
      <c r="B19" s="8" t="s">
        <v>215</v>
      </c>
      <c r="C19" s="26">
        <v>8</v>
      </c>
      <c r="D19" s="8"/>
      <c r="E19" s="26">
        <v>9.4000000000000004</v>
      </c>
      <c r="F19" s="8"/>
      <c r="G19" s="26">
        <v>8.5</v>
      </c>
      <c r="H19" s="8"/>
      <c r="I19" s="26">
        <v>2.8999999999999999</v>
      </c>
      <c r="J19" s="8"/>
      <c r="K19" s="26">
        <v>-0.5</v>
      </c>
      <c r="L19" s="8"/>
      <c r="M19" s="26">
        <v>-0.90000000000000002</v>
      </c>
      <c r="N19" s="8"/>
      <c r="O19" s="26">
        <v>-1.3</v>
      </c>
      <c r="P19" s="8"/>
      <c r="Q19" s="26">
        <v>0.5</v>
      </c>
      <c r="R19" s="8"/>
      <c r="S19" s="26">
        <v>1.6000000000000001</v>
      </c>
      <c r="T19" s="8"/>
      <c r="U19" s="26">
        <v>3.6000000000000001</v>
      </c>
      <c r="V19" s="8"/>
      <c r="W19" s="26">
        <v>1.3</v>
      </c>
      <c r="X19" s="8"/>
      <c r="Y19" s="26">
        <v>2</v>
      </c>
      <c r="Z19" s="8"/>
      <c r="AA19" s="26">
        <v>1.1000000000000001</v>
      </c>
      <c r="AB19" s="8"/>
    </row>
    <row r="20" ht="12" customHeight="1">
      <c r="A20" s="11" t="s">
        <v>101</v>
      </c>
      <c r="B20" s="8" t="s">
        <v>216</v>
      </c>
      <c r="C20" s="26">
        <v>4.9000000000000004</v>
      </c>
      <c r="D20" s="8"/>
      <c r="E20" s="26">
        <v>5</v>
      </c>
      <c r="F20" s="8"/>
      <c r="G20" s="26">
        <v>5.2000000000000002</v>
      </c>
      <c r="H20" s="8"/>
      <c r="I20" s="26">
        <v>5.4000000000000004</v>
      </c>
      <c r="J20" s="8"/>
      <c r="K20" s="26">
        <v>5.5</v>
      </c>
      <c r="L20" s="8"/>
      <c r="M20" s="26">
        <v>5.2000000000000002</v>
      </c>
      <c r="N20" s="8"/>
      <c r="O20" s="26">
        <v>5.2000000000000002</v>
      </c>
      <c r="P20" s="8"/>
      <c r="Q20" s="26">
        <v>5.5999999999999996</v>
      </c>
      <c r="R20" s="8"/>
      <c r="S20" s="26">
        <v>5.0999999999999996</v>
      </c>
      <c r="T20" s="8"/>
      <c r="U20" s="26">
        <v>5</v>
      </c>
      <c r="V20" s="8"/>
      <c r="W20" s="26">
        <v>4.9000000000000004</v>
      </c>
      <c r="X20" s="8"/>
      <c r="Y20" s="26">
        <v>4.2000000000000002</v>
      </c>
      <c r="Z20" s="8"/>
      <c r="AA20" s="26">
        <v>3.7999999999999998</v>
      </c>
      <c r="AB20" s="8"/>
    </row>
    <row r="21" ht="12" customHeight="1">
      <c r="A21" s="8" t="s">
        <v>103</v>
      </c>
      <c r="B21" s="8" t="s">
        <v>217</v>
      </c>
      <c r="C21" s="26">
        <v>5.0999999999999996</v>
      </c>
      <c r="D21" s="8"/>
      <c r="E21" s="26">
        <v>5.2000000000000002</v>
      </c>
      <c r="F21" s="8"/>
      <c r="G21" s="26">
        <v>5.0999999999999996</v>
      </c>
      <c r="H21" s="8"/>
      <c r="I21" s="26">
        <v>5.2000000000000002</v>
      </c>
      <c r="J21" s="8"/>
      <c r="K21" s="26">
        <v>5.2000000000000002</v>
      </c>
      <c r="L21" s="8"/>
      <c r="M21" s="26">
        <v>5.2000000000000002</v>
      </c>
      <c r="N21" s="8"/>
      <c r="O21" s="26">
        <v>5.0999999999999996</v>
      </c>
      <c r="P21" s="8"/>
      <c r="Q21" s="26">
        <v>4.7999999999999998</v>
      </c>
      <c r="R21" s="8"/>
      <c r="S21" s="26">
        <v>4.5</v>
      </c>
      <c r="T21" s="8"/>
      <c r="U21" s="26">
        <v>3.8999999999999999</v>
      </c>
      <c r="V21" s="8"/>
      <c r="W21" s="26">
        <v>3.3999999999999999</v>
      </c>
      <c r="X21" s="8"/>
      <c r="Y21" s="26">
        <v>2.7000000000000002</v>
      </c>
      <c r="Z21" s="8"/>
      <c r="AA21" s="26">
        <v>1.8999999999999999</v>
      </c>
      <c r="AB21" s="8"/>
    </row>
    <row r="22" ht="12" customHeight="1">
      <c r="A22" s="8" t="s">
        <v>105</v>
      </c>
      <c r="B22" s="8" t="s">
        <v>218</v>
      </c>
      <c r="C22" s="26">
        <v>5.0999999999999996</v>
      </c>
      <c r="D22" s="8"/>
      <c r="E22" s="26">
        <v>5.2000000000000002</v>
      </c>
      <c r="F22" s="8"/>
      <c r="G22" s="26">
        <v>5.0999999999999996</v>
      </c>
      <c r="H22" s="8"/>
      <c r="I22" s="26">
        <v>5.2000000000000002</v>
      </c>
      <c r="J22" s="8"/>
      <c r="K22" s="26">
        <v>5.2000000000000002</v>
      </c>
      <c r="L22" s="8"/>
      <c r="M22" s="26">
        <v>5.2000000000000002</v>
      </c>
      <c r="N22" s="8"/>
      <c r="O22" s="26">
        <v>5.0999999999999996</v>
      </c>
      <c r="P22" s="8"/>
      <c r="Q22" s="26">
        <v>4.7999999999999998</v>
      </c>
      <c r="R22" s="8"/>
      <c r="S22" s="26">
        <v>4.5</v>
      </c>
      <c r="T22" s="8"/>
      <c r="U22" s="26">
        <v>3.8999999999999999</v>
      </c>
      <c r="V22" s="8"/>
      <c r="W22" s="26">
        <v>3.3999999999999999</v>
      </c>
      <c r="X22" s="8"/>
      <c r="Y22" s="26">
        <v>2.7000000000000002</v>
      </c>
      <c r="Z22" s="8"/>
      <c r="AA22" s="26">
        <v>1.8999999999999999</v>
      </c>
      <c r="AB22" s="8"/>
    </row>
    <row r="23" ht="12" customHeight="1">
      <c r="A23" s="8" t="s">
        <v>107</v>
      </c>
      <c r="B23" s="8" t="s">
        <v>219</v>
      </c>
      <c r="C23" s="26">
        <v>7.0999999999999996</v>
      </c>
      <c r="D23" s="8"/>
      <c r="E23" s="26">
        <v>5.7999999999999998</v>
      </c>
      <c r="F23" s="8"/>
      <c r="G23" s="26">
        <v>5.4000000000000004</v>
      </c>
      <c r="H23" s="8"/>
      <c r="I23" s="26">
        <v>4.9000000000000004</v>
      </c>
      <c r="J23" s="8"/>
      <c r="K23" s="26">
        <v>3.7000000000000002</v>
      </c>
      <c r="L23" s="8"/>
      <c r="M23" s="26">
        <v>3.3999999999999999</v>
      </c>
      <c r="N23" s="8"/>
      <c r="O23" s="26">
        <v>3.6000000000000001</v>
      </c>
      <c r="P23" s="8"/>
      <c r="Q23" s="26">
        <v>3.7999999999999998</v>
      </c>
      <c r="R23" s="8"/>
      <c r="S23" s="26">
        <v>2.7999999999999998</v>
      </c>
      <c r="T23" s="8"/>
      <c r="U23" s="26">
        <v>3</v>
      </c>
      <c r="V23" s="8"/>
      <c r="W23" s="26">
        <v>1.8</v>
      </c>
      <c r="X23" s="8"/>
      <c r="Y23" s="26">
        <v>1.3</v>
      </c>
      <c r="Z23" s="8"/>
      <c r="AA23" s="26">
        <v>2</v>
      </c>
      <c r="AB23" s="8"/>
    </row>
    <row r="24" ht="12" customHeight="1">
      <c r="A24" s="8" t="s">
        <v>109</v>
      </c>
      <c r="B24" s="8" t="s">
        <v>220</v>
      </c>
      <c r="C24" s="26">
        <v>7</v>
      </c>
      <c r="D24" s="8"/>
      <c r="E24" s="26">
        <v>7.0999999999999996</v>
      </c>
      <c r="F24" s="8"/>
      <c r="G24" s="26">
        <v>7.2000000000000002</v>
      </c>
      <c r="H24" s="8"/>
      <c r="I24" s="26">
        <v>9.8000000000000007</v>
      </c>
      <c r="J24" s="8"/>
      <c r="K24" s="26">
        <v>9.8000000000000007</v>
      </c>
      <c r="L24" s="8"/>
      <c r="M24" s="26">
        <v>9.6999999999999993</v>
      </c>
      <c r="N24" s="8"/>
      <c r="O24" s="26">
        <v>9.6999999999999993</v>
      </c>
      <c r="P24" s="8"/>
      <c r="Q24" s="26">
        <v>12.1</v>
      </c>
      <c r="R24" s="8"/>
      <c r="S24" s="26">
        <v>12.1</v>
      </c>
      <c r="T24" s="8"/>
      <c r="U24" s="26">
        <v>12.1</v>
      </c>
      <c r="V24" s="8"/>
      <c r="W24" s="26">
        <v>12</v>
      </c>
      <c r="X24" s="8"/>
      <c r="Y24" s="26">
        <v>7.7999999999999998</v>
      </c>
      <c r="Z24" s="8"/>
      <c r="AA24" s="26">
        <v>7.7999999999999998</v>
      </c>
      <c r="AB24" s="8"/>
    </row>
    <row r="25" ht="12" customHeight="1">
      <c r="A25" s="8" t="s">
        <v>111</v>
      </c>
      <c r="B25" s="8" t="s">
        <v>221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9.8000000000000007</v>
      </c>
      <c r="J25" s="8"/>
      <c r="K25" s="26">
        <v>9.8000000000000007</v>
      </c>
      <c r="L25" s="8"/>
      <c r="M25" s="26">
        <v>9.8000000000000007</v>
      </c>
      <c r="N25" s="8"/>
      <c r="O25" s="26">
        <v>9.8000000000000007</v>
      </c>
      <c r="P25" s="8"/>
      <c r="Q25" s="26">
        <v>12.300000000000001</v>
      </c>
      <c r="R25" s="8"/>
      <c r="S25" s="26">
        <v>12.300000000000001</v>
      </c>
      <c r="T25" s="8"/>
      <c r="U25" s="26">
        <v>12.300000000000001</v>
      </c>
      <c r="V25" s="8"/>
      <c r="W25" s="26">
        <v>12.300000000000001</v>
      </c>
      <c r="X25" s="8"/>
      <c r="Y25" s="26">
        <v>8.8000000000000007</v>
      </c>
      <c r="Z25" s="8"/>
      <c r="AA25" s="26">
        <v>8.8000000000000007</v>
      </c>
      <c r="AB25" s="8"/>
    </row>
    <row r="26" ht="12" customHeight="1">
      <c r="A26" s="8" t="s">
        <v>113</v>
      </c>
      <c r="B26" s="8" t="s">
        <v>222</v>
      </c>
      <c r="C26" s="26">
        <v>2.7000000000000002</v>
      </c>
      <c r="D26" s="8"/>
      <c r="E26" s="26">
        <v>3.6000000000000001</v>
      </c>
      <c r="F26" s="8"/>
      <c r="G26" s="26">
        <v>4.5999999999999996</v>
      </c>
      <c r="H26" s="8"/>
      <c r="I26" s="26">
        <v>4.7000000000000002</v>
      </c>
      <c r="J26" s="8"/>
      <c r="K26" s="26">
        <v>5.4000000000000004</v>
      </c>
      <c r="L26" s="8"/>
      <c r="M26" s="26">
        <v>3.5</v>
      </c>
      <c r="N26" s="8"/>
      <c r="O26" s="26">
        <v>3.7000000000000002</v>
      </c>
      <c r="P26" s="8"/>
      <c r="Q26" s="26">
        <v>5.9000000000000004</v>
      </c>
      <c r="R26" s="8"/>
      <c r="S26" s="26">
        <v>4.7000000000000002</v>
      </c>
      <c r="T26" s="8"/>
      <c r="U26" s="26">
        <v>6.7999999999999998</v>
      </c>
      <c r="V26" s="8"/>
      <c r="W26" s="26">
        <v>8.6999999999999993</v>
      </c>
      <c r="X26" s="8"/>
      <c r="Y26" s="26">
        <v>11.199999999999999</v>
      </c>
      <c r="Z26" s="8"/>
      <c r="AA26" s="26">
        <v>12</v>
      </c>
      <c r="AB26" s="8"/>
    </row>
    <row r="27" ht="12" customHeight="1">
      <c r="A27" s="8" t="s">
        <v>115</v>
      </c>
      <c r="B27" s="8" t="s">
        <v>223</v>
      </c>
      <c r="C27" s="26">
        <v>2.2999999999999998</v>
      </c>
      <c r="D27" s="8"/>
      <c r="E27" s="26">
        <v>3.2000000000000002</v>
      </c>
      <c r="F27" s="8"/>
      <c r="G27" s="26">
        <v>4.2000000000000002</v>
      </c>
      <c r="H27" s="8"/>
      <c r="I27" s="26">
        <v>4.0999999999999996</v>
      </c>
      <c r="J27" s="8"/>
      <c r="K27" s="26">
        <v>4.9000000000000004</v>
      </c>
      <c r="L27" s="8"/>
      <c r="M27" s="26">
        <v>3.1000000000000001</v>
      </c>
      <c r="N27" s="8"/>
      <c r="O27" s="26">
        <v>3.5</v>
      </c>
      <c r="P27" s="8"/>
      <c r="Q27" s="26">
        <v>5.9000000000000004</v>
      </c>
      <c r="R27" s="8"/>
      <c r="S27" s="26">
        <v>4.7000000000000002</v>
      </c>
      <c r="T27" s="8"/>
      <c r="U27" s="26">
        <v>6.5</v>
      </c>
      <c r="V27" s="8"/>
      <c r="W27" s="26">
        <v>8.5</v>
      </c>
      <c r="X27" s="8"/>
      <c r="Y27" s="26">
        <v>11.4</v>
      </c>
      <c r="Z27" s="8"/>
      <c r="AA27" s="26">
        <v>12.1</v>
      </c>
      <c r="AB27" s="8"/>
    </row>
    <row r="28" ht="12" customHeight="1">
      <c r="A28" s="11" t="s">
        <v>117</v>
      </c>
      <c r="B28" s="8" t="s">
        <v>224</v>
      </c>
      <c r="C28" s="26">
        <v>9.8000000000000007</v>
      </c>
      <c r="D28" s="8"/>
      <c r="E28" s="26">
        <v>8.3000000000000007</v>
      </c>
      <c r="F28" s="8"/>
      <c r="G28" s="26">
        <v>10.1</v>
      </c>
      <c r="H28" s="8"/>
      <c r="I28" s="26">
        <v>5</v>
      </c>
      <c r="J28" s="8"/>
      <c r="K28" s="26">
        <v>0.29999999999999999</v>
      </c>
      <c r="L28" s="8"/>
      <c r="M28" s="26">
        <v>-1.6000000000000001</v>
      </c>
      <c r="N28" s="8"/>
      <c r="O28" s="26">
        <v>-4.0999999999999996</v>
      </c>
      <c r="P28" s="8"/>
      <c r="Q28" s="26">
        <v>-1.8999999999999999</v>
      </c>
      <c r="R28" s="8"/>
      <c r="S28" s="26">
        <v>-2.2000000000000002</v>
      </c>
      <c r="T28" s="8"/>
      <c r="U28" s="26">
        <v>0.59999999999999998</v>
      </c>
      <c r="V28" s="8"/>
      <c r="W28" s="26">
        <v>0.10000000000000001</v>
      </c>
      <c r="X28" s="8"/>
      <c r="Y28" s="26">
        <v>-0.69999999999999996</v>
      </c>
      <c r="Z28" s="8"/>
      <c r="AA28" s="26">
        <v>-0.40000000000000002</v>
      </c>
      <c r="AB28" s="8"/>
    </row>
    <row r="29" ht="12" customHeight="1">
      <c r="A29" s="8" t="s">
        <v>119</v>
      </c>
      <c r="B29" s="8" t="s">
        <v>225</v>
      </c>
      <c r="C29" s="26">
        <v>7.5</v>
      </c>
      <c r="D29" s="8"/>
      <c r="E29" s="26">
        <v>7.2999999999999998</v>
      </c>
      <c r="F29" s="8"/>
      <c r="G29" s="26">
        <v>11</v>
      </c>
      <c r="H29" s="8"/>
      <c r="I29" s="26">
        <v>2.8999999999999999</v>
      </c>
      <c r="J29" s="8"/>
      <c r="K29" s="26">
        <v>-5.7999999999999998</v>
      </c>
      <c r="L29" s="8"/>
      <c r="M29" s="26">
        <v>-10</v>
      </c>
      <c r="N29" s="8"/>
      <c r="O29" s="26">
        <v>-10.1</v>
      </c>
      <c r="P29" s="8"/>
      <c r="Q29" s="26">
        <v>-3.7000000000000002</v>
      </c>
      <c r="R29" s="8"/>
      <c r="S29" s="26">
        <v>-3.5</v>
      </c>
      <c r="T29" s="8"/>
      <c r="U29" s="26">
        <v>5.7999999999999998</v>
      </c>
      <c r="V29" s="8"/>
      <c r="W29" s="26">
        <v>0.20000000000000001</v>
      </c>
      <c r="X29" s="8"/>
      <c r="Y29" s="26">
        <v>-3.8999999999999999</v>
      </c>
      <c r="Z29" s="8"/>
      <c r="AA29" s="26">
        <v>-1</v>
      </c>
      <c r="AB29" s="8"/>
    </row>
    <row r="30" ht="12" customHeight="1">
      <c r="A30" s="8" t="s">
        <v>121</v>
      </c>
      <c r="B30" s="8" t="s">
        <v>226</v>
      </c>
      <c r="C30" s="26">
        <v>4.7000000000000002</v>
      </c>
      <c r="D30" s="8"/>
      <c r="E30" s="26">
        <v>7.7000000000000002</v>
      </c>
      <c r="F30" s="8"/>
      <c r="G30" s="26">
        <v>1.2</v>
      </c>
      <c r="H30" s="8"/>
      <c r="I30" s="26">
        <v>-0.10000000000000001</v>
      </c>
      <c r="J30" s="8"/>
      <c r="K30" s="26">
        <v>6</v>
      </c>
      <c r="L30" s="8"/>
      <c r="M30" s="26">
        <v>0.20000000000000001</v>
      </c>
      <c r="N30" s="8"/>
      <c r="O30" s="26">
        <v>11.5</v>
      </c>
      <c r="P30" s="8"/>
      <c r="Q30" s="26">
        <v>9</v>
      </c>
      <c r="R30" s="8"/>
      <c r="S30" s="26">
        <v>-7.5</v>
      </c>
      <c r="T30" s="8"/>
      <c r="U30" s="26">
        <v>0.80000000000000004</v>
      </c>
      <c r="V30" s="8"/>
      <c r="W30" s="26">
        <v>-5.5999999999999996</v>
      </c>
      <c r="X30" s="8"/>
      <c r="Y30" s="26">
        <v>-1.5</v>
      </c>
      <c r="Z30" s="8"/>
      <c r="AA30" s="26">
        <v>4.9000000000000004</v>
      </c>
      <c r="AB30" s="8"/>
    </row>
    <row r="31" ht="12" customHeight="1">
      <c r="A31" s="8" t="s">
        <v>123</v>
      </c>
      <c r="B31" s="8" t="s">
        <v>227</v>
      </c>
      <c r="C31" s="26">
        <v>7.5999999999999996</v>
      </c>
      <c r="D31" s="8"/>
      <c r="E31" s="26">
        <v>2.3999999999999999</v>
      </c>
      <c r="F31" s="8"/>
      <c r="G31" s="26">
        <v>6.7999999999999998</v>
      </c>
      <c r="H31" s="8"/>
      <c r="I31" s="26">
        <v>4.7999999999999998</v>
      </c>
      <c r="J31" s="8"/>
      <c r="K31" s="26">
        <v>1.3999999999999999</v>
      </c>
      <c r="L31" s="8"/>
      <c r="M31" s="26">
        <v>1</v>
      </c>
      <c r="N31" s="8"/>
      <c r="O31" s="26">
        <v>-5.7999999999999998</v>
      </c>
      <c r="P31" s="8"/>
      <c r="Q31" s="26">
        <v>-6.7999999999999998</v>
      </c>
      <c r="R31" s="8"/>
      <c r="S31" s="26">
        <v>-3.6000000000000001</v>
      </c>
      <c r="T31" s="8"/>
      <c r="U31" s="26">
        <v>-2.7000000000000002</v>
      </c>
      <c r="V31" s="8"/>
      <c r="W31" s="26">
        <v>-0.29999999999999999</v>
      </c>
      <c r="X31" s="8"/>
      <c r="Y31" s="26">
        <v>2.2999999999999998</v>
      </c>
      <c r="Z31" s="8"/>
      <c r="AA31" s="26">
        <v>0.59999999999999998</v>
      </c>
      <c r="AB31" s="8"/>
    </row>
    <row r="32" ht="12" customHeight="1">
      <c r="A32" s="8" t="s">
        <v>125</v>
      </c>
      <c r="B32" s="8" t="s">
        <v>228</v>
      </c>
      <c r="C32" s="26">
        <v>17.899999999999999</v>
      </c>
      <c r="D32" s="8"/>
      <c r="E32" s="26">
        <v>13.1</v>
      </c>
      <c r="F32" s="8"/>
      <c r="G32" s="26">
        <v>6.7999999999999998</v>
      </c>
      <c r="H32" s="8"/>
      <c r="I32" s="26">
        <v>0.29999999999999999</v>
      </c>
      <c r="J32" s="8"/>
      <c r="K32" s="26">
        <v>1.2</v>
      </c>
      <c r="L32" s="8"/>
      <c r="M32" s="26">
        <v>10.9</v>
      </c>
      <c r="N32" s="8"/>
      <c r="O32" s="26">
        <v>6.2000000000000002</v>
      </c>
      <c r="P32" s="8"/>
      <c r="Q32" s="26">
        <v>5</v>
      </c>
      <c r="R32" s="8"/>
      <c r="S32" s="26">
        <v>4.9000000000000004</v>
      </c>
      <c r="T32" s="8"/>
      <c r="U32" s="26">
        <v>1.5</v>
      </c>
      <c r="V32" s="8"/>
      <c r="W32" s="26">
        <v>1.8</v>
      </c>
      <c r="X32" s="8"/>
      <c r="Y32" s="26">
        <v>3.3999999999999999</v>
      </c>
      <c r="Z32" s="8"/>
      <c r="AA32" s="26">
        <v>-2.7999999999999998</v>
      </c>
      <c r="AB32" s="8"/>
    </row>
    <row r="33" ht="12" customHeight="1">
      <c r="A33" s="8" t="s">
        <v>127</v>
      </c>
      <c r="B33" s="8" t="s">
        <v>229</v>
      </c>
      <c r="C33" s="26">
        <v>11.699999999999999</v>
      </c>
      <c r="D33" s="8"/>
      <c r="E33" s="26">
        <v>10.199999999999999</v>
      </c>
      <c r="F33" s="8"/>
      <c r="G33" s="26">
        <v>8.8000000000000007</v>
      </c>
      <c r="H33" s="8"/>
      <c r="I33" s="26">
        <v>7</v>
      </c>
      <c r="J33" s="8"/>
      <c r="K33" s="26">
        <v>4.5999999999999996</v>
      </c>
      <c r="L33" s="8"/>
      <c r="M33" s="26">
        <v>4.9000000000000004</v>
      </c>
      <c r="N33" s="8"/>
      <c r="O33" s="26">
        <v>-4.5999999999999996</v>
      </c>
      <c r="P33" s="8"/>
      <c r="Q33" s="26">
        <v>-5.2999999999999998</v>
      </c>
      <c r="R33" s="8"/>
      <c r="S33" s="26">
        <v>-4.7000000000000002</v>
      </c>
      <c r="T33" s="8"/>
      <c r="U33" s="26">
        <v>-6.7999999999999998</v>
      </c>
      <c r="V33" s="8"/>
      <c r="W33" s="26">
        <v>-0.5</v>
      </c>
      <c r="X33" s="8"/>
      <c r="Y33" s="26">
        <v>0.29999999999999999</v>
      </c>
      <c r="Z33" s="8"/>
      <c r="AA33" s="26">
        <v>-2.5</v>
      </c>
      <c r="AB33" s="8"/>
    </row>
    <row r="34" ht="12" customHeight="1">
      <c r="A34" s="8" t="s">
        <v>129</v>
      </c>
      <c r="B34" s="8" t="s">
        <v>230</v>
      </c>
      <c r="C34" s="26">
        <v>13.699999999999999</v>
      </c>
      <c r="D34" s="8"/>
      <c r="E34" s="26">
        <v>13.5</v>
      </c>
      <c r="F34" s="8"/>
      <c r="G34" s="26">
        <v>14.699999999999999</v>
      </c>
      <c r="H34" s="8"/>
      <c r="I34" s="26">
        <v>8.3000000000000007</v>
      </c>
      <c r="J34" s="8"/>
      <c r="K34" s="26">
        <v>4.0999999999999996</v>
      </c>
      <c r="L34" s="8"/>
      <c r="M34" s="26">
        <v>1.8</v>
      </c>
      <c r="N34" s="8"/>
      <c r="O34" s="26">
        <v>-0.40000000000000002</v>
      </c>
      <c r="P34" s="8"/>
      <c r="Q34" s="26">
        <v>2.1000000000000001</v>
      </c>
      <c r="R34" s="8"/>
      <c r="S34" s="26">
        <v>1.3</v>
      </c>
      <c r="T34" s="8"/>
      <c r="U34" s="26">
        <v>-0.29999999999999999</v>
      </c>
      <c r="V34" s="8"/>
      <c r="W34" s="26">
        <v>0.80000000000000004</v>
      </c>
      <c r="X34" s="8"/>
      <c r="Y34" s="26">
        <v>-0.69999999999999996</v>
      </c>
      <c r="Z34" s="8"/>
      <c r="AA34" s="26">
        <v>-0.20000000000000001</v>
      </c>
      <c r="AB34" s="8"/>
    </row>
    <row r="35" ht="12" customHeight="1">
      <c r="A35" s="11" t="s">
        <v>131</v>
      </c>
      <c r="B35" s="8" t="s">
        <v>231</v>
      </c>
      <c r="C35" s="26">
        <v>5</v>
      </c>
      <c r="D35" s="8"/>
      <c r="E35" s="26">
        <v>4.7000000000000002</v>
      </c>
      <c r="F35" s="8"/>
      <c r="G35" s="26">
        <v>4.5</v>
      </c>
      <c r="H35" s="8"/>
      <c r="I35" s="26">
        <v>-5.7000000000000002</v>
      </c>
      <c r="J35" s="8"/>
      <c r="K35" s="26">
        <v>-5.4000000000000004</v>
      </c>
      <c r="L35" s="8"/>
      <c r="M35" s="26">
        <v>-4</v>
      </c>
      <c r="N35" s="8"/>
      <c r="O35" s="26">
        <v>-5.0999999999999996</v>
      </c>
      <c r="P35" s="8"/>
      <c r="Q35" s="26">
        <v>15.6</v>
      </c>
      <c r="R35" s="8"/>
      <c r="S35" s="26">
        <v>11.1</v>
      </c>
      <c r="T35" s="8"/>
      <c r="U35" s="26">
        <v>9.4000000000000004</v>
      </c>
      <c r="V35" s="8"/>
      <c r="W35" s="26">
        <v>9.1999999999999993</v>
      </c>
      <c r="X35" s="8"/>
      <c r="Y35" s="26">
        <v>-2.2000000000000002</v>
      </c>
      <c r="Z35" s="8"/>
      <c r="AA35" s="26">
        <v>-0.69999999999999996</v>
      </c>
      <c r="AB35" s="8"/>
    </row>
    <row r="36" ht="12" customHeight="1">
      <c r="A36" s="8" t="s">
        <v>133</v>
      </c>
      <c r="B36" s="8" t="s">
        <v>232</v>
      </c>
      <c r="C36" s="26">
        <v>3.6000000000000001</v>
      </c>
      <c r="D36" s="8"/>
      <c r="E36" s="26">
        <v>3</v>
      </c>
      <c r="F36" s="8"/>
      <c r="G36" s="26">
        <v>3.6000000000000001</v>
      </c>
      <c r="H36" s="8"/>
      <c r="I36" s="26">
        <v>-27.699999999999999</v>
      </c>
      <c r="J36" s="8"/>
      <c r="K36" s="26">
        <v>-28.199999999999999</v>
      </c>
      <c r="L36" s="8"/>
      <c r="M36" s="26">
        <v>-28.600000000000001</v>
      </c>
      <c r="N36" s="8"/>
      <c r="O36" s="26">
        <v>-29.100000000000001</v>
      </c>
      <c r="P36" s="8"/>
      <c r="Q36" s="26">
        <v>44</v>
      </c>
      <c r="R36" s="8"/>
      <c r="S36" s="26">
        <v>29.600000000000001</v>
      </c>
      <c r="T36" s="8"/>
      <c r="U36" s="26">
        <v>30</v>
      </c>
      <c r="V36" s="8"/>
      <c r="W36" s="26">
        <v>29.300000000000001</v>
      </c>
      <c r="X36" s="8"/>
      <c r="Y36" s="26">
        <v>-12.6</v>
      </c>
      <c r="Z36" s="8"/>
      <c r="AA36" s="26">
        <v>-6.2999999999999998</v>
      </c>
      <c r="AB36" s="8"/>
    </row>
    <row r="37" ht="12" customHeight="1">
      <c r="A37" s="8" t="s">
        <v>135</v>
      </c>
      <c r="B37" s="8" t="s">
        <v>233</v>
      </c>
      <c r="C37" s="26">
        <v>5.7000000000000002</v>
      </c>
      <c r="D37" s="8"/>
      <c r="E37" s="26">
        <v>5.7000000000000002</v>
      </c>
      <c r="F37" s="8"/>
      <c r="G37" s="26">
        <v>4.9000000000000004</v>
      </c>
      <c r="H37" s="8"/>
      <c r="I37" s="26">
        <v>4.7000000000000002</v>
      </c>
      <c r="J37" s="8"/>
      <c r="K37" s="26">
        <v>5.0999999999999996</v>
      </c>
      <c r="L37" s="8"/>
      <c r="M37" s="26">
        <v>7.4000000000000004</v>
      </c>
      <c r="N37" s="8"/>
      <c r="O37" s="26">
        <v>6</v>
      </c>
      <c r="P37" s="8"/>
      <c r="Q37" s="26">
        <v>6.2999999999999998</v>
      </c>
      <c r="R37" s="8"/>
      <c r="S37" s="26">
        <v>5.2999999999999998</v>
      </c>
      <c r="T37" s="8"/>
      <c r="U37" s="26">
        <v>3</v>
      </c>
      <c r="V37" s="8"/>
      <c r="W37" s="26">
        <v>3.2000000000000002</v>
      </c>
      <c r="X37" s="8"/>
      <c r="Y37" s="26">
        <v>3.2999999999999998</v>
      </c>
      <c r="Z37" s="8"/>
      <c r="AA37" s="26">
        <v>2.7999999999999998</v>
      </c>
      <c r="AB37" s="8"/>
    </row>
    <row r="38" ht="12" customHeight="1">
      <c r="A38" s="8" t="s">
        <v>137</v>
      </c>
      <c r="B38" s="8" t="s">
        <v>234</v>
      </c>
      <c r="C38" s="26">
        <v>9.5</v>
      </c>
      <c r="D38" s="8"/>
      <c r="E38" s="26">
        <v>11.6</v>
      </c>
      <c r="F38" s="8"/>
      <c r="G38" s="26">
        <v>6.5</v>
      </c>
      <c r="H38" s="8"/>
      <c r="I38" s="26">
        <v>10.800000000000001</v>
      </c>
      <c r="J38" s="8"/>
      <c r="K38" s="26">
        <v>15.800000000000001</v>
      </c>
      <c r="L38" s="8"/>
      <c r="M38" s="26">
        <v>14.4</v>
      </c>
      <c r="N38" s="8"/>
      <c r="O38" s="26">
        <v>13</v>
      </c>
      <c r="P38" s="8"/>
      <c r="Q38" s="26">
        <v>16.300000000000001</v>
      </c>
      <c r="R38" s="8"/>
      <c r="S38" s="26">
        <v>11.1</v>
      </c>
      <c r="T38" s="8"/>
      <c r="U38" s="26">
        <v>10.4</v>
      </c>
      <c r="V38" s="8"/>
      <c r="W38" s="26">
        <v>10.300000000000001</v>
      </c>
      <c r="X38" s="8"/>
      <c r="Y38" s="26">
        <v>4.2999999999999998</v>
      </c>
      <c r="Z38" s="8"/>
      <c r="AA38" s="26">
        <v>3.5</v>
      </c>
      <c r="AB38" s="8"/>
    </row>
    <row r="39" ht="12" customHeight="1">
      <c r="A39" s="11" t="s">
        <v>139</v>
      </c>
      <c r="B39" s="8" t="s">
        <v>235</v>
      </c>
      <c r="C39" s="26">
        <v>5</v>
      </c>
      <c r="D39" s="8"/>
      <c r="E39" s="26">
        <v>-1.3999999999999999</v>
      </c>
      <c r="F39" s="8"/>
      <c r="G39" s="26">
        <v>-5.9000000000000004</v>
      </c>
      <c r="H39" s="8"/>
      <c r="I39" s="26">
        <v>4.7000000000000002</v>
      </c>
      <c r="J39" s="8"/>
      <c r="K39" s="26">
        <v>6.7000000000000002</v>
      </c>
      <c r="L39" s="8"/>
      <c r="M39" s="26">
        <v>5.7999999999999998</v>
      </c>
      <c r="N39" s="8"/>
      <c r="O39" s="26">
        <v>7.0999999999999996</v>
      </c>
      <c r="P39" s="8"/>
      <c r="Q39" s="26">
        <v>-5.2999999999999998</v>
      </c>
      <c r="R39" s="8"/>
      <c r="S39" s="26">
        <v>-4.4000000000000004</v>
      </c>
      <c r="T39" s="8"/>
      <c r="U39" s="26">
        <v>-0.29999999999999999</v>
      </c>
      <c r="V39" s="8"/>
      <c r="W39" s="26">
        <v>-1.3</v>
      </c>
      <c r="X39" s="8"/>
      <c r="Y39" s="26">
        <v>2.2999999999999998</v>
      </c>
      <c r="Z39" s="8"/>
      <c r="AA39" s="26">
        <v>3</v>
      </c>
      <c r="AB39" s="8"/>
    </row>
    <row r="40" ht="12" customHeight="1">
      <c r="A40" s="8" t="s">
        <v>141</v>
      </c>
      <c r="B40" s="8" t="s">
        <v>236</v>
      </c>
      <c r="C40" s="26">
        <v>1</v>
      </c>
      <c r="D40" s="8"/>
      <c r="E40" s="26">
        <v>-1.5</v>
      </c>
      <c r="F40" s="8"/>
      <c r="G40" s="26">
        <v>1</v>
      </c>
      <c r="H40" s="8"/>
      <c r="I40" s="26">
        <v>4</v>
      </c>
      <c r="J40" s="8"/>
      <c r="K40" s="26">
        <v>1.1000000000000001</v>
      </c>
      <c r="L40" s="8"/>
      <c r="M40" s="26">
        <v>0.20000000000000001</v>
      </c>
      <c r="N40" s="8"/>
      <c r="O40" s="26">
        <v>-6.2000000000000002</v>
      </c>
      <c r="P40" s="8"/>
      <c r="Q40" s="26">
        <v>-10.1</v>
      </c>
      <c r="R40" s="8"/>
      <c r="S40" s="26">
        <v>-3.2999999999999998</v>
      </c>
      <c r="T40" s="8"/>
      <c r="U40" s="26">
        <v>-3.2999999999999998</v>
      </c>
      <c r="V40" s="8"/>
      <c r="W40" s="26">
        <v>3.3999999999999999</v>
      </c>
      <c r="X40" s="8"/>
      <c r="Y40" s="26">
        <v>6.0999999999999996</v>
      </c>
      <c r="Z40" s="8"/>
      <c r="AA40" s="26">
        <v>1.5</v>
      </c>
      <c r="AB40" s="8"/>
    </row>
    <row r="41" ht="12" customHeight="1">
      <c r="A41" s="8" t="s">
        <v>143</v>
      </c>
      <c r="B41" s="8" t="s">
        <v>237</v>
      </c>
      <c r="C41" s="26">
        <v>3.8999999999999999</v>
      </c>
      <c r="D41" s="8"/>
      <c r="E41" s="26">
        <v>-4.9000000000000004</v>
      </c>
      <c r="F41" s="8"/>
      <c r="G41" s="26">
        <v>-11.199999999999999</v>
      </c>
      <c r="H41" s="8"/>
      <c r="I41" s="26">
        <v>3.6000000000000001</v>
      </c>
      <c r="J41" s="8"/>
      <c r="K41" s="26">
        <v>9.5999999999999996</v>
      </c>
      <c r="L41" s="8"/>
      <c r="M41" s="26">
        <v>10</v>
      </c>
      <c r="N41" s="8"/>
      <c r="O41" s="26">
        <v>12.800000000000001</v>
      </c>
      <c r="P41" s="8"/>
      <c r="Q41" s="26">
        <v>-4.5</v>
      </c>
      <c r="R41" s="8"/>
      <c r="S41" s="26">
        <v>-6</v>
      </c>
      <c r="T41" s="8"/>
      <c r="U41" s="26">
        <v>-1.3999999999999999</v>
      </c>
      <c r="V41" s="8"/>
      <c r="W41" s="26">
        <v>-4.2000000000000002</v>
      </c>
      <c r="X41" s="8"/>
      <c r="Y41" s="26">
        <v>0.69999999999999996</v>
      </c>
      <c r="Z41" s="8"/>
      <c r="AA41" s="26">
        <v>3.5</v>
      </c>
      <c r="AB41" s="8"/>
    </row>
    <row r="42" ht="12" customHeight="1">
      <c r="A42" s="8" t="s">
        <v>145</v>
      </c>
      <c r="B42" s="8" t="s">
        <v>238</v>
      </c>
      <c r="C42" s="26">
        <v>2.2000000000000002</v>
      </c>
      <c r="D42" s="8"/>
      <c r="E42" s="26">
        <v>-8.4000000000000004</v>
      </c>
      <c r="F42" s="8"/>
      <c r="G42" s="26">
        <v>-15.1</v>
      </c>
      <c r="H42" s="8"/>
      <c r="I42" s="26">
        <v>3.7000000000000002</v>
      </c>
      <c r="J42" s="8"/>
      <c r="K42" s="26">
        <v>11.9</v>
      </c>
      <c r="L42" s="8"/>
      <c r="M42" s="26">
        <v>12.1</v>
      </c>
      <c r="N42" s="8"/>
      <c r="O42" s="26">
        <v>14.6</v>
      </c>
      <c r="P42" s="8"/>
      <c r="Q42" s="26">
        <v>-7.7000000000000002</v>
      </c>
      <c r="R42" s="8"/>
      <c r="S42" s="26">
        <v>-9</v>
      </c>
      <c r="T42" s="8"/>
      <c r="U42" s="26">
        <v>-2.5</v>
      </c>
      <c r="V42" s="8"/>
      <c r="W42" s="26">
        <v>-7.7999999999999998</v>
      </c>
      <c r="X42" s="8"/>
      <c r="Y42" s="26">
        <v>-1.5</v>
      </c>
      <c r="Z42" s="8"/>
      <c r="AA42" s="26">
        <v>2.2000000000000002</v>
      </c>
      <c r="AB42" s="8"/>
    </row>
    <row r="43" ht="12" customHeight="1">
      <c r="A43" s="8" t="s">
        <v>147</v>
      </c>
      <c r="B43" s="8" t="s">
        <v>239</v>
      </c>
      <c r="C43" s="26">
        <v>0.90000000000000002</v>
      </c>
      <c r="D43" s="8"/>
      <c r="E43" s="26">
        <v>9.9000000000000004</v>
      </c>
      <c r="F43" s="8"/>
      <c r="G43" s="26">
        <v>18.699999999999999</v>
      </c>
      <c r="H43" s="8"/>
      <c r="I43" s="26">
        <v>13.9</v>
      </c>
      <c r="J43" s="8"/>
      <c r="K43" s="26">
        <v>0.59999999999999998</v>
      </c>
      <c r="L43" s="8"/>
      <c r="M43" s="26">
        <v>-5.7999999999999998</v>
      </c>
      <c r="N43" s="8"/>
      <c r="O43" s="26">
        <v>-0.59999999999999998</v>
      </c>
      <c r="P43" s="8"/>
      <c r="Q43" s="26">
        <v>-3</v>
      </c>
      <c r="R43" s="8"/>
      <c r="S43" s="26">
        <v>0.59999999999999998</v>
      </c>
      <c r="T43" s="8"/>
      <c r="U43" s="26">
        <v>6.2000000000000002</v>
      </c>
      <c r="V43" s="8"/>
      <c r="W43" s="26">
        <v>2.2999999999999998</v>
      </c>
      <c r="X43" s="8"/>
      <c r="Y43" s="26">
        <v>1.1000000000000001</v>
      </c>
      <c r="Z43" s="8"/>
      <c r="AA43" s="26">
        <v>0.80000000000000004</v>
      </c>
      <c r="AB43" s="8"/>
    </row>
    <row r="44" ht="12" customHeight="1">
      <c r="A44" s="11" t="s">
        <v>149</v>
      </c>
      <c r="B44" s="8" t="s">
        <v>240</v>
      </c>
      <c r="C44" s="26">
        <v>1.6000000000000001</v>
      </c>
      <c r="D44" s="8"/>
      <c r="E44" s="26">
        <v>1.8</v>
      </c>
      <c r="F44" s="8"/>
      <c r="G44" s="26">
        <v>3.6000000000000001</v>
      </c>
      <c r="H44" s="8"/>
      <c r="I44" s="26">
        <v>2.7000000000000002</v>
      </c>
      <c r="J44" s="8"/>
      <c r="K44" s="26">
        <v>4.0999999999999996</v>
      </c>
      <c r="L44" s="8"/>
      <c r="M44" s="26">
        <v>4.4000000000000004</v>
      </c>
      <c r="N44" s="8"/>
      <c r="O44" s="26">
        <v>4.2999999999999998</v>
      </c>
      <c r="P44" s="8"/>
      <c r="Q44" s="26">
        <v>3.3999999999999999</v>
      </c>
      <c r="R44" s="8"/>
      <c r="S44" s="26">
        <v>3.7000000000000002</v>
      </c>
      <c r="T44" s="8"/>
      <c r="U44" s="26">
        <v>3.7000000000000002</v>
      </c>
      <c r="V44" s="8"/>
      <c r="W44" s="26">
        <v>3.2999999999999998</v>
      </c>
      <c r="X44" s="8"/>
      <c r="Y44" s="26">
        <v>3</v>
      </c>
      <c r="Z44" s="8"/>
      <c r="AA44" s="26">
        <v>5.2999999999999998</v>
      </c>
      <c r="AB44" s="8"/>
    </row>
    <row r="45" ht="12" customHeight="1">
      <c r="A45" s="8" t="s">
        <v>151</v>
      </c>
      <c r="B45" s="8" t="s">
        <v>241</v>
      </c>
      <c r="C45" s="26">
        <v>11.4</v>
      </c>
      <c r="D45" s="8"/>
      <c r="E45" s="26">
        <v>11.199999999999999</v>
      </c>
      <c r="F45" s="8"/>
      <c r="G45" s="26">
        <v>7.9000000000000004</v>
      </c>
      <c r="H45" s="8"/>
      <c r="I45" s="26">
        <v>8</v>
      </c>
      <c r="J45" s="8"/>
      <c r="K45" s="26">
        <v>8</v>
      </c>
      <c r="L45" s="8"/>
      <c r="M45" s="26">
        <v>5.5</v>
      </c>
      <c r="N45" s="8"/>
      <c r="O45" s="26">
        <v>5.9000000000000004</v>
      </c>
      <c r="P45" s="8"/>
      <c r="Q45" s="26">
        <v>1.5</v>
      </c>
      <c r="R45" s="8"/>
      <c r="S45" s="26">
        <v>0.29999999999999999</v>
      </c>
      <c r="T45" s="8"/>
      <c r="U45" s="26">
        <v>1.5</v>
      </c>
      <c r="V45" s="8"/>
      <c r="W45" s="26">
        <v>2.7999999999999998</v>
      </c>
      <c r="X45" s="8"/>
      <c r="Y45" s="26">
        <v>8</v>
      </c>
      <c r="Z45" s="8"/>
      <c r="AA45" s="26">
        <v>8.4000000000000004</v>
      </c>
      <c r="AB45" s="8"/>
    </row>
    <row r="46" ht="12" customHeight="1">
      <c r="A46" s="8" t="s">
        <v>153</v>
      </c>
      <c r="B46" s="8" t="s">
        <v>242</v>
      </c>
      <c r="C46" s="26">
        <v>-15.4</v>
      </c>
      <c r="D46" s="8"/>
      <c r="E46" s="26">
        <v>-10.300000000000001</v>
      </c>
      <c r="F46" s="8"/>
      <c r="G46" s="26">
        <v>-24.899999999999999</v>
      </c>
      <c r="H46" s="8"/>
      <c r="I46" s="26">
        <v>-14.5</v>
      </c>
      <c r="J46" s="8"/>
      <c r="K46" s="26">
        <v>-0.69999999999999996</v>
      </c>
      <c r="L46" s="8"/>
      <c r="M46" s="26">
        <v>-5</v>
      </c>
      <c r="N46" s="8"/>
      <c r="O46" s="26">
        <v>14.4</v>
      </c>
      <c r="P46" s="8"/>
      <c r="Q46" s="26">
        <v>3</v>
      </c>
      <c r="R46" s="8"/>
      <c r="S46" s="26">
        <v>-11</v>
      </c>
      <c r="T46" s="8"/>
      <c r="U46" s="26">
        <v>-12.9</v>
      </c>
      <c r="V46" s="8"/>
      <c r="W46" s="26">
        <v>-25.5</v>
      </c>
      <c r="X46" s="8"/>
      <c r="Y46" s="26">
        <v>-14.9</v>
      </c>
      <c r="Z46" s="8"/>
      <c r="AA46" s="26">
        <v>-5.4000000000000004</v>
      </c>
      <c r="AB46" s="8"/>
    </row>
    <row r="47" ht="12" customHeight="1">
      <c r="A47" s="8" t="s">
        <v>155</v>
      </c>
      <c r="B47" s="8" t="s">
        <v>243</v>
      </c>
      <c r="C47" s="26">
        <v>1.8999999999999999</v>
      </c>
      <c r="D47" s="8"/>
      <c r="E47" s="26">
        <v>1.8999999999999999</v>
      </c>
      <c r="F47" s="8"/>
      <c r="G47" s="26">
        <v>4.2000000000000002</v>
      </c>
      <c r="H47" s="8"/>
      <c r="I47" s="26">
        <v>3</v>
      </c>
      <c r="J47" s="8"/>
      <c r="K47" s="26">
        <v>4.0999999999999996</v>
      </c>
      <c r="L47" s="8"/>
      <c r="M47" s="26">
        <v>4.7000000000000002</v>
      </c>
      <c r="N47" s="8"/>
      <c r="O47" s="26">
        <v>4</v>
      </c>
      <c r="P47" s="8"/>
      <c r="Q47" s="26">
        <v>3.5</v>
      </c>
      <c r="R47" s="8"/>
      <c r="S47" s="26">
        <v>4.0999999999999996</v>
      </c>
      <c r="T47" s="8"/>
      <c r="U47" s="26">
        <v>5</v>
      </c>
      <c r="V47" s="8"/>
      <c r="W47" s="26">
        <v>6.0999999999999996</v>
      </c>
      <c r="X47" s="8"/>
      <c r="Y47" s="26">
        <v>6</v>
      </c>
      <c r="Z47" s="8"/>
      <c r="AA47" s="26">
        <v>7.0999999999999996</v>
      </c>
      <c r="AB47" s="8"/>
    </row>
    <row r="48" ht="12" customHeight="1">
      <c r="A48" s="11" t="s">
        <v>157</v>
      </c>
      <c r="B48" s="8" t="s">
        <v>244</v>
      </c>
      <c r="C48" s="26">
        <v>5.5</v>
      </c>
      <c r="D48" s="8"/>
      <c r="E48" s="26">
        <v>7</v>
      </c>
      <c r="F48" s="8"/>
      <c r="G48" s="26">
        <v>6.4000000000000004</v>
      </c>
      <c r="H48" s="8"/>
      <c r="I48" s="26">
        <v>6.2999999999999998</v>
      </c>
      <c r="J48" s="8"/>
      <c r="K48" s="26">
        <v>4.5999999999999996</v>
      </c>
      <c r="L48" s="8"/>
      <c r="M48" s="26">
        <v>5.0999999999999996</v>
      </c>
      <c r="N48" s="8"/>
      <c r="O48" s="26">
        <v>3</v>
      </c>
      <c r="P48" s="8"/>
      <c r="Q48" s="26">
        <v>1.7</v>
      </c>
      <c r="R48" s="8"/>
      <c r="S48" s="26">
        <v>1.6000000000000001</v>
      </c>
      <c r="T48" s="8"/>
      <c r="U48" s="26">
        <v>-0.40000000000000002</v>
      </c>
      <c r="V48" s="8"/>
      <c r="W48" s="26">
        <v>1.3999999999999999</v>
      </c>
      <c r="X48" s="8"/>
      <c r="Y48" s="26">
        <v>1.8999999999999999</v>
      </c>
      <c r="Z48" s="8"/>
      <c r="AA48" s="26">
        <v>1.3999999999999999</v>
      </c>
      <c r="AB48" s="8"/>
    </row>
    <row r="49" ht="12" customHeight="1">
      <c r="A49" s="8" t="s">
        <v>159</v>
      </c>
      <c r="B49" s="8" t="s">
        <v>245</v>
      </c>
      <c r="C49" s="26">
        <v>-8.4000000000000004</v>
      </c>
      <c r="D49" s="8"/>
      <c r="E49" s="26">
        <v>-5.4000000000000004</v>
      </c>
      <c r="F49" s="8"/>
      <c r="G49" s="26">
        <v>-10.4</v>
      </c>
      <c r="H49" s="8"/>
      <c r="I49" s="26">
        <v>-11.4</v>
      </c>
      <c r="J49" s="8"/>
      <c r="K49" s="26">
        <v>-11.199999999999999</v>
      </c>
      <c r="L49" s="8"/>
      <c r="M49" s="26">
        <v>-15.5</v>
      </c>
      <c r="N49" s="8"/>
      <c r="O49" s="26">
        <v>-9.8000000000000007</v>
      </c>
      <c r="P49" s="8"/>
      <c r="Q49" s="26">
        <v>-10</v>
      </c>
      <c r="R49" s="8"/>
      <c r="S49" s="26">
        <v>-9.6999999999999993</v>
      </c>
      <c r="T49" s="8"/>
      <c r="U49" s="26">
        <v>-6</v>
      </c>
      <c r="V49" s="8"/>
      <c r="W49" s="26">
        <v>-6.5999999999999996</v>
      </c>
      <c r="X49" s="8"/>
      <c r="Y49" s="26">
        <v>-9.5</v>
      </c>
      <c r="Z49" s="8"/>
      <c r="AA49" s="26">
        <v>-10</v>
      </c>
      <c r="AB49" s="8"/>
    </row>
    <row r="50" ht="12" customHeight="1">
      <c r="A50" s="8" t="s">
        <v>161</v>
      </c>
      <c r="B50" s="8" t="s">
        <v>246</v>
      </c>
      <c r="C50" s="26">
        <v>13.800000000000001</v>
      </c>
      <c r="D50" s="8"/>
      <c r="E50" s="26">
        <v>13.9</v>
      </c>
      <c r="F50" s="8"/>
      <c r="G50" s="26">
        <v>7.9000000000000004</v>
      </c>
      <c r="H50" s="8"/>
      <c r="I50" s="26">
        <v>5.5</v>
      </c>
      <c r="J50" s="8"/>
      <c r="K50" s="26">
        <v>1.7</v>
      </c>
      <c r="L50" s="8"/>
      <c r="M50" s="26">
        <v>2.1000000000000001</v>
      </c>
      <c r="N50" s="8"/>
      <c r="O50" s="26">
        <v>2.2000000000000002</v>
      </c>
      <c r="P50" s="8"/>
      <c r="Q50" s="26">
        <v>-1.3999999999999999</v>
      </c>
      <c r="R50" s="8"/>
      <c r="S50" s="26">
        <v>0.40000000000000002</v>
      </c>
      <c r="T50" s="8"/>
      <c r="U50" s="26">
        <v>-0.90000000000000002</v>
      </c>
      <c r="V50" s="8"/>
      <c r="W50" s="26">
        <v>0.90000000000000002</v>
      </c>
      <c r="X50" s="8"/>
      <c r="Y50" s="26">
        <v>3.2000000000000002</v>
      </c>
      <c r="Z50" s="8"/>
      <c r="AA50" s="26">
        <v>3</v>
      </c>
      <c r="AB50" s="8"/>
    </row>
    <row r="51" ht="12" customHeight="1">
      <c r="A51" s="8" t="s">
        <v>163</v>
      </c>
      <c r="B51" s="8" t="s">
        <v>247</v>
      </c>
      <c r="C51" s="26">
        <v>8.0999999999999996</v>
      </c>
      <c r="D51" s="8"/>
      <c r="E51" s="26">
        <v>8.5</v>
      </c>
      <c r="F51" s="8"/>
      <c r="G51" s="26">
        <v>12.1</v>
      </c>
      <c r="H51" s="8"/>
      <c r="I51" s="26">
        <v>9</v>
      </c>
      <c r="J51" s="8"/>
      <c r="K51" s="26">
        <v>7.7999999999999998</v>
      </c>
      <c r="L51" s="8"/>
      <c r="M51" s="26">
        <v>6.7999999999999998</v>
      </c>
      <c r="N51" s="8"/>
      <c r="O51" s="26">
        <v>-0.5</v>
      </c>
      <c r="P51" s="8"/>
      <c r="Q51" s="26">
        <v>0</v>
      </c>
      <c r="R51" s="8"/>
      <c r="S51" s="26">
        <v>-1.1000000000000001</v>
      </c>
      <c r="T51" s="8"/>
      <c r="U51" s="26">
        <v>-2.2999999999999998</v>
      </c>
      <c r="V51" s="8"/>
      <c r="W51" s="26">
        <v>-2.5</v>
      </c>
      <c r="X51" s="8"/>
      <c r="Y51" s="26">
        <v>-1.8</v>
      </c>
      <c r="Z51" s="8"/>
      <c r="AA51" s="26">
        <v>-1.1000000000000001</v>
      </c>
      <c r="AB51" s="8"/>
    </row>
    <row r="52" ht="12" customHeight="1">
      <c r="A52" s="8" t="s">
        <v>165</v>
      </c>
      <c r="B52" s="8" t="s">
        <v>248</v>
      </c>
      <c r="C52" s="26">
        <v>2.1000000000000001</v>
      </c>
      <c r="D52" s="8"/>
      <c r="E52" s="26">
        <v>3.2000000000000002</v>
      </c>
      <c r="F52" s="8"/>
      <c r="G52" s="26">
        <v>3</v>
      </c>
      <c r="H52" s="8"/>
      <c r="I52" s="26">
        <v>7.7000000000000002</v>
      </c>
      <c r="J52" s="8"/>
      <c r="K52" s="26">
        <v>6.5999999999999996</v>
      </c>
      <c r="L52" s="8"/>
      <c r="M52" s="26">
        <v>8.4000000000000004</v>
      </c>
      <c r="N52" s="8"/>
      <c r="O52" s="26">
        <v>9.3000000000000007</v>
      </c>
      <c r="P52" s="8"/>
      <c r="Q52" s="26">
        <v>7.2000000000000002</v>
      </c>
      <c r="R52" s="8"/>
      <c r="S52" s="26">
        <v>6</v>
      </c>
      <c r="T52" s="8"/>
      <c r="U52" s="26">
        <v>3.7000000000000002</v>
      </c>
      <c r="V52" s="8"/>
      <c r="W52" s="26">
        <v>7.2000000000000002</v>
      </c>
      <c r="X52" s="8"/>
      <c r="Y52" s="26">
        <v>8</v>
      </c>
      <c r="Z52" s="8"/>
      <c r="AA52" s="26">
        <v>6.7000000000000002</v>
      </c>
      <c r="AB52" s="8"/>
    </row>
    <row r="53" ht="12" customHeight="1">
      <c r="A53" s="8" t="s">
        <v>167</v>
      </c>
      <c r="B53" s="8" t="s">
        <v>249</v>
      </c>
      <c r="C53" s="26">
        <v>4</v>
      </c>
      <c r="D53" s="8"/>
      <c r="E53" s="26">
        <v>4.7999999999999998</v>
      </c>
      <c r="F53" s="8"/>
      <c r="G53" s="26">
        <v>5.4000000000000004</v>
      </c>
      <c r="H53" s="8"/>
      <c r="I53" s="26">
        <v>7.2999999999999998</v>
      </c>
      <c r="J53" s="8"/>
      <c r="K53" s="26">
        <v>4.2000000000000002</v>
      </c>
      <c r="L53" s="8"/>
      <c r="M53" s="26">
        <v>4.9000000000000004</v>
      </c>
      <c r="N53" s="8"/>
      <c r="O53" s="26">
        <v>3</v>
      </c>
      <c r="P53" s="8"/>
      <c r="Q53" s="26">
        <v>2.7000000000000002</v>
      </c>
      <c r="R53" s="8"/>
      <c r="S53" s="26">
        <v>3.2999999999999998</v>
      </c>
      <c r="T53" s="8"/>
      <c r="U53" s="26">
        <v>2.8999999999999999</v>
      </c>
      <c r="V53" s="8"/>
      <c r="W53" s="26">
        <v>2.6000000000000001</v>
      </c>
      <c r="X53" s="8"/>
      <c r="Y53" s="26">
        <v>2.8999999999999999</v>
      </c>
      <c r="Z53" s="8"/>
      <c r="AA53" s="26">
        <v>3.2000000000000002</v>
      </c>
      <c r="AB53" s="8"/>
    </row>
    <row r="54" ht="12" customHeight="1">
      <c r="A54" s="8" t="s">
        <v>169</v>
      </c>
      <c r="B54" s="8" t="s">
        <v>250</v>
      </c>
      <c r="C54" s="26">
        <v>22.600000000000001</v>
      </c>
      <c r="D54" s="8"/>
      <c r="E54" s="26">
        <v>25.800000000000001</v>
      </c>
      <c r="F54" s="8"/>
      <c r="G54" s="26">
        <v>14.9</v>
      </c>
      <c r="H54" s="8"/>
      <c r="I54" s="26">
        <v>7.0999999999999996</v>
      </c>
      <c r="J54" s="8"/>
      <c r="K54" s="26">
        <v>3.3999999999999999</v>
      </c>
      <c r="L54" s="8"/>
      <c r="M54" s="26">
        <v>5.2000000000000002</v>
      </c>
      <c r="N54" s="8"/>
      <c r="O54" s="26">
        <v>2.2000000000000002</v>
      </c>
      <c r="P54" s="8"/>
      <c r="Q54" s="26">
        <v>-1.3</v>
      </c>
      <c r="R54" s="8"/>
      <c r="S54" s="26">
        <v>2.2000000000000002</v>
      </c>
      <c r="T54" s="8"/>
      <c r="U54" s="26">
        <v>-2.1000000000000001</v>
      </c>
      <c r="V54" s="8"/>
      <c r="W54" s="26">
        <v>9.8000000000000007</v>
      </c>
      <c r="X54" s="8"/>
      <c r="Y54" s="26">
        <v>10.199999999999999</v>
      </c>
      <c r="Z54" s="8"/>
      <c r="AA54" s="26">
        <v>6.7999999999999998</v>
      </c>
      <c r="AB54" s="8"/>
    </row>
    <row r="55" ht="12" customHeight="1">
      <c r="A55" s="11" t="s">
        <v>171</v>
      </c>
      <c r="B55" s="8" t="s">
        <v>251</v>
      </c>
      <c r="C55" s="26">
        <v>2.1000000000000001</v>
      </c>
      <c r="D55" s="8"/>
      <c r="E55" s="26">
        <v>3.7999999999999998</v>
      </c>
      <c r="F55" s="8"/>
      <c r="G55" s="26">
        <v>3.7999999999999998</v>
      </c>
      <c r="H55" s="8"/>
      <c r="I55" s="26">
        <v>3.7999999999999998</v>
      </c>
      <c r="J55" s="8"/>
      <c r="K55" s="26">
        <v>3.7999999999999998</v>
      </c>
      <c r="L55" s="8"/>
      <c r="M55" s="26">
        <v>4.2999999999999998</v>
      </c>
      <c r="N55" s="8"/>
      <c r="O55" s="26">
        <v>4.2999999999999998</v>
      </c>
      <c r="P55" s="8"/>
      <c r="Q55" s="26">
        <v>3.8999999999999999</v>
      </c>
      <c r="R55" s="8"/>
      <c r="S55" s="26">
        <v>3.8999999999999999</v>
      </c>
      <c r="T55" s="8"/>
      <c r="U55" s="26">
        <v>12</v>
      </c>
      <c r="V55" s="8"/>
      <c r="W55" s="26">
        <v>12</v>
      </c>
      <c r="X55" s="8"/>
      <c r="Y55" s="26">
        <v>12.6</v>
      </c>
      <c r="Z55" s="8"/>
      <c r="AA55" s="26">
        <v>12.6</v>
      </c>
      <c r="AB55" s="8"/>
    </row>
    <row r="56" ht="12" customHeight="1">
      <c r="A56" s="8" t="s">
        <v>173</v>
      </c>
      <c r="B56" s="8" t="s">
        <v>252</v>
      </c>
      <c r="C56" s="26">
        <v>3.2999999999999998</v>
      </c>
      <c r="D56" s="8"/>
      <c r="E56" s="26">
        <v>3.2999999999999998</v>
      </c>
      <c r="F56" s="8"/>
      <c r="G56" s="26">
        <v>3.2999999999999998</v>
      </c>
      <c r="H56" s="8"/>
      <c r="I56" s="26">
        <v>2.7000000000000002</v>
      </c>
      <c r="J56" s="8"/>
      <c r="K56" s="26">
        <v>2.7000000000000002</v>
      </c>
      <c r="L56" s="8"/>
      <c r="M56" s="26">
        <v>2.7000000000000002</v>
      </c>
      <c r="N56" s="8"/>
      <c r="O56" s="26">
        <v>2.7000000000000002</v>
      </c>
      <c r="P56" s="8"/>
      <c r="Q56" s="26">
        <v>-0.5</v>
      </c>
      <c r="R56" s="8"/>
      <c r="S56" s="26">
        <v>-0.5</v>
      </c>
      <c r="T56" s="8"/>
      <c r="U56" s="26">
        <v>-0.5</v>
      </c>
      <c r="V56" s="8"/>
      <c r="W56" s="26">
        <v>-0.5</v>
      </c>
      <c r="X56" s="8"/>
      <c r="Y56" s="26">
        <v>2.5</v>
      </c>
      <c r="Z56" s="8"/>
      <c r="AA56" s="26">
        <v>2.5</v>
      </c>
      <c r="AB56" s="8"/>
    </row>
    <row r="57" ht="12" customHeight="1">
      <c r="A57" s="8" t="s">
        <v>175</v>
      </c>
      <c r="B57" s="8" t="s">
        <v>253</v>
      </c>
      <c r="C57" s="26">
        <v>2.7000000000000002</v>
      </c>
      <c r="D57" s="8"/>
      <c r="E57" s="26">
        <v>0.69999999999999996</v>
      </c>
      <c r="F57" s="8"/>
      <c r="G57" s="26">
        <v>0.69999999999999996</v>
      </c>
      <c r="H57" s="8"/>
      <c r="I57" s="26">
        <v>0.69999999999999996</v>
      </c>
      <c r="J57" s="8"/>
      <c r="K57" s="26">
        <v>0.69999999999999996</v>
      </c>
      <c r="L57" s="8"/>
      <c r="M57" s="26">
        <v>3.1000000000000001</v>
      </c>
      <c r="N57" s="8"/>
      <c r="O57" s="26">
        <v>3.1000000000000001</v>
      </c>
      <c r="P57" s="8"/>
      <c r="Q57" s="26">
        <v>3.1000000000000001</v>
      </c>
      <c r="R57" s="8"/>
      <c r="S57" s="26">
        <v>3.1000000000000001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</row>
    <row r="58" ht="12" customHeight="1">
      <c r="A58" s="8" t="s">
        <v>177</v>
      </c>
      <c r="B58" s="8" t="s">
        <v>254</v>
      </c>
      <c r="C58" s="26">
        <v>1.6000000000000001</v>
      </c>
      <c r="D58" s="8"/>
      <c r="E58" s="26">
        <v>5.4000000000000004</v>
      </c>
      <c r="F58" s="8"/>
      <c r="G58" s="26">
        <v>5.4000000000000004</v>
      </c>
      <c r="H58" s="8"/>
      <c r="I58" s="26">
        <v>5.4000000000000004</v>
      </c>
      <c r="J58" s="8"/>
      <c r="K58" s="26">
        <v>5.4000000000000004</v>
      </c>
      <c r="L58" s="8"/>
      <c r="M58" s="26">
        <v>5.2000000000000002</v>
      </c>
      <c r="N58" s="8"/>
      <c r="O58" s="26">
        <v>5.2000000000000002</v>
      </c>
      <c r="P58" s="8"/>
      <c r="Q58" s="26">
        <v>5.2000000000000002</v>
      </c>
      <c r="R58" s="8"/>
      <c r="S58" s="26">
        <v>5.2000000000000002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</row>
    <row r="59" ht="12" customHeight="1">
      <c r="A59" s="8" t="s">
        <v>179</v>
      </c>
      <c r="B59" s="8" t="s">
        <v>255</v>
      </c>
      <c r="C59" s="26">
        <v>0.80000000000000004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4.7000000000000002</v>
      </c>
      <c r="N59" s="8"/>
      <c r="O59" s="26">
        <v>4.7000000000000002</v>
      </c>
      <c r="P59" s="8"/>
      <c r="Q59" s="26">
        <v>4.7000000000000002</v>
      </c>
      <c r="R59" s="8"/>
      <c r="S59" s="26">
        <v>4.7000000000000002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</row>
    <row r="60" ht="12" customHeight="1">
      <c r="A60" s="11" t="s">
        <v>181</v>
      </c>
      <c r="B60" s="8" t="s">
        <v>256</v>
      </c>
      <c r="C60" s="26">
        <v>4.7999999999999998</v>
      </c>
      <c r="D60" s="8"/>
      <c r="E60" s="26">
        <v>5.7000000000000002</v>
      </c>
      <c r="F60" s="8"/>
      <c r="G60" s="26">
        <v>7.7000000000000002</v>
      </c>
      <c r="H60" s="8"/>
      <c r="I60" s="26">
        <v>9</v>
      </c>
      <c r="J60" s="8"/>
      <c r="K60" s="26">
        <v>9.1999999999999993</v>
      </c>
      <c r="L60" s="8"/>
      <c r="M60" s="26">
        <v>9.9000000000000004</v>
      </c>
      <c r="N60" s="8"/>
      <c r="O60" s="26">
        <v>9.0999999999999996</v>
      </c>
      <c r="P60" s="8"/>
      <c r="Q60" s="26">
        <v>8.1999999999999993</v>
      </c>
      <c r="R60" s="8"/>
      <c r="S60" s="26">
        <v>7.5999999999999996</v>
      </c>
      <c r="T60" s="8"/>
      <c r="U60" s="26">
        <v>5.5999999999999996</v>
      </c>
      <c r="V60" s="8"/>
      <c r="W60" s="26">
        <v>4.0999999999999996</v>
      </c>
      <c r="X60" s="8"/>
      <c r="Y60" s="26">
        <v>2.6000000000000001</v>
      </c>
      <c r="Z60" s="8"/>
      <c r="AA60" s="26">
        <v>1.2</v>
      </c>
      <c r="AB60" s="8"/>
    </row>
    <row r="61" ht="12" customHeight="1">
      <c r="A61" s="8" t="s">
        <v>183</v>
      </c>
      <c r="B61" s="8" t="s">
        <v>257</v>
      </c>
      <c r="C61" s="26">
        <v>8.1999999999999993</v>
      </c>
      <c r="D61" s="8"/>
      <c r="E61" s="26">
        <v>8.5999999999999996</v>
      </c>
      <c r="F61" s="8"/>
      <c r="G61" s="26">
        <v>9</v>
      </c>
      <c r="H61" s="8"/>
      <c r="I61" s="26">
        <v>6.9000000000000004</v>
      </c>
      <c r="J61" s="8"/>
      <c r="K61" s="26">
        <v>2.7999999999999998</v>
      </c>
      <c r="L61" s="8"/>
      <c r="M61" s="26">
        <v>0.80000000000000004</v>
      </c>
      <c r="N61" s="8"/>
      <c r="O61" s="26">
        <v>-2.2000000000000002</v>
      </c>
      <c r="P61" s="8"/>
      <c r="Q61" s="26">
        <v>-2.7000000000000002</v>
      </c>
      <c r="R61" s="8"/>
      <c r="S61" s="26">
        <v>-1.3</v>
      </c>
      <c r="T61" s="8"/>
      <c r="U61" s="26">
        <v>-1.2</v>
      </c>
      <c r="V61" s="8"/>
      <c r="W61" s="26">
        <v>0.40000000000000002</v>
      </c>
      <c r="X61" s="8"/>
      <c r="Y61" s="26">
        <v>1.6000000000000001</v>
      </c>
      <c r="Z61" s="8"/>
      <c r="AA61" s="26">
        <v>1.6000000000000001</v>
      </c>
      <c r="AB61" s="8"/>
    </row>
    <row r="62" ht="12" customHeight="1">
      <c r="A62" s="8" t="s">
        <v>185</v>
      </c>
      <c r="B62" s="8" t="s">
        <v>258</v>
      </c>
      <c r="C62" s="26">
        <v>6.2999999999999998</v>
      </c>
      <c r="D62" s="8"/>
      <c r="E62" s="26">
        <v>6.4000000000000004</v>
      </c>
      <c r="F62" s="8"/>
      <c r="G62" s="26">
        <v>5.2000000000000002</v>
      </c>
      <c r="H62" s="8"/>
      <c r="I62" s="26">
        <v>1.6000000000000001</v>
      </c>
      <c r="J62" s="8"/>
      <c r="K62" s="26">
        <v>2</v>
      </c>
      <c r="L62" s="8"/>
      <c r="M62" s="26">
        <v>2.5</v>
      </c>
      <c r="N62" s="8"/>
      <c r="O62" s="26">
        <v>8.8000000000000007</v>
      </c>
      <c r="P62" s="8"/>
      <c r="Q62" s="26">
        <v>10.4</v>
      </c>
      <c r="R62" s="8"/>
      <c r="S62" s="26">
        <v>14.300000000000001</v>
      </c>
      <c r="T62" s="8"/>
      <c r="U62" s="26">
        <v>13.6</v>
      </c>
      <c r="V62" s="8"/>
      <c r="W62" s="26">
        <v>11.1</v>
      </c>
      <c r="X62" s="8"/>
      <c r="Y62" s="26">
        <v>9</v>
      </c>
      <c r="Z62" s="8"/>
      <c r="AA62" s="26">
        <v>6.2000000000000002</v>
      </c>
      <c r="AB62" s="8"/>
    </row>
    <row r="63" ht="12" customHeight="1">
      <c r="A63" s="8" t="s">
        <v>187</v>
      </c>
      <c r="B63" s="8" t="s">
        <v>259</v>
      </c>
      <c r="C63" s="26">
        <v>3.1000000000000001</v>
      </c>
      <c r="D63" s="8"/>
      <c r="E63" s="26">
        <v>5.0999999999999996</v>
      </c>
      <c r="F63" s="8"/>
      <c r="G63" s="26">
        <v>9.3000000000000007</v>
      </c>
      <c r="H63" s="8"/>
      <c r="I63" s="26">
        <v>13.9</v>
      </c>
      <c r="J63" s="8"/>
      <c r="K63" s="26">
        <v>16.800000000000001</v>
      </c>
      <c r="L63" s="8"/>
      <c r="M63" s="26">
        <v>19.399999999999999</v>
      </c>
      <c r="N63" s="8"/>
      <c r="O63" s="26">
        <v>19.300000000000001</v>
      </c>
      <c r="P63" s="8"/>
      <c r="Q63" s="26">
        <v>17.399999999999999</v>
      </c>
      <c r="R63" s="8"/>
      <c r="S63" s="26">
        <v>14.9</v>
      </c>
      <c r="T63" s="8"/>
      <c r="U63" s="26">
        <v>10.699999999999999</v>
      </c>
      <c r="V63" s="8"/>
      <c r="W63" s="26">
        <v>6.7999999999999998</v>
      </c>
      <c r="X63" s="8"/>
      <c r="Y63" s="26">
        <v>3.8999999999999999</v>
      </c>
      <c r="Z63" s="8"/>
      <c r="AA63" s="26">
        <v>1.3</v>
      </c>
      <c r="AB63" s="8"/>
    </row>
    <row r="64" ht="12" customHeight="1">
      <c r="A64" s="8" t="s">
        <v>189</v>
      </c>
      <c r="B64" s="8" t="s">
        <v>260</v>
      </c>
      <c r="C64" s="26">
        <v>1</v>
      </c>
      <c r="D64" s="8"/>
      <c r="E64" s="26">
        <v>1</v>
      </c>
      <c r="F64" s="8"/>
      <c r="G64" s="26">
        <v>1.1000000000000001</v>
      </c>
      <c r="H64" s="8"/>
      <c r="I64" s="26">
        <v>-0.69999999999999996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-0.80000000000000004</v>
      </c>
      <c r="R64" s="8"/>
      <c r="S64" s="26">
        <v>-0.80000000000000004</v>
      </c>
      <c r="T64" s="8"/>
      <c r="U64" s="26">
        <v>-0.80000000000000004</v>
      </c>
      <c r="V64" s="8"/>
      <c r="W64" s="26">
        <v>-1.5</v>
      </c>
      <c r="X64" s="8"/>
      <c r="Y64" s="26">
        <v>-0.69999999999999996</v>
      </c>
      <c r="Z64" s="8"/>
      <c r="AA64" s="26">
        <v>-0.69999999999999996</v>
      </c>
      <c r="AB64" s="8"/>
    </row>
    <row r="65" ht="12" customHeight="1">
      <c r="A65" s="8" t="s">
        <v>191</v>
      </c>
      <c r="B65" s="8" t="s">
        <v>261</v>
      </c>
      <c r="C65" s="26">
        <v>2.7999999999999998</v>
      </c>
      <c r="D65" s="8"/>
      <c r="E65" s="26">
        <v>0.40000000000000002</v>
      </c>
      <c r="F65" s="8"/>
      <c r="G65" s="26">
        <v>-1.1000000000000001</v>
      </c>
      <c r="H65" s="8"/>
      <c r="I65" s="26">
        <v>0.40000000000000002</v>
      </c>
      <c r="J65" s="8"/>
      <c r="K65" s="26">
        <v>2.3999999999999999</v>
      </c>
      <c r="L65" s="8"/>
      <c r="M65" s="26">
        <v>3.6000000000000001</v>
      </c>
      <c r="N65" s="8"/>
      <c r="O65" s="26">
        <v>5.2000000000000002</v>
      </c>
      <c r="P65" s="8"/>
      <c r="Q65" s="26">
        <v>3.6000000000000001</v>
      </c>
      <c r="R65" s="8"/>
      <c r="S65" s="26">
        <v>2.2999999999999998</v>
      </c>
      <c r="T65" s="8"/>
      <c r="U65" s="26">
        <v>2</v>
      </c>
      <c r="V65" s="8"/>
      <c r="W65" s="26">
        <v>1.8999999999999999</v>
      </c>
      <c r="X65" s="8"/>
      <c r="Y65" s="26">
        <v>-0.69999999999999996</v>
      </c>
      <c r="Z65" s="8"/>
      <c r="AA65" s="26">
        <v>-0.80000000000000004</v>
      </c>
      <c r="AB65" s="8"/>
    </row>
    <row r="66" ht="12" customHeight="1">
      <c r="A66" s="11" t="s">
        <v>193</v>
      </c>
      <c r="B66" s="8" t="s">
        <v>262</v>
      </c>
      <c r="C66" s="26">
        <v>42.100000000000001</v>
      </c>
      <c r="D66" s="8"/>
      <c r="E66" s="26">
        <v>36.399999999999999</v>
      </c>
      <c r="F66" s="8"/>
      <c r="G66" s="26">
        <v>29.100000000000001</v>
      </c>
      <c r="H66" s="8"/>
      <c r="I66" s="26">
        <v>27.199999999999999</v>
      </c>
      <c r="J66" s="8"/>
      <c r="K66" s="26">
        <v>30.100000000000001</v>
      </c>
      <c r="L66" s="8"/>
      <c r="M66" s="26">
        <v>27.199999999999999</v>
      </c>
      <c r="N66" s="8"/>
      <c r="O66" s="26">
        <v>25.199999999999999</v>
      </c>
      <c r="P66" s="8"/>
      <c r="Q66" s="26">
        <v>17.399999999999999</v>
      </c>
      <c r="R66" s="8"/>
      <c r="S66" s="26">
        <v>7.2000000000000002</v>
      </c>
      <c r="T66" s="8"/>
      <c r="U66" s="26">
        <v>1.2</v>
      </c>
      <c r="V66" s="8"/>
      <c r="W66" s="26">
        <v>-5.5999999999999996</v>
      </c>
      <c r="X66" s="8"/>
      <c r="Y66" s="26">
        <v>-11</v>
      </c>
      <c r="Z66" s="8"/>
      <c r="AA66" s="26">
        <v>-13.199999999999999</v>
      </c>
      <c r="AB66" s="8"/>
    </row>
    <row r="67" ht="12" customHeight="1">
      <c r="A67" s="8" t="s">
        <v>195</v>
      </c>
      <c r="B67" s="8" t="s">
        <v>263</v>
      </c>
      <c r="C67" s="26">
        <v>42.100000000000001</v>
      </c>
      <c r="D67" s="8"/>
      <c r="E67" s="26">
        <v>36.399999999999999</v>
      </c>
      <c r="F67" s="8"/>
      <c r="G67" s="26">
        <v>29.100000000000001</v>
      </c>
      <c r="H67" s="8"/>
      <c r="I67" s="26">
        <v>27.199999999999999</v>
      </c>
      <c r="J67" s="8"/>
      <c r="K67" s="26">
        <v>30.100000000000001</v>
      </c>
      <c r="L67" s="8"/>
      <c r="M67" s="26">
        <v>27.199999999999999</v>
      </c>
      <c r="N67" s="8"/>
      <c r="O67" s="26">
        <v>25.199999999999999</v>
      </c>
      <c r="P67" s="8"/>
      <c r="Q67" s="26">
        <v>17.399999999999999</v>
      </c>
      <c r="R67" s="8"/>
      <c r="S67" s="26">
        <v>7.2000000000000002</v>
      </c>
      <c r="T67" s="8"/>
      <c r="U67" s="26">
        <v>1.2</v>
      </c>
      <c r="V67" s="8"/>
      <c r="W67" s="26">
        <v>-5.5999999999999996</v>
      </c>
      <c r="X67" s="8"/>
      <c r="Y67" s="26">
        <v>-11</v>
      </c>
      <c r="Z67" s="8"/>
      <c r="AA67" s="26">
        <v>-13.199999999999999</v>
      </c>
      <c r="AB67" s="8"/>
    </row>
    <row r="68" ht="12" customHeight="1">
      <c r="A68" s="13" t="s">
        <v>69</v>
      </c>
      <c r="B68" s="10" t="s">
        <v>42</v>
      </c>
      <c r="C68" s="27">
        <v>6.9000000000000004</v>
      </c>
      <c r="D68" s="10"/>
      <c r="E68" s="27">
        <v>6.7000000000000002</v>
      </c>
      <c r="F68" s="10"/>
      <c r="G68" s="27">
        <v>6.5</v>
      </c>
      <c r="H68" s="10"/>
      <c r="I68" s="27">
        <v>6.7000000000000002</v>
      </c>
      <c r="J68" s="10"/>
      <c r="K68" s="27">
        <v>6.2000000000000002</v>
      </c>
      <c r="L68" s="10"/>
      <c r="M68" s="27">
        <v>5.2999999999999998</v>
      </c>
      <c r="N68" s="10"/>
      <c r="O68" s="27">
        <v>4.5</v>
      </c>
      <c r="P68" s="10"/>
      <c r="Q68" s="27">
        <v>3.7999999999999998</v>
      </c>
      <c r="R68" s="10"/>
      <c r="S68" s="27">
        <v>3.2999999999999998</v>
      </c>
      <c r="T68" s="10"/>
      <c r="U68" s="27">
        <v>3.5</v>
      </c>
      <c r="V68" s="10"/>
      <c r="W68" s="27">
        <v>3.6000000000000001</v>
      </c>
      <c r="X68" s="10"/>
      <c r="Y68" s="27">
        <v>3.3999999999999999</v>
      </c>
      <c r="Z68" s="10"/>
      <c r="AA68" s="27">
        <v>3.1000000000000001</v>
      </c>
      <c r="AB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266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268</v>
      </c>
      <c r="C8" s="19">
        <v>1241</v>
      </c>
      <c r="D8" s="19"/>
      <c r="E8" s="19">
        <v>1288</v>
      </c>
      <c r="F8" s="19"/>
      <c r="G8" s="19">
        <v>1316</v>
      </c>
      <c r="H8" s="19"/>
      <c r="I8" s="19">
        <v>1326</v>
      </c>
      <c r="J8" s="19"/>
      <c r="K8" s="19">
        <v>1314</v>
      </c>
      <c r="L8" s="19"/>
      <c r="M8" s="19">
        <v>1319</v>
      </c>
      <c r="N8" s="19"/>
      <c r="O8" s="19">
        <v>1320</v>
      </c>
      <c r="P8" s="19"/>
      <c r="Q8" s="19">
        <v>1336</v>
      </c>
      <c r="R8" s="19"/>
      <c r="S8" s="19">
        <v>1333</v>
      </c>
      <c r="T8" s="19"/>
      <c r="U8" s="19">
        <v>1357</v>
      </c>
      <c r="V8" s="19"/>
      <c r="W8" s="19">
        <v>1379</v>
      </c>
      <c r="X8" s="19"/>
      <c r="Y8" s="19">
        <v>1403</v>
      </c>
      <c r="Z8" s="19"/>
      <c r="AA8" s="19">
        <v>1392</v>
      </c>
      <c r="AB8" s="19"/>
      <c r="AC8" s="19"/>
      <c r="AE8" s="18"/>
      <c r="AG8" s="18"/>
    </row>
    <row r="9" ht="12" customHeight="1">
      <c r="A9" s="8" t="s">
        <v>79</v>
      </c>
      <c r="B9" s="8" t="s">
        <v>269</v>
      </c>
      <c r="C9" s="24">
        <v>1417</v>
      </c>
      <c r="D9" s="8"/>
      <c r="E9" s="24">
        <v>1558</v>
      </c>
      <c r="F9" s="8"/>
      <c r="G9" s="24">
        <v>1537</v>
      </c>
      <c r="H9" s="8"/>
      <c r="I9" s="24">
        <v>1548</v>
      </c>
      <c r="J9" s="8"/>
      <c r="K9" s="24">
        <v>1464</v>
      </c>
      <c r="L9" s="8"/>
      <c r="M9" s="24">
        <v>1431</v>
      </c>
      <c r="N9" s="8"/>
      <c r="O9" s="24">
        <v>1304</v>
      </c>
      <c r="P9" s="8"/>
      <c r="Q9" s="24">
        <v>1367</v>
      </c>
      <c r="R9" s="8"/>
      <c r="S9" s="24">
        <v>1313</v>
      </c>
      <c r="T9" s="8"/>
      <c r="U9" s="24">
        <v>1332</v>
      </c>
      <c r="V9" s="8"/>
      <c r="W9" s="24">
        <v>1372</v>
      </c>
      <c r="X9" s="8"/>
      <c r="Y9" s="24">
        <v>1487</v>
      </c>
      <c r="Z9" s="8"/>
      <c r="AA9" s="24">
        <v>1364</v>
      </c>
      <c r="AB9" s="8"/>
      <c r="AC9" s="8"/>
      <c r="AE9" s="8"/>
      <c r="AG9" s="8"/>
    </row>
    <row r="10" ht="12" customHeight="1">
      <c r="A10" s="8" t="s">
        <v>81</v>
      </c>
      <c r="B10" s="8" t="s">
        <v>270</v>
      </c>
      <c r="C10" s="24">
        <v>1239</v>
      </c>
      <c r="D10" s="8"/>
      <c r="E10" s="24">
        <v>1257</v>
      </c>
      <c r="F10" s="8"/>
      <c r="G10" s="24">
        <v>1278</v>
      </c>
      <c r="H10" s="8"/>
      <c r="I10" s="24">
        <v>1280</v>
      </c>
      <c r="J10" s="8"/>
      <c r="K10" s="24">
        <v>1265</v>
      </c>
      <c r="L10" s="8"/>
      <c r="M10" s="24">
        <v>1258</v>
      </c>
      <c r="N10" s="8"/>
      <c r="O10" s="24">
        <v>1265</v>
      </c>
      <c r="P10" s="8"/>
      <c r="Q10" s="24">
        <v>1282</v>
      </c>
      <c r="R10" s="8"/>
      <c r="S10" s="24">
        <v>1295</v>
      </c>
      <c r="T10" s="8"/>
      <c r="U10" s="24">
        <v>1315</v>
      </c>
      <c r="V10" s="8"/>
      <c r="W10" s="24">
        <v>1333</v>
      </c>
      <c r="X10" s="8"/>
      <c r="Y10" s="24">
        <v>1381</v>
      </c>
      <c r="Z10" s="8"/>
      <c r="AA10" s="24">
        <v>1391</v>
      </c>
      <c r="AB10" s="8"/>
      <c r="AC10" s="8"/>
      <c r="AE10" s="8"/>
      <c r="AG10" s="8"/>
    </row>
    <row r="11" ht="12" customHeight="1">
      <c r="A11" s="8" t="s">
        <v>83</v>
      </c>
      <c r="B11" s="8" t="s">
        <v>271</v>
      </c>
      <c r="C11" s="24">
        <v>1165</v>
      </c>
      <c r="D11" s="8"/>
      <c r="E11" s="24">
        <v>1215</v>
      </c>
      <c r="F11" s="8"/>
      <c r="G11" s="24">
        <v>1251</v>
      </c>
      <c r="H11" s="8"/>
      <c r="I11" s="24">
        <v>1254</v>
      </c>
      <c r="J11" s="8"/>
      <c r="K11" s="24">
        <v>1245</v>
      </c>
      <c r="L11" s="8"/>
      <c r="M11" s="24">
        <v>1256</v>
      </c>
      <c r="N11" s="8"/>
      <c r="O11" s="24">
        <v>1270</v>
      </c>
      <c r="P11" s="8"/>
      <c r="Q11" s="24">
        <v>1280</v>
      </c>
      <c r="R11" s="8"/>
      <c r="S11" s="24">
        <v>1276</v>
      </c>
      <c r="T11" s="8"/>
      <c r="U11" s="24">
        <v>1313</v>
      </c>
      <c r="V11" s="8"/>
      <c r="W11" s="24">
        <v>1333</v>
      </c>
      <c r="X11" s="8"/>
      <c r="Y11" s="24">
        <v>1338</v>
      </c>
      <c r="Z11" s="8"/>
      <c r="AA11" s="24">
        <v>1333</v>
      </c>
      <c r="AB11" s="8"/>
      <c r="AC11" s="8"/>
      <c r="AE11" s="8"/>
      <c r="AG11" s="8"/>
    </row>
    <row r="12" ht="12" customHeight="1">
      <c r="A12" s="8" t="s">
        <v>85</v>
      </c>
      <c r="B12" s="8" t="s">
        <v>272</v>
      </c>
      <c r="C12" s="24">
        <v>1140</v>
      </c>
      <c r="D12" s="8"/>
      <c r="E12" s="24">
        <v>1167</v>
      </c>
      <c r="F12" s="8"/>
      <c r="G12" s="24">
        <v>1201</v>
      </c>
      <c r="H12" s="8"/>
      <c r="I12" s="24">
        <v>1216</v>
      </c>
      <c r="J12" s="8"/>
      <c r="K12" s="24">
        <v>1216</v>
      </c>
      <c r="L12" s="8"/>
      <c r="M12" s="24">
        <v>1232</v>
      </c>
      <c r="N12" s="8"/>
      <c r="O12" s="24">
        <v>1261</v>
      </c>
      <c r="P12" s="8"/>
      <c r="Q12" s="24">
        <v>1273</v>
      </c>
      <c r="R12" s="8"/>
      <c r="S12" s="24">
        <v>1272</v>
      </c>
      <c r="T12" s="8"/>
      <c r="U12" s="24">
        <v>1302</v>
      </c>
      <c r="V12" s="8"/>
      <c r="W12" s="24">
        <v>1336</v>
      </c>
      <c r="X12" s="8"/>
      <c r="Y12" s="24">
        <v>1326</v>
      </c>
      <c r="Z12" s="8"/>
      <c r="AA12" s="24">
        <v>1332</v>
      </c>
      <c r="AB12" s="8"/>
      <c r="AC12" s="8"/>
      <c r="AE12" s="8"/>
      <c r="AG12" s="8"/>
    </row>
    <row r="13" ht="12" customHeight="1">
      <c r="A13" s="8" t="s">
        <v>87</v>
      </c>
      <c r="B13" s="8" t="s">
        <v>273</v>
      </c>
      <c r="C13" s="24">
        <v>1356</v>
      </c>
      <c r="D13" s="8"/>
      <c r="E13" s="24">
        <v>1384</v>
      </c>
      <c r="F13" s="8"/>
      <c r="G13" s="24">
        <v>1426</v>
      </c>
      <c r="H13" s="8"/>
      <c r="I13" s="24">
        <v>1451</v>
      </c>
      <c r="J13" s="8"/>
      <c r="K13" s="24">
        <v>1465</v>
      </c>
      <c r="L13" s="8"/>
      <c r="M13" s="24">
        <v>1479</v>
      </c>
      <c r="N13" s="8"/>
      <c r="O13" s="24">
        <v>1501</v>
      </c>
      <c r="P13" s="8"/>
      <c r="Q13" s="24">
        <v>1506</v>
      </c>
      <c r="R13" s="8"/>
      <c r="S13" s="24">
        <v>1514</v>
      </c>
      <c r="T13" s="8"/>
      <c r="U13" s="24">
        <v>1518</v>
      </c>
      <c r="V13" s="8"/>
      <c r="W13" s="24">
        <v>1531</v>
      </c>
      <c r="X13" s="8"/>
      <c r="Y13" s="24">
        <v>1543</v>
      </c>
      <c r="Z13" s="8"/>
      <c r="AA13" s="24">
        <v>1550</v>
      </c>
      <c r="AB13" s="8"/>
      <c r="AC13" s="8"/>
      <c r="AE13" s="8"/>
      <c r="AG13" s="8"/>
    </row>
    <row r="14" ht="12" customHeight="1">
      <c r="A14" s="11" t="s">
        <v>89</v>
      </c>
      <c r="B14" s="8" t="s">
        <v>274</v>
      </c>
      <c r="C14" s="24">
        <v>1599</v>
      </c>
      <c r="D14" s="8"/>
      <c r="E14" s="24">
        <v>1686</v>
      </c>
      <c r="F14" s="8"/>
      <c r="G14" s="24">
        <v>1700</v>
      </c>
      <c r="H14" s="8"/>
      <c r="I14" s="24">
        <v>1718</v>
      </c>
      <c r="J14" s="8"/>
      <c r="K14" s="24">
        <v>1753</v>
      </c>
      <c r="L14" s="8"/>
      <c r="M14" s="24">
        <v>1836</v>
      </c>
      <c r="N14" s="8"/>
      <c r="O14" s="24">
        <v>1845</v>
      </c>
      <c r="P14" s="8"/>
      <c r="Q14" s="24">
        <v>1852</v>
      </c>
      <c r="R14" s="8"/>
      <c r="S14" s="24">
        <v>1859</v>
      </c>
      <c r="T14" s="8"/>
      <c r="U14" s="24">
        <v>1900</v>
      </c>
      <c r="V14" s="8"/>
      <c r="W14" s="24">
        <v>1897</v>
      </c>
      <c r="X14" s="8"/>
      <c r="Y14" s="24">
        <v>1905</v>
      </c>
      <c r="Z14" s="8"/>
      <c r="AA14" s="24">
        <v>1911</v>
      </c>
      <c r="AB14" s="8"/>
      <c r="AC14" s="8"/>
      <c r="AE14" s="8"/>
      <c r="AG14" s="8"/>
    </row>
    <row r="15" ht="12" customHeight="1">
      <c r="A15" s="8" t="s">
        <v>91</v>
      </c>
      <c r="B15" s="8" t="s">
        <v>275</v>
      </c>
      <c r="C15" s="24">
        <v>1153</v>
      </c>
      <c r="D15" s="8"/>
      <c r="E15" s="24">
        <v>1170</v>
      </c>
      <c r="F15" s="8"/>
      <c r="G15" s="24">
        <v>1197</v>
      </c>
      <c r="H15" s="8"/>
      <c r="I15" s="24">
        <v>1220</v>
      </c>
      <c r="J15" s="8"/>
      <c r="K15" s="24">
        <v>1220</v>
      </c>
      <c r="L15" s="8"/>
      <c r="M15" s="24">
        <v>1233</v>
      </c>
      <c r="N15" s="8"/>
      <c r="O15" s="24">
        <v>1252</v>
      </c>
      <c r="P15" s="8"/>
      <c r="Q15" s="24">
        <v>1259</v>
      </c>
      <c r="R15" s="8"/>
      <c r="S15" s="24">
        <v>1254</v>
      </c>
      <c r="T15" s="8"/>
      <c r="U15" s="24">
        <v>1264</v>
      </c>
      <c r="V15" s="8"/>
      <c r="W15" s="24">
        <v>1257</v>
      </c>
      <c r="X15" s="8"/>
      <c r="Y15" s="24">
        <v>1268</v>
      </c>
      <c r="Z15" s="8"/>
      <c r="AA15" s="24">
        <v>1259</v>
      </c>
      <c r="AB15" s="8"/>
      <c r="AC15" s="8"/>
      <c r="AE15" s="8"/>
      <c r="AG15" s="8"/>
    </row>
    <row r="16" ht="12" customHeight="1">
      <c r="A16" s="8" t="s">
        <v>93</v>
      </c>
      <c r="B16" s="8" t="s">
        <v>276</v>
      </c>
      <c r="C16" s="24">
        <v>1954</v>
      </c>
      <c r="D16" s="8"/>
      <c r="E16" s="24">
        <v>2105</v>
      </c>
      <c r="F16" s="8"/>
      <c r="G16" s="24">
        <v>2106</v>
      </c>
      <c r="H16" s="8"/>
      <c r="I16" s="24">
        <v>2118</v>
      </c>
      <c r="J16" s="8"/>
      <c r="K16" s="24">
        <v>2184</v>
      </c>
      <c r="L16" s="8"/>
      <c r="M16" s="24">
        <v>2330</v>
      </c>
      <c r="N16" s="8"/>
      <c r="O16" s="24">
        <v>2329</v>
      </c>
      <c r="P16" s="8"/>
      <c r="Q16" s="24">
        <v>2336</v>
      </c>
      <c r="R16" s="8"/>
      <c r="S16" s="24">
        <v>2354</v>
      </c>
      <c r="T16" s="8"/>
      <c r="U16" s="24">
        <v>2446</v>
      </c>
      <c r="V16" s="8"/>
      <c r="W16" s="24">
        <v>2452</v>
      </c>
      <c r="X16" s="8"/>
      <c r="Y16" s="24">
        <v>2451</v>
      </c>
      <c r="Z16" s="8"/>
      <c r="AA16" s="24">
        <v>2489</v>
      </c>
      <c r="AB16" s="8"/>
      <c r="AC16" s="8"/>
      <c r="AE16" s="8"/>
      <c r="AG16" s="8"/>
    </row>
    <row r="17" ht="12" customHeight="1">
      <c r="A17" s="11" t="s">
        <v>95</v>
      </c>
      <c r="B17" s="8" t="s">
        <v>277</v>
      </c>
      <c r="C17" s="24">
        <v>1058</v>
      </c>
      <c r="D17" s="8"/>
      <c r="E17" s="24">
        <v>1057</v>
      </c>
      <c r="F17" s="8"/>
      <c r="G17" s="24">
        <v>1088</v>
      </c>
      <c r="H17" s="8"/>
      <c r="I17" s="24">
        <v>1092</v>
      </c>
      <c r="J17" s="8"/>
      <c r="K17" s="24">
        <v>1097</v>
      </c>
      <c r="L17" s="8"/>
      <c r="M17" s="24">
        <v>1099</v>
      </c>
      <c r="N17" s="8"/>
      <c r="O17" s="24">
        <v>1101</v>
      </c>
      <c r="P17" s="8"/>
      <c r="Q17" s="24">
        <v>1101</v>
      </c>
      <c r="R17" s="8"/>
      <c r="S17" s="24">
        <v>1091</v>
      </c>
      <c r="T17" s="8"/>
      <c r="U17" s="24">
        <v>1094</v>
      </c>
      <c r="V17" s="8"/>
      <c r="W17" s="24">
        <v>1096</v>
      </c>
      <c r="X17" s="8"/>
      <c r="Y17" s="24">
        <v>1101</v>
      </c>
      <c r="Z17" s="8"/>
      <c r="AA17" s="24">
        <v>1110</v>
      </c>
      <c r="AB17" s="8"/>
      <c r="AC17" s="8"/>
      <c r="AE17" s="8"/>
      <c r="AG17" s="8"/>
    </row>
    <row r="18" ht="12" customHeight="1">
      <c r="A18" s="8" t="s">
        <v>97</v>
      </c>
      <c r="B18" s="8" t="s">
        <v>278</v>
      </c>
      <c r="C18" s="24">
        <v>1049</v>
      </c>
      <c r="D18" s="8"/>
      <c r="E18" s="24">
        <v>1046</v>
      </c>
      <c r="F18" s="8"/>
      <c r="G18" s="24">
        <v>1081</v>
      </c>
      <c r="H18" s="8"/>
      <c r="I18" s="24">
        <v>1088</v>
      </c>
      <c r="J18" s="8"/>
      <c r="K18" s="24">
        <v>1093</v>
      </c>
      <c r="L18" s="8"/>
      <c r="M18" s="24">
        <v>1098</v>
      </c>
      <c r="N18" s="8"/>
      <c r="O18" s="24">
        <v>1097</v>
      </c>
      <c r="P18" s="8"/>
      <c r="Q18" s="24">
        <v>1095</v>
      </c>
      <c r="R18" s="8"/>
      <c r="S18" s="24">
        <v>1083</v>
      </c>
      <c r="T18" s="8"/>
      <c r="U18" s="24">
        <v>1081</v>
      </c>
      <c r="V18" s="8"/>
      <c r="W18" s="24">
        <v>1089</v>
      </c>
      <c r="X18" s="8"/>
      <c r="Y18" s="24">
        <v>1091</v>
      </c>
      <c r="Z18" s="8"/>
      <c r="AA18" s="24">
        <v>1103</v>
      </c>
      <c r="AB18" s="8"/>
      <c r="AC18" s="8"/>
      <c r="AE18" s="8"/>
      <c r="AG18" s="8"/>
    </row>
    <row r="19" ht="12" customHeight="1">
      <c r="A19" s="8" t="s">
        <v>99</v>
      </c>
      <c r="B19" s="8" t="s">
        <v>279</v>
      </c>
      <c r="C19" s="24">
        <v>1082</v>
      </c>
      <c r="D19" s="8"/>
      <c r="E19" s="24">
        <v>1093</v>
      </c>
      <c r="F19" s="8"/>
      <c r="G19" s="24">
        <v>1104</v>
      </c>
      <c r="H19" s="8"/>
      <c r="I19" s="24">
        <v>1097</v>
      </c>
      <c r="J19" s="8"/>
      <c r="K19" s="24">
        <v>1099</v>
      </c>
      <c r="L19" s="8"/>
      <c r="M19" s="24">
        <v>1092</v>
      </c>
      <c r="N19" s="8"/>
      <c r="O19" s="24">
        <v>1105</v>
      </c>
      <c r="P19" s="8"/>
      <c r="Q19" s="24">
        <v>1112</v>
      </c>
      <c r="R19" s="8"/>
      <c r="S19" s="24">
        <v>1116</v>
      </c>
      <c r="T19" s="8"/>
      <c r="U19" s="24">
        <v>1141</v>
      </c>
      <c r="V19" s="8"/>
      <c r="W19" s="24">
        <v>1112</v>
      </c>
      <c r="X19" s="8"/>
      <c r="Y19" s="24">
        <v>1130</v>
      </c>
      <c r="Z19" s="8"/>
      <c r="AA19" s="24">
        <v>1128</v>
      </c>
      <c r="AB19" s="8"/>
      <c r="AC19" s="8"/>
      <c r="AE19" s="8"/>
      <c r="AG19" s="8"/>
    </row>
    <row r="20" ht="12" customHeight="1">
      <c r="A20" s="11" t="s">
        <v>101</v>
      </c>
      <c r="B20" s="8" t="s">
        <v>280</v>
      </c>
      <c r="C20" s="24">
        <v>1293</v>
      </c>
      <c r="D20" s="8"/>
      <c r="E20" s="24">
        <v>1309</v>
      </c>
      <c r="F20" s="8"/>
      <c r="G20" s="24">
        <v>1328</v>
      </c>
      <c r="H20" s="8"/>
      <c r="I20" s="24">
        <v>1352</v>
      </c>
      <c r="J20" s="8"/>
      <c r="K20" s="24">
        <v>1368</v>
      </c>
      <c r="L20" s="8"/>
      <c r="M20" s="24">
        <v>1380</v>
      </c>
      <c r="N20" s="8"/>
      <c r="O20" s="24">
        <v>1399</v>
      </c>
      <c r="P20" s="8"/>
      <c r="Q20" s="24">
        <v>1431</v>
      </c>
      <c r="R20" s="8"/>
      <c r="S20" s="24">
        <v>1441</v>
      </c>
      <c r="T20" s="8"/>
      <c r="U20" s="24">
        <v>1453</v>
      </c>
      <c r="V20" s="8"/>
      <c r="W20" s="24">
        <v>1472</v>
      </c>
      <c r="X20" s="8"/>
      <c r="Y20" s="24">
        <v>1495</v>
      </c>
      <c r="Z20" s="8"/>
      <c r="AA20" s="24">
        <v>1501</v>
      </c>
      <c r="AB20" s="8"/>
      <c r="AC20" s="8"/>
      <c r="AE20" s="8"/>
      <c r="AG20" s="8"/>
    </row>
    <row r="21" ht="12" customHeight="1">
      <c r="A21" s="8" t="s">
        <v>103</v>
      </c>
      <c r="B21" s="8" t="s">
        <v>281</v>
      </c>
      <c r="C21" s="24">
        <v>1319</v>
      </c>
      <c r="D21" s="8"/>
      <c r="E21" s="24">
        <v>1336</v>
      </c>
      <c r="F21" s="8"/>
      <c r="G21" s="24">
        <v>1353</v>
      </c>
      <c r="H21" s="8"/>
      <c r="I21" s="24">
        <v>1372</v>
      </c>
      <c r="J21" s="8"/>
      <c r="K21" s="24">
        <v>1388</v>
      </c>
      <c r="L21" s="8"/>
      <c r="M21" s="24">
        <v>1405</v>
      </c>
      <c r="N21" s="8"/>
      <c r="O21" s="24">
        <v>1423</v>
      </c>
      <c r="P21" s="8"/>
      <c r="Q21" s="24">
        <v>1437</v>
      </c>
      <c r="R21" s="8"/>
      <c r="S21" s="24">
        <v>1449</v>
      </c>
      <c r="T21" s="8"/>
      <c r="U21" s="24">
        <v>1460</v>
      </c>
      <c r="V21" s="8"/>
      <c r="W21" s="24">
        <v>1471</v>
      </c>
      <c r="X21" s="8"/>
      <c r="Y21" s="24">
        <v>1475</v>
      </c>
      <c r="Z21" s="8"/>
      <c r="AA21" s="24">
        <v>1477</v>
      </c>
      <c r="AB21" s="8"/>
      <c r="AC21" s="8"/>
      <c r="AE21" s="8"/>
      <c r="AG21" s="8"/>
    </row>
    <row r="22" ht="12" customHeight="1">
      <c r="A22" s="8" t="s">
        <v>105</v>
      </c>
      <c r="B22" s="8" t="s">
        <v>282</v>
      </c>
      <c r="C22" s="24">
        <v>1319</v>
      </c>
      <c r="D22" s="8"/>
      <c r="E22" s="24">
        <v>1336</v>
      </c>
      <c r="F22" s="8"/>
      <c r="G22" s="24">
        <v>1353</v>
      </c>
      <c r="H22" s="8"/>
      <c r="I22" s="24">
        <v>1372</v>
      </c>
      <c r="J22" s="8"/>
      <c r="K22" s="24">
        <v>1388</v>
      </c>
      <c r="L22" s="8"/>
      <c r="M22" s="24">
        <v>1405</v>
      </c>
      <c r="N22" s="8"/>
      <c r="O22" s="24">
        <v>1423</v>
      </c>
      <c r="P22" s="8"/>
      <c r="Q22" s="24">
        <v>1437</v>
      </c>
      <c r="R22" s="8"/>
      <c r="S22" s="24">
        <v>1449</v>
      </c>
      <c r="T22" s="8"/>
      <c r="U22" s="24">
        <v>1460</v>
      </c>
      <c r="V22" s="8"/>
      <c r="W22" s="24">
        <v>1471</v>
      </c>
      <c r="X22" s="8"/>
      <c r="Y22" s="24">
        <v>1475</v>
      </c>
      <c r="Z22" s="8"/>
      <c r="AA22" s="24">
        <v>1477</v>
      </c>
      <c r="AB22" s="8"/>
      <c r="AC22" s="8"/>
      <c r="AE22" s="8"/>
      <c r="AG22" s="8"/>
    </row>
    <row r="23" ht="12" customHeight="1">
      <c r="A23" s="8" t="s">
        <v>107</v>
      </c>
      <c r="B23" s="8" t="s">
        <v>283</v>
      </c>
      <c r="C23" s="24">
        <v>1387</v>
      </c>
      <c r="D23" s="8"/>
      <c r="E23" s="24">
        <v>1386</v>
      </c>
      <c r="F23" s="8"/>
      <c r="G23" s="24">
        <v>1411</v>
      </c>
      <c r="H23" s="8"/>
      <c r="I23" s="24">
        <v>1419</v>
      </c>
      <c r="J23" s="8"/>
      <c r="K23" s="24">
        <v>1426</v>
      </c>
      <c r="L23" s="8"/>
      <c r="M23" s="24">
        <v>1427</v>
      </c>
      <c r="N23" s="8"/>
      <c r="O23" s="24">
        <v>1450</v>
      </c>
      <c r="P23" s="8"/>
      <c r="Q23" s="24">
        <v>1459</v>
      </c>
      <c r="R23" s="8"/>
      <c r="S23" s="24">
        <v>1458</v>
      </c>
      <c r="T23" s="8"/>
      <c r="U23" s="24">
        <v>1464</v>
      </c>
      <c r="V23" s="8"/>
      <c r="W23" s="24">
        <v>1468</v>
      </c>
      <c r="X23" s="8"/>
      <c r="Y23" s="24">
        <v>1478</v>
      </c>
      <c r="Z23" s="8"/>
      <c r="AA23" s="24">
        <v>1489</v>
      </c>
      <c r="AB23" s="8"/>
      <c r="AC23" s="8"/>
      <c r="AE23" s="8"/>
      <c r="AG23" s="8"/>
    </row>
    <row r="24" ht="12" customHeight="1">
      <c r="A24" s="8" t="s">
        <v>109</v>
      </c>
      <c r="B24" s="8" t="s">
        <v>284</v>
      </c>
      <c r="C24" s="24">
        <v>1512</v>
      </c>
      <c r="D24" s="8"/>
      <c r="E24" s="24">
        <v>1513</v>
      </c>
      <c r="F24" s="8"/>
      <c r="G24" s="24">
        <v>1514</v>
      </c>
      <c r="H24" s="8"/>
      <c r="I24" s="24">
        <v>1661</v>
      </c>
      <c r="J24" s="8"/>
      <c r="K24" s="24">
        <v>1662</v>
      </c>
      <c r="L24" s="8"/>
      <c r="M24" s="24">
        <v>1662</v>
      </c>
      <c r="N24" s="8"/>
      <c r="O24" s="24">
        <v>1663</v>
      </c>
      <c r="P24" s="8"/>
      <c r="Q24" s="24">
        <v>1867</v>
      </c>
      <c r="R24" s="8"/>
      <c r="S24" s="24">
        <v>1869</v>
      </c>
      <c r="T24" s="8"/>
      <c r="U24" s="24">
        <v>1869</v>
      </c>
      <c r="V24" s="8"/>
      <c r="W24" s="24">
        <v>1869</v>
      </c>
      <c r="X24" s="8"/>
      <c r="Y24" s="24">
        <v>2019</v>
      </c>
      <c r="Z24" s="8"/>
      <c r="AA24" s="24">
        <v>2019</v>
      </c>
      <c r="AB24" s="8"/>
      <c r="AC24" s="8"/>
      <c r="AE24" s="8"/>
      <c r="AG24" s="8"/>
    </row>
    <row r="25" ht="12" customHeight="1">
      <c r="A25" s="8" t="s">
        <v>111</v>
      </c>
      <c r="B25" s="8" t="s">
        <v>285</v>
      </c>
      <c r="C25" s="24">
        <v>1541</v>
      </c>
      <c r="D25" s="8"/>
      <c r="E25" s="24">
        <v>1541</v>
      </c>
      <c r="F25" s="8"/>
      <c r="G25" s="24">
        <v>1541</v>
      </c>
      <c r="H25" s="8"/>
      <c r="I25" s="24">
        <v>1695</v>
      </c>
      <c r="J25" s="8"/>
      <c r="K25" s="24">
        <v>1695</v>
      </c>
      <c r="L25" s="8"/>
      <c r="M25" s="24">
        <v>1695</v>
      </c>
      <c r="N25" s="8"/>
      <c r="O25" s="24">
        <v>1695</v>
      </c>
      <c r="P25" s="8"/>
      <c r="Q25" s="24">
        <v>1910</v>
      </c>
      <c r="R25" s="8"/>
      <c r="S25" s="24">
        <v>1910</v>
      </c>
      <c r="T25" s="8"/>
      <c r="U25" s="24">
        <v>1910</v>
      </c>
      <c r="V25" s="8"/>
      <c r="W25" s="24">
        <v>1910</v>
      </c>
      <c r="X25" s="8"/>
      <c r="Y25" s="24">
        <v>2079</v>
      </c>
      <c r="Z25" s="8"/>
      <c r="AA25" s="24">
        <v>2079</v>
      </c>
      <c r="AB25" s="8"/>
      <c r="AC25" s="8"/>
      <c r="AE25" s="8"/>
      <c r="AG25" s="8"/>
    </row>
    <row r="26" ht="12" customHeight="1">
      <c r="A26" s="8" t="s">
        <v>113</v>
      </c>
      <c r="B26" s="8" t="s">
        <v>286</v>
      </c>
      <c r="C26" s="24">
        <v>1104</v>
      </c>
      <c r="D26" s="8"/>
      <c r="E26" s="24">
        <v>1128</v>
      </c>
      <c r="F26" s="8"/>
      <c r="G26" s="24">
        <v>1158</v>
      </c>
      <c r="H26" s="8"/>
      <c r="I26" s="24">
        <v>1145</v>
      </c>
      <c r="J26" s="8"/>
      <c r="K26" s="24">
        <v>1166</v>
      </c>
      <c r="L26" s="8"/>
      <c r="M26" s="24">
        <v>1171</v>
      </c>
      <c r="N26" s="8"/>
      <c r="O26" s="24">
        <v>1203</v>
      </c>
      <c r="P26" s="8"/>
      <c r="Q26" s="24">
        <v>1213</v>
      </c>
      <c r="R26" s="8"/>
      <c r="S26" s="24">
        <v>1223</v>
      </c>
      <c r="T26" s="8"/>
      <c r="U26" s="24">
        <v>1251</v>
      </c>
      <c r="V26" s="8"/>
      <c r="W26" s="24">
        <v>1311</v>
      </c>
      <c r="X26" s="8"/>
      <c r="Y26" s="24">
        <v>1350</v>
      </c>
      <c r="Z26" s="8"/>
      <c r="AA26" s="24">
        <v>1371</v>
      </c>
      <c r="AB26" s="8"/>
      <c r="AC26" s="8"/>
      <c r="AE26" s="8"/>
      <c r="AG26" s="8"/>
    </row>
    <row r="27" ht="12" customHeight="1">
      <c r="A27" s="8" t="s">
        <v>115</v>
      </c>
      <c r="B27" s="8" t="s">
        <v>287</v>
      </c>
      <c r="C27" s="24">
        <v>1091</v>
      </c>
      <c r="D27" s="8"/>
      <c r="E27" s="24">
        <v>1113</v>
      </c>
      <c r="F27" s="8"/>
      <c r="G27" s="24">
        <v>1143</v>
      </c>
      <c r="H27" s="8"/>
      <c r="I27" s="24">
        <v>1124</v>
      </c>
      <c r="J27" s="8"/>
      <c r="K27" s="24">
        <v>1144</v>
      </c>
      <c r="L27" s="8"/>
      <c r="M27" s="24">
        <v>1149</v>
      </c>
      <c r="N27" s="8"/>
      <c r="O27" s="24">
        <v>1182</v>
      </c>
      <c r="P27" s="8"/>
      <c r="Q27" s="24">
        <v>1190</v>
      </c>
      <c r="R27" s="8"/>
      <c r="S27" s="24">
        <v>1197</v>
      </c>
      <c r="T27" s="8"/>
      <c r="U27" s="24">
        <v>1223</v>
      </c>
      <c r="V27" s="8"/>
      <c r="W27" s="24">
        <v>1285</v>
      </c>
      <c r="X27" s="8"/>
      <c r="Y27" s="24">
        <v>1326</v>
      </c>
      <c r="Z27" s="8"/>
      <c r="AA27" s="24">
        <v>1342</v>
      </c>
      <c r="AB27" s="8"/>
      <c r="AC27" s="8"/>
      <c r="AE27" s="8"/>
      <c r="AG27" s="8"/>
    </row>
    <row r="28" ht="12" customHeight="1">
      <c r="A28" s="11" t="s">
        <v>117</v>
      </c>
      <c r="B28" s="8" t="s">
        <v>288</v>
      </c>
      <c r="C28" s="24">
        <v>1189</v>
      </c>
      <c r="D28" s="8"/>
      <c r="E28" s="24">
        <v>1174</v>
      </c>
      <c r="F28" s="8"/>
      <c r="G28" s="24">
        <v>1211</v>
      </c>
      <c r="H28" s="8"/>
      <c r="I28" s="24">
        <v>1193</v>
      </c>
      <c r="J28" s="8"/>
      <c r="K28" s="24">
        <v>1202</v>
      </c>
      <c r="L28" s="8"/>
      <c r="M28" s="24">
        <v>1173</v>
      </c>
      <c r="N28" s="8"/>
      <c r="O28" s="24">
        <v>1176</v>
      </c>
      <c r="P28" s="8"/>
      <c r="Q28" s="24">
        <v>1178</v>
      </c>
      <c r="R28" s="8"/>
      <c r="S28" s="24">
        <v>1180</v>
      </c>
      <c r="T28" s="8"/>
      <c r="U28" s="24">
        <v>1173</v>
      </c>
      <c r="V28" s="8"/>
      <c r="W28" s="24">
        <v>1178</v>
      </c>
      <c r="X28" s="8"/>
      <c r="Y28" s="24">
        <v>1168</v>
      </c>
      <c r="Z28" s="8"/>
      <c r="AA28" s="24">
        <v>1172</v>
      </c>
      <c r="AB28" s="8"/>
      <c r="AC28" s="8"/>
      <c r="AE28" s="8"/>
      <c r="AG28" s="8"/>
    </row>
    <row r="29" ht="12" customHeight="1">
      <c r="A29" s="8" t="s">
        <v>119</v>
      </c>
      <c r="B29" s="8" t="s">
        <v>289</v>
      </c>
      <c r="C29" s="24">
        <v>1319</v>
      </c>
      <c r="D29" s="8"/>
      <c r="E29" s="24">
        <v>1256</v>
      </c>
      <c r="F29" s="8"/>
      <c r="G29" s="24">
        <v>1309</v>
      </c>
      <c r="H29" s="8"/>
      <c r="I29" s="24">
        <v>1277</v>
      </c>
      <c r="J29" s="8"/>
      <c r="K29" s="24">
        <v>1282</v>
      </c>
      <c r="L29" s="8"/>
      <c r="M29" s="24">
        <v>1197</v>
      </c>
      <c r="N29" s="8"/>
      <c r="O29" s="24">
        <v>1210</v>
      </c>
      <c r="P29" s="8"/>
      <c r="Q29" s="24">
        <v>1242</v>
      </c>
      <c r="R29" s="8"/>
      <c r="S29" s="24">
        <v>1255</v>
      </c>
      <c r="T29" s="8"/>
      <c r="U29" s="24">
        <v>1240</v>
      </c>
      <c r="V29" s="8"/>
      <c r="W29" s="24">
        <v>1219</v>
      </c>
      <c r="X29" s="8"/>
      <c r="Y29" s="24">
        <v>1194</v>
      </c>
      <c r="Z29" s="8"/>
      <c r="AA29" s="24">
        <v>1245</v>
      </c>
      <c r="AB29" s="8"/>
      <c r="AC29" s="8"/>
      <c r="AE29" s="8"/>
      <c r="AG29" s="8"/>
    </row>
    <row r="30" ht="12" customHeight="1">
      <c r="A30" s="8" t="s">
        <v>121</v>
      </c>
      <c r="B30" s="8" t="s">
        <v>290</v>
      </c>
      <c r="C30" s="24">
        <v>1159</v>
      </c>
      <c r="D30" s="8"/>
      <c r="E30" s="24">
        <v>1167</v>
      </c>
      <c r="F30" s="8"/>
      <c r="G30" s="24">
        <v>1185</v>
      </c>
      <c r="H30" s="8"/>
      <c r="I30" s="24">
        <v>1168</v>
      </c>
      <c r="J30" s="8"/>
      <c r="K30" s="24">
        <v>1209</v>
      </c>
      <c r="L30" s="8"/>
      <c r="M30" s="24">
        <v>1163</v>
      </c>
      <c r="N30" s="8"/>
      <c r="O30" s="24">
        <v>1334</v>
      </c>
      <c r="P30" s="8"/>
      <c r="Q30" s="24">
        <v>1246</v>
      </c>
      <c r="R30" s="8"/>
      <c r="S30" s="24">
        <v>1164</v>
      </c>
      <c r="T30" s="8"/>
      <c r="U30" s="24">
        <v>1214</v>
      </c>
      <c r="V30" s="8"/>
      <c r="W30" s="24">
        <v>1259</v>
      </c>
      <c r="X30" s="8"/>
      <c r="Y30" s="24">
        <v>1246</v>
      </c>
      <c r="Z30" s="8"/>
      <c r="AA30" s="24">
        <v>1221</v>
      </c>
      <c r="AB30" s="8"/>
      <c r="AC30" s="8"/>
      <c r="AE30" s="8"/>
      <c r="AG30" s="8"/>
    </row>
    <row r="31" ht="12" customHeight="1">
      <c r="A31" s="8" t="s">
        <v>123</v>
      </c>
      <c r="B31" s="8" t="s">
        <v>291</v>
      </c>
      <c r="C31" s="24">
        <v>1120</v>
      </c>
      <c r="D31" s="8"/>
      <c r="E31" s="24">
        <v>1115</v>
      </c>
      <c r="F31" s="8"/>
      <c r="G31" s="24">
        <v>1156</v>
      </c>
      <c r="H31" s="8"/>
      <c r="I31" s="24">
        <v>1135</v>
      </c>
      <c r="J31" s="8"/>
      <c r="K31" s="24">
        <v>1126</v>
      </c>
      <c r="L31" s="8"/>
      <c r="M31" s="24">
        <v>1107</v>
      </c>
      <c r="N31" s="8"/>
      <c r="O31" s="24">
        <v>1094</v>
      </c>
      <c r="P31" s="8"/>
      <c r="Q31" s="24">
        <v>1071</v>
      </c>
      <c r="R31" s="8"/>
      <c r="S31" s="24">
        <v>1087</v>
      </c>
      <c r="T31" s="8"/>
      <c r="U31" s="24">
        <v>1070</v>
      </c>
      <c r="V31" s="8"/>
      <c r="W31" s="24">
        <v>1076</v>
      </c>
      <c r="X31" s="8"/>
      <c r="Y31" s="24">
        <v>1071</v>
      </c>
      <c r="Z31" s="8"/>
      <c r="AA31" s="24">
        <v>1070</v>
      </c>
      <c r="AB31" s="8"/>
      <c r="AC31" s="8"/>
      <c r="AE31" s="8"/>
      <c r="AG31" s="8"/>
    </row>
    <row r="32" ht="12" customHeight="1">
      <c r="A32" s="8" t="s">
        <v>125</v>
      </c>
      <c r="B32" s="8" t="s">
        <v>292</v>
      </c>
      <c r="C32" s="24">
        <v>1180</v>
      </c>
      <c r="D32" s="8"/>
      <c r="E32" s="24">
        <v>1108</v>
      </c>
      <c r="F32" s="8"/>
      <c r="G32" s="24">
        <v>1137</v>
      </c>
      <c r="H32" s="8"/>
      <c r="I32" s="24">
        <v>1118</v>
      </c>
      <c r="J32" s="8"/>
      <c r="K32" s="24">
        <v>1199</v>
      </c>
      <c r="L32" s="8"/>
      <c r="M32" s="24">
        <v>1179</v>
      </c>
      <c r="N32" s="8"/>
      <c r="O32" s="24">
        <v>1154</v>
      </c>
      <c r="P32" s="8"/>
      <c r="Q32" s="24">
        <v>1136</v>
      </c>
      <c r="R32" s="8"/>
      <c r="S32" s="24">
        <v>1168</v>
      </c>
      <c r="T32" s="8"/>
      <c r="U32" s="24">
        <v>1189</v>
      </c>
      <c r="V32" s="8"/>
      <c r="W32" s="24">
        <v>1173</v>
      </c>
      <c r="X32" s="8"/>
      <c r="Y32" s="24">
        <v>1162</v>
      </c>
      <c r="Z32" s="8"/>
      <c r="AA32" s="24">
        <v>1135</v>
      </c>
      <c r="AB32" s="8"/>
      <c r="AC32" s="8"/>
      <c r="AE32" s="8"/>
      <c r="AG32" s="8"/>
    </row>
    <row r="33" ht="12" customHeight="1">
      <c r="A33" s="8" t="s">
        <v>127</v>
      </c>
      <c r="B33" s="8" t="s">
        <v>293</v>
      </c>
      <c r="C33" s="24">
        <v>1122</v>
      </c>
      <c r="D33" s="8"/>
      <c r="E33" s="24">
        <v>1132</v>
      </c>
      <c r="F33" s="8"/>
      <c r="G33" s="24">
        <v>1159</v>
      </c>
      <c r="H33" s="8"/>
      <c r="I33" s="24">
        <v>1163</v>
      </c>
      <c r="J33" s="8"/>
      <c r="K33" s="24">
        <v>1165</v>
      </c>
      <c r="L33" s="8"/>
      <c r="M33" s="24">
        <v>1167</v>
      </c>
      <c r="N33" s="8"/>
      <c r="O33" s="24">
        <v>1125</v>
      </c>
      <c r="P33" s="8"/>
      <c r="Q33" s="24">
        <v>1127</v>
      </c>
      <c r="R33" s="8"/>
      <c r="S33" s="24">
        <v>1140</v>
      </c>
      <c r="T33" s="8"/>
      <c r="U33" s="24">
        <v>1128</v>
      </c>
      <c r="V33" s="8"/>
      <c r="W33" s="24">
        <v>1131</v>
      </c>
      <c r="X33" s="8"/>
      <c r="Y33" s="24">
        <v>1129</v>
      </c>
      <c r="Z33" s="8"/>
      <c r="AA33" s="24">
        <v>1106</v>
      </c>
      <c r="AB33" s="8"/>
      <c r="AC33" s="8"/>
      <c r="AE33" s="8"/>
      <c r="AG33" s="8"/>
    </row>
    <row r="34" ht="12" customHeight="1">
      <c r="A34" s="8" t="s">
        <v>129</v>
      </c>
      <c r="B34" s="8" t="s">
        <v>294</v>
      </c>
      <c r="C34" s="24">
        <v>1159</v>
      </c>
      <c r="D34" s="8"/>
      <c r="E34" s="24">
        <v>1189</v>
      </c>
      <c r="F34" s="8"/>
      <c r="G34" s="24">
        <v>1219</v>
      </c>
      <c r="H34" s="8"/>
      <c r="I34" s="24">
        <v>1208</v>
      </c>
      <c r="J34" s="8"/>
      <c r="K34" s="24">
        <v>1200</v>
      </c>
      <c r="L34" s="8"/>
      <c r="M34" s="24">
        <v>1207</v>
      </c>
      <c r="N34" s="8"/>
      <c r="O34" s="24">
        <v>1211</v>
      </c>
      <c r="P34" s="8"/>
      <c r="Q34" s="24">
        <v>1229</v>
      </c>
      <c r="R34" s="8"/>
      <c r="S34" s="24">
        <v>1212</v>
      </c>
      <c r="T34" s="8"/>
      <c r="U34" s="24">
        <v>1200</v>
      </c>
      <c r="V34" s="8"/>
      <c r="W34" s="24">
        <v>1218</v>
      </c>
      <c r="X34" s="8"/>
      <c r="Y34" s="24">
        <v>1213</v>
      </c>
      <c r="Z34" s="8"/>
      <c r="AA34" s="24">
        <v>1210</v>
      </c>
      <c r="AB34" s="8"/>
      <c r="AC34" s="8"/>
      <c r="AE34" s="8"/>
      <c r="AG34" s="8"/>
    </row>
    <row r="35" ht="12" customHeight="1">
      <c r="A35" s="11" t="s">
        <v>131</v>
      </c>
      <c r="B35" s="8" t="s">
        <v>295</v>
      </c>
      <c r="C35" s="24">
        <v>1172</v>
      </c>
      <c r="D35" s="8"/>
      <c r="E35" s="24">
        <v>1177</v>
      </c>
      <c r="F35" s="8"/>
      <c r="G35" s="24">
        <v>1193</v>
      </c>
      <c r="H35" s="8"/>
      <c r="I35" s="24">
        <v>1150</v>
      </c>
      <c r="J35" s="8"/>
      <c r="K35" s="24">
        <v>1174</v>
      </c>
      <c r="L35" s="8"/>
      <c r="M35" s="24">
        <v>1201</v>
      </c>
      <c r="N35" s="8"/>
      <c r="O35" s="24">
        <v>1202</v>
      </c>
      <c r="P35" s="8"/>
      <c r="Q35" s="24">
        <v>1275</v>
      </c>
      <c r="R35" s="8"/>
      <c r="S35" s="24">
        <v>1264</v>
      </c>
      <c r="T35" s="8"/>
      <c r="U35" s="24">
        <v>1269</v>
      </c>
      <c r="V35" s="8"/>
      <c r="W35" s="24">
        <v>1268</v>
      </c>
      <c r="X35" s="8"/>
      <c r="Y35" s="24">
        <v>1266</v>
      </c>
      <c r="Z35" s="8"/>
      <c r="AA35" s="24">
        <v>1259</v>
      </c>
      <c r="AB35" s="8"/>
      <c r="AC35" s="8"/>
      <c r="AE35" s="8"/>
      <c r="AG35" s="8"/>
    </row>
    <row r="36" ht="12" customHeight="1">
      <c r="A36" s="8" t="s">
        <v>133</v>
      </c>
      <c r="B36" s="8" t="s">
        <v>296</v>
      </c>
      <c r="C36" s="24">
        <v>1056</v>
      </c>
      <c r="D36" s="8"/>
      <c r="E36" s="24">
        <v>1062</v>
      </c>
      <c r="F36" s="8"/>
      <c r="G36" s="24">
        <v>1076</v>
      </c>
      <c r="H36" s="8"/>
      <c r="I36" s="24">
        <v>896</v>
      </c>
      <c r="J36" s="8"/>
      <c r="K36" s="24">
        <v>901</v>
      </c>
      <c r="L36" s="8"/>
      <c r="M36" s="24">
        <v>901</v>
      </c>
      <c r="N36" s="8"/>
      <c r="O36" s="24">
        <v>901</v>
      </c>
      <c r="P36" s="8"/>
      <c r="Q36" s="24">
        <v>1100</v>
      </c>
      <c r="R36" s="8"/>
      <c r="S36" s="24">
        <v>1037</v>
      </c>
      <c r="T36" s="8"/>
      <c r="U36" s="24">
        <v>1039</v>
      </c>
      <c r="V36" s="8"/>
      <c r="W36" s="24">
        <v>1034</v>
      </c>
      <c r="X36" s="8"/>
      <c r="Y36" s="24">
        <v>1002</v>
      </c>
      <c r="Z36" s="8"/>
      <c r="AA36" s="24">
        <v>975</v>
      </c>
      <c r="AB36" s="8"/>
      <c r="AC36" s="8"/>
      <c r="AE36" s="8"/>
      <c r="AG36" s="8"/>
    </row>
    <row r="37" ht="12" customHeight="1">
      <c r="A37" s="8" t="s">
        <v>135</v>
      </c>
      <c r="B37" s="8" t="s">
        <v>297</v>
      </c>
      <c r="C37" s="24">
        <v>1216</v>
      </c>
      <c r="D37" s="8"/>
      <c r="E37" s="24">
        <v>1221</v>
      </c>
      <c r="F37" s="8"/>
      <c r="G37" s="24">
        <v>1237</v>
      </c>
      <c r="H37" s="8"/>
      <c r="I37" s="24">
        <v>1251</v>
      </c>
      <c r="J37" s="8"/>
      <c r="K37" s="24">
        <v>1282</v>
      </c>
      <c r="L37" s="8"/>
      <c r="M37" s="24">
        <v>1322</v>
      </c>
      <c r="N37" s="8"/>
      <c r="O37" s="24">
        <v>1323</v>
      </c>
      <c r="P37" s="8"/>
      <c r="Q37" s="24">
        <v>1340</v>
      </c>
      <c r="R37" s="8"/>
      <c r="S37" s="24">
        <v>1352</v>
      </c>
      <c r="T37" s="8"/>
      <c r="U37" s="24">
        <v>1358</v>
      </c>
      <c r="V37" s="8"/>
      <c r="W37" s="24">
        <v>1361</v>
      </c>
      <c r="X37" s="8"/>
      <c r="Y37" s="24">
        <v>1382</v>
      </c>
      <c r="Z37" s="8"/>
      <c r="AA37" s="24">
        <v>1392</v>
      </c>
      <c r="AB37" s="8"/>
      <c r="AC37" s="8"/>
      <c r="AE37" s="8"/>
      <c r="AG37" s="8"/>
    </row>
    <row r="38" ht="12" customHeight="1">
      <c r="A38" s="8" t="s">
        <v>137</v>
      </c>
      <c r="B38" s="8" t="s">
        <v>298</v>
      </c>
      <c r="C38" s="24">
        <v>1390</v>
      </c>
      <c r="D38" s="8"/>
      <c r="E38" s="24">
        <v>1413</v>
      </c>
      <c r="F38" s="8"/>
      <c r="G38" s="24">
        <v>1444</v>
      </c>
      <c r="H38" s="8"/>
      <c r="I38" s="24">
        <v>1503</v>
      </c>
      <c r="J38" s="8"/>
      <c r="K38" s="24">
        <v>1578</v>
      </c>
      <c r="L38" s="8"/>
      <c r="M38" s="24">
        <v>1603</v>
      </c>
      <c r="N38" s="8"/>
      <c r="O38" s="24">
        <v>1611</v>
      </c>
      <c r="P38" s="8"/>
      <c r="Q38" s="24">
        <v>1736</v>
      </c>
      <c r="R38" s="8"/>
      <c r="S38" s="24">
        <v>1759</v>
      </c>
      <c r="T38" s="8"/>
      <c r="U38" s="24">
        <v>1761</v>
      </c>
      <c r="V38" s="8"/>
      <c r="W38" s="24">
        <v>1776</v>
      </c>
      <c r="X38" s="8"/>
      <c r="Y38" s="24">
        <v>1802</v>
      </c>
      <c r="Z38" s="8"/>
      <c r="AA38" s="24">
        <v>1821</v>
      </c>
      <c r="AB38" s="8"/>
      <c r="AC38" s="8"/>
      <c r="AE38" s="8"/>
      <c r="AG38" s="8"/>
    </row>
    <row r="39" ht="12" customHeight="1">
      <c r="A39" s="11" t="s">
        <v>139</v>
      </c>
      <c r="B39" s="8" t="s">
        <v>299</v>
      </c>
      <c r="C39" s="24">
        <v>1155</v>
      </c>
      <c r="D39" s="8"/>
      <c r="E39" s="24">
        <v>1136</v>
      </c>
      <c r="F39" s="8"/>
      <c r="G39" s="24">
        <v>1124</v>
      </c>
      <c r="H39" s="8"/>
      <c r="I39" s="24">
        <v>1224</v>
      </c>
      <c r="J39" s="8"/>
      <c r="K39" s="24">
        <v>1221</v>
      </c>
      <c r="L39" s="8"/>
      <c r="M39" s="24">
        <v>1198</v>
      </c>
      <c r="N39" s="8"/>
      <c r="O39" s="24">
        <v>1204</v>
      </c>
      <c r="P39" s="8"/>
      <c r="Q39" s="24">
        <v>1173</v>
      </c>
      <c r="R39" s="8"/>
      <c r="S39" s="24">
        <v>1180</v>
      </c>
      <c r="T39" s="8"/>
      <c r="U39" s="24">
        <v>1201</v>
      </c>
      <c r="V39" s="8"/>
      <c r="W39" s="24">
        <v>1184</v>
      </c>
      <c r="X39" s="8"/>
      <c r="Y39" s="24">
        <v>1189</v>
      </c>
      <c r="Z39" s="8"/>
      <c r="AA39" s="24">
        <v>1212</v>
      </c>
      <c r="AB39" s="8"/>
      <c r="AC39" s="8"/>
      <c r="AE39" s="8"/>
      <c r="AG39" s="8"/>
    </row>
    <row r="40" ht="12" customHeight="1">
      <c r="A40" s="8" t="s">
        <v>141</v>
      </c>
      <c r="B40" s="8" t="s">
        <v>300</v>
      </c>
      <c r="C40" s="24">
        <v>1116</v>
      </c>
      <c r="D40" s="8"/>
      <c r="E40" s="24">
        <v>1127</v>
      </c>
      <c r="F40" s="8"/>
      <c r="G40" s="24">
        <v>1141</v>
      </c>
      <c r="H40" s="8"/>
      <c r="I40" s="24">
        <v>1170</v>
      </c>
      <c r="J40" s="8"/>
      <c r="K40" s="24">
        <v>1145</v>
      </c>
      <c r="L40" s="8"/>
      <c r="M40" s="24">
        <v>1131</v>
      </c>
      <c r="N40" s="8"/>
      <c r="O40" s="24">
        <v>1097</v>
      </c>
      <c r="P40" s="8"/>
      <c r="Q40" s="24">
        <v>1076</v>
      </c>
      <c r="R40" s="8"/>
      <c r="S40" s="24">
        <v>1100</v>
      </c>
      <c r="T40" s="8"/>
      <c r="U40" s="24">
        <v>1103</v>
      </c>
      <c r="V40" s="8"/>
      <c r="W40" s="24">
        <v>1115</v>
      </c>
      <c r="X40" s="8"/>
      <c r="Y40" s="24">
        <v>1113</v>
      </c>
      <c r="Z40" s="8"/>
      <c r="AA40" s="24">
        <v>1116</v>
      </c>
      <c r="AB40" s="8"/>
      <c r="AC40" s="8"/>
      <c r="AE40" s="8"/>
      <c r="AG40" s="8"/>
    </row>
    <row r="41" ht="12" customHeight="1">
      <c r="A41" s="8" t="s">
        <v>143</v>
      </c>
      <c r="B41" s="8" t="s">
        <v>301</v>
      </c>
      <c r="C41" s="24">
        <v>1137</v>
      </c>
      <c r="D41" s="8"/>
      <c r="E41" s="24">
        <v>1114</v>
      </c>
      <c r="F41" s="8"/>
      <c r="G41" s="24">
        <v>1100</v>
      </c>
      <c r="H41" s="8"/>
      <c r="I41" s="24">
        <v>1234</v>
      </c>
      <c r="J41" s="8"/>
      <c r="K41" s="24">
        <v>1241</v>
      </c>
      <c r="L41" s="8"/>
      <c r="M41" s="24">
        <v>1221</v>
      </c>
      <c r="N41" s="8"/>
      <c r="O41" s="24">
        <v>1247</v>
      </c>
      <c r="P41" s="8"/>
      <c r="Q41" s="24">
        <v>1197</v>
      </c>
      <c r="R41" s="8"/>
      <c r="S41" s="24">
        <v>1187</v>
      </c>
      <c r="T41" s="8"/>
      <c r="U41" s="24">
        <v>1224</v>
      </c>
      <c r="V41" s="8"/>
      <c r="W41" s="24">
        <v>1203</v>
      </c>
      <c r="X41" s="8"/>
      <c r="Y41" s="24">
        <v>1207</v>
      </c>
      <c r="Z41" s="8"/>
      <c r="AA41" s="24">
        <v>1228</v>
      </c>
      <c r="AB41" s="8"/>
      <c r="AC41" s="8"/>
      <c r="AE41" s="8"/>
      <c r="AG41" s="8"/>
    </row>
    <row r="42" ht="12" customHeight="1">
      <c r="A42" s="8" t="s">
        <v>145</v>
      </c>
      <c r="B42" s="8" t="s">
        <v>302</v>
      </c>
      <c r="C42" s="24">
        <v>1188</v>
      </c>
      <c r="D42" s="8"/>
      <c r="E42" s="24">
        <v>1158</v>
      </c>
      <c r="F42" s="8"/>
      <c r="G42" s="24">
        <v>1141</v>
      </c>
      <c r="H42" s="8"/>
      <c r="I42" s="24">
        <v>1330</v>
      </c>
      <c r="J42" s="8"/>
      <c r="K42" s="24">
        <v>1330</v>
      </c>
      <c r="L42" s="8"/>
      <c r="M42" s="24">
        <v>1298</v>
      </c>
      <c r="N42" s="8"/>
      <c r="O42" s="24">
        <v>1308</v>
      </c>
      <c r="P42" s="8"/>
      <c r="Q42" s="24">
        <v>1230</v>
      </c>
      <c r="R42" s="8"/>
      <c r="S42" s="24">
        <v>1216</v>
      </c>
      <c r="T42" s="8"/>
      <c r="U42" s="24">
        <v>1272</v>
      </c>
      <c r="V42" s="8"/>
      <c r="W42" s="24">
        <v>1211</v>
      </c>
      <c r="X42" s="8"/>
      <c r="Y42" s="24">
        <v>1212</v>
      </c>
      <c r="Z42" s="8"/>
      <c r="AA42" s="24">
        <v>1243</v>
      </c>
      <c r="AB42" s="8"/>
      <c r="AC42" s="8"/>
      <c r="AE42" s="8"/>
      <c r="AG42" s="8"/>
    </row>
    <row r="43" ht="12" customHeight="1">
      <c r="A43" s="8" t="s">
        <v>147</v>
      </c>
      <c r="B43" s="8" t="s">
        <v>303</v>
      </c>
      <c r="C43" s="24">
        <v>1465</v>
      </c>
      <c r="D43" s="8"/>
      <c r="E43" s="24">
        <v>1398</v>
      </c>
      <c r="F43" s="8"/>
      <c r="G43" s="24">
        <v>1340</v>
      </c>
      <c r="H43" s="8"/>
      <c r="I43" s="24">
        <v>1421</v>
      </c>
      <c r="J43" s="8"/>
      <c r="K43" s="24">
        <v>1411</v>
      </c>
      <c r="L43" s="8"/>
      <c r="M43" s="24">
        <v>1351</v>
      </c>
      <c r="N43" s="8"/>
      <c r="O43" s="24">
        <v>1332</v>
      </c>
      <c r="P43" s="8"/>
      <c r="Q43" s="24">
        <v>1390</v>
      </c>
      <c r="R43" s="8"/>
      <c r="S43" s="24">
        <v>1445</v>
      </c>
      <c r="T43" s="8"/>
      <c r="U43" s="24">
        <v>1415</v>
      </c>
      <c r="V43" s="8"/>
      <c r="W43" s="24">
        <v>1366</v>
      </c>
      <c r="X43" s="8"/>
      <c r="Y43" s="24">
        <v>1390</v>
      </c>
      <c r="Z43" s="8"/>
      <c r="AA43" s="24">
        <v>1465</v>
      </c>
      <c r="AB43" s="8"/>
      <c r="AC43" s="8"/>
      <c r="AE43" s="8"/>
      <c r="AG43" s="8"/>
    </row>
    <row r="44" ht="12" customHeight="1">
      <c r="A44" s="11" t="s">
        <v>149</v>
      </c>
      <c r="B44" s="8" t="s">
        <v>304</v>
      </c>
      <c r="C44" s="24">
        <v>835</v>
      </c>
      <c r="D44" s="8"/>
      <c r="E44" s="24">
        <v>838</v>
      </c>
      <c r="F44" s="8"/>
      <c r="G44" s="24">
        <v>841</v>
      </c>
      <c r="H44" s="8"/>
      <c r="I44" s="24">
        <v>852</v>
      </c>
      <c r="J44" s="8"/>
      <c r="K44" s="24">
        <v>867</v>
      </c>
      <c r="L44" s="8"/>
      <c r="M44" s="24">
        <v>870</v>
      </c>
      <c r="N44" s="8"/>
      <c r="O44" s="24">
        <v>875</v>
      </c>
      <c r="P44" s="8"/>
      <c r="Q44" s="24">
        <v>883</v>
      </c>
      <c r="R44" s="8"/>
      <c r="S44" s="24">
        <v>900</v>
      </c>
      <c r="T44" s="8"/>
      <c r="U44" s="24">
        <v>902</v>
      </c>
      <c r="V44" s="8"/>
      <c r="W44" s="24">
        <v>899</v>
      </c>
      <c r="X44" s="8"/>
      <c r="Y44" s="24">
        <v>901</v>
      </c>
      <c r="Z44" s="8"/>
      <c r="AA44" s="24">
        <v>940</v>
      </c>
      <c r="AB44" s="8"/>
      <c r="AC44" s="8"/>
      <c r="AE44" s="8"/>
      <c r="AG44" s="8"/>
    </row>
    <row r="45" ht="12" customHeight="1">
      <c r="A45" s="8" t="s">
        <v>151</v>
      </c>
      <c r="B45" s="8" t="s">
        <v>305</v>
      </c>
      <c r="C45" s="24">
        <v>1419</v>
      </c>
      <c r="D45" s="8"/>
      <c r="E45" s="24">
        <v>1439</v>
      </c>
      <c r="F45" s="8"/>
      <c r="G45" s="24">
        <v>1421</v>
      </c>
      <c r="H45" s="8"/>
      <c r="I45" s="24">
        <v>1491</v>
      </c>
      <c r="J45" s="8"/>
      <c r="K45" s="24">
        <v>1513</v>
      </c>
      <c r="L45" s="8"/>
      <c r="M45" s="24">
        <v>1481</v>
      </c>
      <c r="N45" s="8"/>
      <c r="O45" s="24">
        <v>1475</v>
      </c>
      <c r="P45" s="8"/>
      <c r="Q45" s="24">
        <v>1492</v>
      </c>
      <c r="R45" s="8"/>
      <c r="S45" s="24">
        <v>1481</v>
      </c>
      <c r="T45" s="8"/>
      <c r="U45" s="24">
        <v>1475</v>
      </c>
      <c r="V45" s="8"/>
      <c r="W45" s="24">
        <v>1489</v>
      </c>
      <c r="X45" s="8"/>
      <c r="Y45" s="24">
        <v>1601</v>
      </c>
      <c r="Z45" s="8"/>
      <c r="AA45" s="24">
        <v>1605</v>
      </c>
      <c r="AB45" s="8"/>
      <c r="AC45" s="8"/>
      <c r="AE45" s="8"/>
      <c r="AG45" s="8"/>
    </row>
    <row r="46" ht="12" customHeight="1">
      <c r="A46" s="8" t="s">
        <v>153</v>
      </c>
      <c r="B46" s="8" t="s">
        <v>306</v>
      </c>
      <c r="C46" s="24">
        <v>288</v>
      </c>
      <c r="D46" s="8"/>
      <c r="E46" s="24">
        <v>292</v>
      </c>
      <c r="F46" s="8"/>
      <c r="G46" s="24">
        <v>263</v>
      </c>
      <c r="H46" s="8"/>
      <c r="I46" s="24">
        <v>247</v>
      </c>
      <c r="J46" s="8"/>
      <c r="K46" s="24">
        <v>286</v>
      </c>
      <c r="L46" s="8"/>
      <c r="M46" s="24">
        <v>278</v>
      </c>
      <c r="N46" s="8"/>
      <c r="O46" s="24">
        <v>301</v>
      </c>
      <c r="P46" s="8"/>
      <c r="Q46" s="24">
        <v>255</v>
      </c>
      <c r="R46" s="8"/>
      <c r="S46" s="24">
        <v>255</v>
      </c>
      <c r="T46" s="8"/>
      <c r="U46" s="24">
        <v>241</v>
      </c>
      <c r="V46" s="8"/>
      <c r="W46" s="24">
        <v>224</v>
      </c>
      <c r="X46" s="8"/>
      <c r="Y46" s="24">
        <v>216</v>
      </c>
      <c r="Z46" s="8"/>
      <c r="AA46" s="24">
        <v>241</v>
      </c>
      <c r="AB46" s="8"/>
      <c r="AC46" s="8"/>
      <c r="AE46" s="8"/>
      <c r="AG46" s="8"/>
    </row>
    <row r="47" ht="12" customHeight="1">
      <c r="A47" s="8" t="s">
        <v>155</v>
      </c>
      <c r="B47" s="8" t="s">
        <v>307</v>
      </c>
      <c r="C47" s="24">
        <v>881</v>
      </c>
      <c r="D47" s="8"/>
      <c r="E47" s="24">
        <v>883</v>
      </c>
      <c r="F47" s="8"/>
      <c r="G47" s="24">
        <v>892</v>
      </c>
      <c r="H47" s="8"/>
      <c r="I47" s="24">
        <v>905</v>
      </c>
      <c r="J47" s="8"/>
      <c r="K47" s="24">
        <v>916</v>
      </c>
      <c r="L47" s="8"/>
      <c r="M47" s="24">
        <v>922</v>
      </c>
      <c r="N47" s="8"/>
      <c r="O47" s="24">
        <v>925</v>
      </c>
      <c r="P47" s="8"/>
      <c r="Q47" s="24">
        <v>939</v>
      </c>
      <c r="R47" s="8"/>
      <c r="S47" s="24">
        <v>960</v>
      </c>
      <c r="T47" s="8"/>
      <c r="U47" s="24">
        <v>976</v>
      </c>
      <c r="V47" s="8"/>
      <c r="W47" s="24">
        <v>989</v>
      </c>
      <c r="X47" s="8"/>
      <c r="Y47" s="24">
        <v>999</v>
      </c>
      <c r="Z47" s="8"/>
      <c r="AA47" s="24">
        <v>1027</v>
      </c>
      <c r="AB47" s="8"/>
      <c r="AC47" s="8"/>
      <c r="AE47" s="8"/>
      <c r="AG47" s="8"/>
    </row>
    <row r="48" ht="12" customHeight="1">
      <c r="A48" s="11" t="s">
        <v>157</v>
      </c>
      <c r="B48" s="8" t="s">
        <v>308</v>
      </c>
      <c r="C48" s="24">
        <v>1108</v>
      </c>
      <c r="D48" s="8"/>
      <c r="E48" s="24">
        <v>1116</v>
      </c>
      <c r="F48" s="8"/>
      <c r="G48" s="24">
        <v>1121</v>
      </c>
      <c r="H48" s="8"/>
      <c r="I48" s="24">
        <v>1134</v>
      </c>
      <c r="J48" s="8"/>
      <c r="K48" s="24">
        <v>1156</v>
      </c>
      <c r="L48" s="8"/>
      <c r="M48" s="24">
        <v>1177</v>
      </c>
      <c r="N48" s="8"/>
      <c r="O48" s="24">
        <v>1151</v>
      </c>
      <c r="P48" s="8"/>
      <c r="Q48" s="24">
        <v>1159</v>
      </c>
      <c r="R48" s="8"/>
      <c r="S48" s="24">
        <v>1188</v>
      </c>
      <c r="T48" s="8"/>
      <c r="U48" s="24">
        <v>1179</v>
      </c>
      <c r="V48" s="8"/>
      <c r="W48" s="24">
        <v>1185</v>
      </c>
      <c r="X48" s="8"/>
      <c r="Y48" s="24">
        <v>1196</v>
      </c>
      <c r="Z48" s="8"/>
      <c r="AA48" s="24">
        <v>1214</v>
      </c>
      <c r="AB48" s="8"/>
      <c r="AC48" s="8"/>
      <c r="AE48" s="8"/>
      <c r="AG48" s="8"/>
    </row>
    <row r="49" ht="12" customHeight="1">
      <c r="A49" s="8" t="s">
        <v>159</v>
      </c>
      <c r="B49" s="8" t="s">
        <v>309</v>
      </c>
      <c r="C49" s="24">
        <v>422</v>
      </c>
      <c r="D49" s="8"/>
      <c r="E49" s="24">
        <v>402</v>
      </c>
      <c r="F49" s="8"/>
      <c r="G49" s="24">
        <v>343</v>
      </c>
      <c r="H49" s="8"/>
      <c r="I49" s="24">
        <v>354</v>
      </c>
      <c r="J49" s="8"/>
      <c r="K49" s="24">
        <v>383</v>
      </c>
      <c r="L49" s="8"/>
      <c r="M49" s="24">
        <v>350</v>
      </c>
      <c r="N49" s="8"/>
      <c r="O49" s="24">
        <v>317</v>
      </c>
      <c r="P49" s="8"/>
      <c r="Q49" s="24">
        <v>328</v>
      </c>
      <c r="R49" s="8"/>
      <c r="S49" s="24">
        <v>353</v>
      </c>
      <c r="T49" s="8"/>
      <c r="U49" s="24">
        <v>327</v>
      </c>
      <c r="V49" s="8"/>
      <c r="W49" s="24">
        <v>282</v>
      </c>
      <c r="X49" s="8"/>
      <c r="Y49" s="24">
        <v>289</v>
      </c>
      <c r="Z49" s="8"/>
      <c r="AA49" s="24">
        <v>314</v>
      </c>
      <c r="AB49" s="8"/>
      <c r="AC49" s="8"/>
      <c r="AE49" s="8"/>
      <c r="AG49" s="8"/>
    </row>
    <row r="50" ht="12" customHeight="1">
      <c r="A50" s="8" t="s">
        <v>161</v>
      </c>
      <c r="B50" s="8" t="s">
        <v>310</v>
      </c>
      <c r="C50" s="24">
        <v>1222</v>
      </c>
      <c r="D50" s="8"/>
      <c r="E50" s="24">
        <v>1219</v>
      </c>
      <c r="F50" s="8"/>
      <c r="G50" s="24">
        <v>1207</v>
      </c>
      <c r="H50" s="8"/>
      <c r="I50" s="24">
        <v>1209</v>
      </c>
      <c r="J50" s="8"/>
      <c r="K50" s="24">
        <v>1173</v>
      </c>
      <c r="L50" s="8"/>
      <c r="M50" s="24">
        <v>1248</v>
      </c>
      <c r="N50" s="8"/>
      <c r="O50" s="24">
        <v>1237</v>
      </c>
      <c r="P50" s="8"/>
      <c r="Q50" s="24">
        <v>1157</v>
      </c>
      <c r="R50" s="8"/>
      <c r="S50" s="24">
        <v>1158</v>
      </c>
      <c r="T50" s="8"/>
      <c r="U50" s="24">
        <v>1167</v>
      </c>
      <c r="V50" s="8"/>
      <c r="W50" s="24">
        <v>1187</v>
      </c>
      <c r="X50" s="8"/>
      <c r="Y50" s="24">
        <v>1183</v>
      </c>
      <c r="Z50" s="8"/>
      <c r="AA50" s="24">
        <v>1192</v>
      </c>
      <c r="AB50" s="8"/>
      <c r="AC50" s="8"/>
      <c r="AE50" s="8"/>
      <c r="AG50" s="8"/>
    </row>
    <row r="51" ht="12" customHeight="1">
      <c r="A51" s="8" t="s">
        <v>163</v>
      </c>
      <c r="B51" s="8" t="s">
        <v>311</v>
      </c>
      <c r="C51" s="24">
        <v>1253</v>
      </c>
      <c r="D51" s="8"/>
      <c r="E51" s="24">
        <v>1261</v>
      </c>
      <c r="F51" s="8"/>
      <c r="G51" s="24">
        <v>1308</v>
      </c>
      <c r="H51" s="8"/>
      <c r="I51" s="24">
        <v>1302</v>
      </c>
      <c r="J51" s="8"/>
      <c r="K51" s="24">
        <v>1310</v>
      </c>
      <c r="L51" s="8"/>
      <c r="M51" s="24">
        <v>1319</v>
      </c>
      <c r="N51" s="8"/>
      <c r="O51" s="24">
        <v>1280</v>
      </c>
      <c r="P51" s="8"/>
      <c r="Q51" s="24">
        <v>1304</v>
      </c>
      <c r="R51" s="8"/>
      <c r="S51" s="24">
        <v>1325</v>
      </c>
      <c r="T51" s="8"/>
      <c r="U51" s="24">
        <v>1307</v>
      </c>
      <c r="V51" s="8"/>
      <c r="W51" s="24">
        <v>1277</v>
      </c>
      <c r="X51" s="8"/>
      <c r="Y51" s="24">
        <v>1295</v>
      </c>
      <c r="Z51" s="8"/>
      <c r="AA51" s="24">
        <v>1307</v>
      </c>
      <c r="AB51" s="8"/>
      <c r="AC51" s="8"/>
      <c r="AE51" s="8"/>
      <c r="AG51" s="8"/>
    </row>
    <row r="52" ht="12" customHeight="1">
      <c r="A52" s="8" t="s">
        <v>165</v>
      </c>
      <c r="B52" s="8" t="s">
        <v>312</v>
      </c>
      <c r="C52" s="24">
        <v>1103</v>
      </c>
      <c r="D52" s="8"/>
      <c r="E52" s="24">
        <v>1118</v>
      </c>
      <c r="F52" s="8"/>
      <c r="G52" s="24">
        <v>1137</v>
      </c>
      <c r="H52" s="8"/>
      <c r="I52" s="24">
        <v>1156</v>
      </c>
      <c r="J52" s="8"/>
      <c r="K52" s="24">
        <v>1186</v>
      </c>
      <c r="L52" s="8"/>
      <c r="M52" s="24">
        <v>1208</v>
      </c>
      <c r="N52" s="8"/>
      <c r="O52" s="24">
        <v>1236</v>
      </c>
      <c r="P52" s="8"/>
      <c r="Q52" s="24">
        <v>1238</v>
      </c>
      <c r="R52" s="8"/>
      <c r="S52" s="24">
        <v>1250</v>
      </c>
      <c r="T52" s="8"/>
      <c r="U52" s="24">
        <v>1254</v>
      </c>
      <c r="V52" s="8"/>
      <c r="W52" s="24">
        <v>1328</v>
      </c>
      <c r="X52" s="8"/>
      <c r="Y52" s="24">
        <v>1334</v>
      </c>
      <c r="Z52" s="8"/>
      <c r="AA52" s="24">
        <v>1335</v>
      </c>
      <c r="AB52" s="8"/>
      <c r="AC52" s="8"/>
      <c r="AE52" s="8"/>
      <c r="AG52" s="8"/>
    </row>
    <row r="53" ht="12" customHeight="1">
      <c r="A53" s="8" t="s">
        <v>167</v>
      </c>
      <c r="B53" s="8" t="s">
        <v>313</v>
      </c>
      <c r="C53" s="24">
        <v>1400</v>
      </c>
      <c r="D53" s="8"/>
      <c r="E53" s="24">
        <v>1409</v>
      </c>
      <c r="F53" s="8"/>
      <c r="G53" s="24">
        <v>1447</v>
      </c>
      <c r="H53" s="8"/>
      <c r="I53" s="24">
        <v>1486</v>
      </c>
      <c r="J53" s="8"/>
      <c r="K53" s="24">
        <v>1492</v>
      </c>
      <c r="L53" s="8"/>
      <c r="M53" s="24">
        <v>1493</v>
      </c>
      <c r="N53" s="8"/>
      <c r="O53" s="24">
        <v>1533</v>
      </c>
      <c r="P53" s="8"/>
      <c r="Q53" s="24">
        <v>1539</v>
      </c>
      <c r="R53" s="8"/>
      <c r="S53" s="24">
        <v>1559</v>
      </c>
      <c r="T53" s="8"/>
      <c r="U53" s="24">
        <v>1549</v>
      </c>
      <c r="V53" s="8"/>
      <c r="W53" s="24">
        <v>1556</v>
      </c>
      <c r="X53" s="8"/>
      <c r="Y53" s="24">
        <v>1588</v>
      </c>
      <c r="Z53" s="8"/>
      <c r="AA53" s="24">
        <v>1607</v>
      </c>
      <c r="AB53" s="8"/>
      <c r="AC53" s="8"/>
      <c r="AE53" s="8"/>
      <c r="AG53" s="8"/>
    </row>
    <row r="54" ht="12" customHeight="1">
      <c r="A54" s="8" t="s">
        <v>169</v>
      </c>
      <c r="B54" s="8" t="s">
        <v>314</v>
      </c>
      <c r="C54" s="24">
        <v>1734</v>
      </c>
      <c r="D54" s="8"/>
      <c r="E54" s="24">
        <v>1775</v>
      </c>
      <c r="F54" s="8"/>
      <c r="G54" s="24">
        <v>1719</v>
      </c>
      <c r="H54" s="8"/>
      <c r="I54" s="24">
        <v>1753</v>
      </c>
      <c r="J54" s="8"/>
      <c r="K54" s="24">
        <v>1785</v>
      </c>
      <c r="L54" s="8"/>
      <c r="M54" s="24">
        <v>1904</v>
      </c>
      <c r="N54" s="8"/>
      <c r="O54" s="24">
        <v>1773</v>
      </c>
      <c r="P54" s="8"/>
      <c r="Q54" s="24">
        <v>1769</v>
      </c>
      <c r="R54" s="8"/>
      <c r="S54" s="24">
        <v>1857</v>
      </c>
      <c r="T54" s="8"/>
      <c r="U54" s="24">
        <v>1899</v>
      </c>
      <c r="V54" s="8"/>
      <c r="W54" s="24">
        <v>1926</v>
      </c>
      <c r="X54" s="8"/>
      <c r="Y54" s="24">
        <v>1933</v>
      </c>
      <c r="Z54" s="8"/>
      <c r="AA54" s="24">
        <v>1994</v>
      </c>
      <c r="AB54" s="8"/>
      <c r="AC54" s="8"/>
      <c r="AE54" s="8"/>
      <c r="AG54" s="8"/>
    </row>
    <row r="55" ht="12" customHeight="1">
      <c r="A55" s="11" t="s">
        <v>171</v>
      </c>
      <c r="B55" s="8" t="s">
        <v>315</v>
      </c>
      <c r="C55" s="24">
        <v>1111</v>
      </c>
      <c r="D55" s="8"/>
      <c r="E55" s="24">
        <v>1130</v>
      </c>
      <c r="F55" s="8"/>
      <c r="G55" s="24">
        <v>1130</v>
      </c>
      <c r="H55" s="8"/>
      <c r="I55" s="24">
        <v>1148</v>
      </c>
      <c r="J55" s="8"/>
      <c r="K55" s="24">
        <v>1148</v>
      </c>
      <c r="L55" s="8"/>
      <c r="M55" s="24">
        <v>1172</v>
      </c>
      <c r="N55" s="8"/>
      <c r="O55" s="24">
        <v>1172</v>
      </c>
      <c r="P55" s="8"/>
      <c r="Q55" s="24">
        <v>1082</v>
      </c>
      <c r="R55" s="8"/>
      <c r="S55" s="24">
        <v>1082</v>
      </c>
      <c r="T55" s="8"/>
      <c r="U55" s="24">
        <v>1148</v>
      </c>
      <c r="V55" s="8"/>
      <c r="W55" s="24">
        <v>1148</v>
      </c>
      <c r="X55" s="8"/>
      <c r="Y55" s="24">
        <v>1157</v>
      </c>
      <c r="Z55" s="8"/>
      <c r="AA55" s="24">
        <v>1157</v>
      </c>
      <c r="AB55" s="8"/>
      <c r="AC55" s="8"/>
      <c r="AE55" s="8"/>
      <c r="AG55" s="8"/>
    </row>
    <row r="56" ht="12" customHeight="1">
      <c r="A56" s="8" t="s">
        <v>173</v>
      </c>
      <c r="B56" s="8" t="s">
        <v>316</v>
      </c>
      <c r="C56" s="24">
        <v>1255</v>
      </c>
      <c r="D56" s="8"/>
      <c r="E56" s="24">
        <v>1255</v>
      </c>
      <c r="F56" s="8"/>
      <c r="G56" s="24">
        <v>1255</v>
      </c>
      <c r="H56" s="8"/>
      <c r="I56" s="24">
        <v>1296</v>
      </c>
      <c r="J56" s="8"/>
      <c r="K56" s="24">
        <v>1296</v>
      </c>
      <c r="L56" s="8"/>
      <c r="M56" s="24">
        <v>1296</v>
      </c>
      <c r="N56" s="8"/>
      <c r="O56" s="24">
        <v>1296</v>
      </c>
      <c r="P56" s="8"/>
      <c r="Q56" s="24">
        <v>1101</v>
      </c>
      <c r="R56" s="8"/>
      <c r="S56" s="24">
        <v>1101</v>
      </c>
      <c r="T56" s="8"/>
      <c r="U56" s="24">
        <v>1101</v>
      </c>
      <c r="V56" s="8"/>
      <c r="W56" s="24">
        <v>1101</v>
      </c>
      <c r="X56" s="8"/>
      <c r="Y56" s="24">
        <v>1128</v>
      </c>
      <c r="Z56" s="8"/>
      <c r="AA56" s="24">
        <v>1128</v>
      </c>
      <c r="AB56" s="8"/>
      <c r="AC56" s="8"/>
      <c r="AE56" s="8"/>
      <c r="AG56" s="8"/>
    </row>
    <row r="57" ht="12" customHeight="1">
      <c r="A57" s="8" t="s">
        <v>175</v>
      </c>
      <c r="B57" s="8" t="s">
        <v>317</v>
      </c>
      <c r="C57" s="24">
        <v>1147</v>
      </c>
      <c r="D57" s="8"/>
      <c r="E57" s="24">
        <v>1148</v>
      </c>
      <c r="F57" s="8"/>
      <c r="G57" s="24">
        <v>1148</v>
      </c>
      <c r="H57" s="8"/>
      <c r="I57" s="24">
        <v>1148</v>
      </c>
      <c r="J57" s="8"/>
      <c r="K57" s="24">
        <v>1148</v>
      </c>
      <c r="L57" s="8"/>
      <c r="M57" s="24">
        <v>1175</v>
      </c>
      <c r="N57" s="8"/>
      <c r="O57" s="24">
        <v>1175</v>
      </c>
      <c r="P57" s="8"/>
      <c r="Q57" s="24">
        <v>1175</v>
      </c>
      <c r="R57" s="8"/>
      <c r="S57" s="24">
        <v>1175</v>
      </c>
      <c r="T57" s="8"/>
      <c r="U57" s="24">
        <v>1223</v>
      </c>
      <c r="V57" s="8"/>
      <c r="W57" s="24">
        <v>1223</v>
      </c>
      <c r="X57" s="8"/>
      <c r="Y57" s="24">
        <v>1223</v>
      </c>
      <c r="Z57" s="8"/>
      <c r="AA57" s="24">
        <v>1223</v>
      </c>
      <c r="AB57" s="8"/>
      <c r="AC57" s="8"/>
      <c r="AE57" s="8"/>
      <c r="AG57" s="8"/>
    </row>
    <row r="58" ht="12" customHeight="1">
      <c r="A58" s="8" t="s">
        <v>177</v>
      </c>
      <c r="B58" s="8" t="s">
        <v>318</v>
      </c>
      <c r="C58" s="24">
        <v>942</v>
      </c>
      <c r="D58" s="8"/>
      <c r="E58" s="24">
        <v>996</v>
      </c>
      <c r="F58" s="8"/>
      <c r="G58" s="24">
        <v>996</v>
      </c>
      <c r="H58" s="8"/>
      <c r="I58" s="24">
        <v>996</v>
      </c>
      <c r="J58" s="8"/>
      <c r="K58" s="24">
        <v>996</v>
      </c>
      <c r="L58" s="8"/>
      <c r="M58" s="24">
        <v>1051</v>
      </c>
      <c r="N58" s="8"/>
      <c r="O58" s="24">
        <v>1051</v>
      </c>
      <c r="P58" s="8"/>
      <c r="Q58" s="24">
        <v>1051</v>
      </c>
      <c r="R58" s="8"/>
      <c r="S58" s="24">
        <v>1051</v>
      </c>
      <c r="T58" s="8"/>
      <c r="U58" s="24">
        <v>1289</v>
      </c>
      <c r="V58" s="8"/>
      <c r="W58" s="24">
        <v>1289</v>
      </c>
      <c r="X58" s="8"/>
      <c r="Y58" s="24">
        <v>1289</v>
      </c>
      <c r="Z58" s="8"/>
      <c r="AA58" s="24">
        <v>1289</v>
      </c>
      <c r="AB58" s="8"/>
      <c r="AC58" s="8"/>
      <c r="AE58" s="8"/>
      <c r="AG58" s="8"/>
    </row>
    <row r="59" ht="12" customHeight="1">
      <c r="A59" s="8" t="s">
        <v>179</v>
      </c>
      <c r="B59" s="8" t="s">
        <v>319</v>
      </c>
      <c r="C59" s="24">
        <v>1089</v>
      </c>
      <c r="D59" s="8"/>
      <c r="E59" s="24">
        <v>1151</v>
      </c>
      <c r="F59" s="8"/>
      <c r="G59" s="24">
        <v>1151</v>
      </c>
      <c r="H59" s="8"/>
      <c r="I59" s="24">
        <v>1151</v>
      </c>
      <c r="J59" s="8"/>
      <c r="K59" s="24">
        <v>1151</v>
      </c>
      <c r="L59" s="8"/>
      <c r="M59" s="24">
        <v>1218</v>
      </c>
      <c r="N59" s="8"/>
      <c r="O59" s="24">
        <v>1218</v>
      </c>
      <c r="P59" s="8"/>
      <c r="Q59" s="24">
        <v>1218</v>
      </c>
      <c r="R59" s="8"/>
      <c r="S59" s="24">
        <v>1218</v>
      </c>
      <c r="T59" s="8"/>
      <c r="U59" s="24">
        <v>1280</v>
      </c>
      <c r="V59" s="8"/>
      <c r="W59" s="24">
        <v>1280</v>
      </c>
      <c r="X59" s="8"/>
      <c r="Y59" s="24">
        <v>1280</v>
      </c>
      <c r="Z59" s="8"/>
      <c r="AA59" s="24">
        <v>1280</v>
      </c>
      <c r="AB59" s="8"/>
      <c r="AC59" s="8"/>
      <c r="AE59" s="8"/>
      <c r="AG59" s="8"/>
    </row>
    <row r="60" ht="12" customHeight="1">
      <c r="A60" s="11" t="s">
        <v>181</v>
      </c>
      <c r="B60" s="8" t="s">
        <v>320</v>
      </c>
      <c r="C60" s="24">
        <v>1254</v>
      </c>
      <c r="D60" s="8"/>
      <c r="E60" s="24">
        <v>1278</v>
      </c>
      <c r="F60" s="8"/>
      <c r="G60" s="24">
        <v>1311</v>
      </c>
      <c r="H60" s="8"/>
      <c r="I60" s="24">
        <v>1334</v>
      </c>
      <c r="J60" s="8"/>
      <c r="K60" s="24">
        <v>1353</v>
      </c>
      <c r="L60" s="8"/>
      <c r="M60" s="24">
        <v>1382</v>
      </c>
      <c r="N60" s="8"/>
      <c r="O60" s="24">
        <v>1408</v>
      </c>
      <c r="P60" s="8"/>
      <c r="Q60" s="24">
        <v>1422</v>
      </c>
      <c r="R60" s="8"/>
      <c r="S60" s="24">
        <v>1437</v>
      </c>
      <c r="T60" s="8"/>
      <c r="U60" s="24">
        <v>1449</v>
      </c>
      <c r="V60" s="8"/>
      <c r="W60" s="24">
        <v>1464</v>
      </c>
      <c r="X60" s="8"/>
      <c r="Y60" s="24">
        <v>1469</v>
      </c>
      <c r="Z60" s="8"/>
      <c r="AA60" s="24">
        <v>1471</v>
      </c>
      <c r="AB60" s="8"/>
      <c r="AC60" s="8"/>
      <c r="AE60" s="8"/>
      <c r="AG60" s="8"/>
    </row>
    <row r="61" ht="12" customHeight="1">
      <c r="A61" s="8" t="s">
        <v>183</v>
      </c>
      <c r="B61" s="8" t="s">
        <v>321</v>
      </c>
      <c r="C61" s="24">
        <v>1086</v>
      </c>
      <c r="D61" s="8"/>
      <c r="E61" s="24">
        <v>1111</v>
      </c>
      <c r="F61" s="8"/>
      <c r="G61" s="24">
        <v>1137</v>
      </c>
      <c r="H61" s="8"/>
      <c r="I61" s="24">
        <v>1133</v>
      </c>
      <c r="J61" s="8"/>
      <c r="K61" s="24">
        <v>1121</v>
      </c>
      <c r="L61" s="8"/>
      <c r="M61" s="24">
        <v>1125</v>
      </c>
      <c r="N61" s="8"/>
      <c r="O61" s="24">
        <v>1122</v>
      </c>
      <c r="P61" s="8"/>
      <c r="Q61" s="24">
        <v>1116</v>
      </c>
      <c r="R61" s="8"/>
      <c r="S61" s="24">
        <v>1116</v>
      </c>
      <c r="T61" s="8"/>
      <c r="U61" s="24">
        <v>1121</v>
      </c>
      <c r="V61" s="8"/>
      <c r="W61" s="24">
        <v>1132</v>
      </c>
      <c r="X61" s="8"/>
      <c r="Y61" s="24">
        <v>1135</v>
      </c>
      <c r="Z61" s="8"/>
      <c r="AA61" s="24">
        <v>1134</v>
      </c>
      <c r="AB61" s="8"/>
      <c r="AC61" s="8"/>
      <c r="AE61" s="8"/>
      <c r="AG61" s="8"/>
    </row>
    <row r="62" ht="12" customHeight="1">
      <c r="A62" s="8" t="s">
        <v>185</v>
      </c>
      <c r="B62" s="8" t="s">
        <v>322</v>
      </c>
      <c r="C62" s="24">
        <v>1212</v>
      </c>
      <c r="D62" s="8"/>
      <c r="E62" s="24">
        <v>1202</v>
      </c>
      <c r="F62" s="8"/>
      <c r="G62" s="24">
        <v>1175</v>
      </c>
      <c r="H62" s="8"/>
      <c r="I62" s="24">
        <v>1177</v>
      </c>
      <c r="J62" s="8"/>
      <c r="K62" s="24">
        <v>1213</v>
      </c>
      <c r="L62" s="8"/>
      <c r="M62" s="24">
        <v>1211</v>
      </c>
      <c r="N62" s="8"/>
      <c r="O62" s="24">
        <v>1222</v>
      </c>
      <c r="P62" s="8"/>
      <c r="Q62" s="24">
        <v>1226</v>
      </c>
      <c r="R62" s="8"/>
      <c r="S62" s="24">
        <v>1239</v>
      </c>
      <c r="T62" s="8"/>
      <c r="U62" s="24">
        <v>1243</v>
      </c>
      <c r="V62" s="8"/>
      <c r="W62" s="24">
        <v>1279</v>
      </c>
      <c r="X62" s="8"/>
      <c r="Y62" s="24">
        <v>1293</v>
      </c>
      <c r="Z62" s="8"/>
      <c r="AA62" s="24">
        <v>1339</v>
      </c>
      <c r="AB62" s="8"/>
      <c r="AC62" s="8"/>
      <c r="AE62" s="8"/>
      <c r="AG62" s="8"/>
    </row>
    <row r="63" ht="12" customHeight="1">
      <c r="A63" s="8" t="s">
        <v>187</v>
      </c>
      <c r="B63" s="8" t="s">
        <v>323</v>
      </c>
      <c r="C63" s="24">
        <v>1333</v>
      </c>
      <c r="D63" s="8"/>
      <c r="E63" s="24">
        <v>1360</v>
      </c>
      <c r="F63" s="8"/>
      <c r="G63" s="24">
        <v>1408</v>
      </c>
      <c r="H63" s="8"/>
      <c r="I63" s="24">
        <v>1461</v>
      </c>
      <c r="J63" s="8"/>
      <c r="K63" s="24">
        <v>1515</v>
      </c>
      <c r="L63" s="8"/>
      <c r="M63" s="24">
        <v>1578</v>
      </c>
      <c r="N63" s="8"/>
      <c r="O63" s="24">
        <v>1634</v>
      </c>
      <c r="P63" s="8"/>
      <c r="Q63" s="24">
        <v>1674</v>
      </c>
      <c r="R63" s="8"/>
      <c r="S63" s="24">
        <v>1708</v>
      </c>
      <c r="T63" s="8"/>
      <c r="U63" s="24">
        <v>1728</v>
      </c>
      <c r="V63" s="8"/>
      <c r="W63" s="24">
        <v>1743</v>
      </c>
      <c r="X63" s="8"/>
      <c r="Y63" s="24">
        <v>1750</v>
      </c>
      <c r="Z63" s="8"/>
      <c r="AA63" s="24">
        <v>1751</v>
      </c>
      <c r="AB63" s="8"/>
      <c r="AC63" s="8"/>
      <c r="AE63" s="8"/>
      <c r="AG63" s="8"/>
    </row>
    <row r="64" ht="12" customHeight="1">
      <c r="A64" s="8" t="s">
        <v>189</v>
      </c>
      <c r="B64" s="8" t="s">
        <v>324</v>
      </c>
      <c r="C64" s="24">
        <v>729</v>
      </c>
      <c r="D64" s="8"/>
      <c r="E64" s="24">
        <v>727</v>
      </c>
      <c r="F64" s="8"/>
      <c r="G64" s="24">
        <v>727</v>
      </c>
      <c r="H64" s="8"/>
      <c r="I64" s="24">
        <v>727</v>
      </c>
      <c r="J64" s="8"/>
      <c r="K64" s="24">
        <v>727</v>
      </c>
      <c r="L64" s="8"/>
      <c r="M64" s="24">
        <v>727</v>
      </c>
      <c r="N64" s="8"/>
      <c r="O64" s="24">
        <v>727</v>
      </c>
      <c r="P64" s="8"/>
      <c r="Q64" s="24">
        <v>712</v>
      </c>
      <c r="R64" s="8"/>
      <c r="S64" s="24">
        <v>709</v>
      </c>
      <c r="T64" s="8"/>
      <c r="U64" s="24">
        <v>709</v>
      </c>
      <c r="V64" s="8"/>
      <c r="W64" s="24">
        <v>704</v>
      </c>
      <c r="X64" s="8"/>
      <c r="Y64" s="24">
        <v>704</v>
      </c>
      <c r="Z64" s="8"/>
      <c r="AA64" s="24">
        <v>704</v>
      </c>
      <c r="AB64" s="8"/>
      <c r="AC64" s="8"/>
      <c r="AE64" s="8"/>
      <c r="AG64" s="8"/>
    </row>
    <row r="65" ht="12" customHeight="1">
      <c r="A65" s="8" t="s">
        <v>191</v>
      </c>
      <c r="B65" s="8" t="s">
        <v>325</v>
      </c>
      <c r="C65" s="24">
        <v>1282</v>
      </c>
      <c r="D65" s="8"/>
      <c r="E65" s="24">
        <v>1295</v>
      </c>
      <c r="F65" s="8"/>
      <c r="G65" s="24">
        <v>1313</v>
      </c>
      <c r="H65" s="8"/>
      <c r="I65" s="24">
        <v>1324</v>
      </c>
      <c r="J65" s="8"/>
      <c r="K65" s="24">
        <v>1328</v>
      </c>
      <c r="L65" s="8"/>
      <c r="M65" s="24">
        <v>1331</v>
      </c>
      <c r="N65" s="8"/>
      <c r="O65" s="24">
        <v>1357</v>
      </c>
      <c r="P65" s="8"/>
      <c r="Q65" s="24">
        <v>1360</v>
      </c>
      <c r="R65" s="8"/>
      <c r="S65" s="24">
        <v>1367</v>
      </c>
      <c r="T65" s="8"/>
      <c r="U65" s="24">
        <v>1370</v>
      </c>
      <c r="V65" s="8"/>
      <c r="W65" s="24">
        <v>1393</v>
      </c>
      <c r="X65" s="8"/>
      <c r="Y65" s="24">
        <v>1397</v>
      </c>
      <c r="Z65" s="8"/>
      <c r="AA65" s="24">
        <v>1398</v>
      </c>
      <c r="AB65" s="8"/>
      <c r="AC65" s="8"/>
      <c r="AE65" s="8"/>
      <c r="AG65" s="8"/>
    </row>
    <row r="66" ht="12" customHeight="1">
      <c r="A66" s="11" t="s">
        <v>193</v>
      </c>
      <c r="B66" s="8" t="s">
        <v>326</v>
      </c>
      <c r="C66" s="24">
        <v>1394</v>
      </c>
      <c r="D66" s="8"/>
      <c r="E66" s="24">
        <v>1490</v>
      </c>
      <c r="F66" s="8"/>
      <c r="G66" s="24">
        <v>1547</v>
      </c>
      <c r="H66" s="8"/>
      <c r="I66" s="24">
        <v>1674</v>
      </c>
      <c r="J66" s="8"/>
      <c r="K66" s="24">
        <v>1832</v>
      </c>
      <c r="L66" s="8"/>
      <c r="M66" s="24">
        <v>1913</v>
      </c>
      <c r="N66" s="8"/>
      <c r="O66" s="24">
        <v>1955</v>
      </c>
      <c r="P66" s="8"/>
      <c r="Q66" s="24">
        <v>1977</v>
      </c>
      <c r="R66" s="8"/>
      <c r="S66" s="24">
        <v>1965</v>
      </c>
      <c r="T66" s="8"/>
      <c r="U66" s="24">
        <v>1929</v>
      </c>
      <c r="V66" s="8"/>
      <c r="W66" s="24">
        <v>1814</v>
      </c>
      <c r="X66" s="8"/>
      <c r="Y66" s="24">
        <v>1706</v>
      </c>
      <c r="Z66" s="8"/>
      <c r="AA66" s="24">
        <v>1641</v>
      </c>
      <c r="AB66" s="8"/>
      <c r="AC66" s="8"/>
      <c r="AE66" s="8"/>
      <c r="AG66" s="8"/>
    </row>
    <row r="67" ht="12" customHeight="1">
      <c r="A67" s="8" t="s">
        <v>195</v>
      </c>
      <c r="B67" s="8" t="s">
        <v>327</v>
      </c>
      <c r="C67" s="24">
        <v>1394</v>
      </c>
      <c r="D67" s="8"/>
      <c r="E67" s="24">
        <v>1490</v>
      </c>
      <c r="F67" s="8"/>
      <c r="G67" s="24">
        <v>1547</v>
      </c>
      <c r="H67" s="8"/>
      <c r="I67" s="24">
        <v>1674</v>
      </c>
      <c r="J67" s="8"/>
      <c r="K67" s="24">
        <v>1832</v>
      </c>
      <c r="L67" s="8"/>
      <c r="M67" s="24">
        <v>1913</v>
      </c>
      <c r="N67" s="8"/>
      <c r="O67" s="24">
        <v>1955</v>
      </c>
      <c r="P67" s="8"/>
      <c r="Q67" s="24">
        <v>1977</v>
      </c>
      <c r="R67" s="8"/>
      <c r="S67" s="24">
        <v>1965</v>
      </c>
      <c r="T67" s="8"/>
      <c r="U67" s="24">
        <v>1929</v>
      </c>
      <c r="V67" s="8"/>
      <c r="W67" s="24">
        <v>1814</v>
      </c>
      <c r="X67" s="8"/>
      <c r="Y67" s="24">
        <v>1706</v>
      </c>
      <c r="Z67" s="8"/>
      <c r="AA67" s="24">
        <v>1641</v>
      </c>
      <c r="AB67" s="8"/>
      <c r="AC67" s="8"/>
      <c r="AE67" s="8"/>
      <c r="AG67" s="8"/>
    </row>
    <row r="68" ht="12" customHeight="1">
      <c r="A68" s="13" t="s">
        <v>69</v>
      </c>
      <c r="B68" s="10" t="s">
        <v>44</v>
      </c>
      <c r="C68" s="25">
        <v>1245</v>
      </c>
      <c r="D68" s="10"/>
      <c r="E68" s="25">
        <v>1268</v>
      </c>
      <c r="F68" s="10"/>
      <c r="G68" s="25">
        <v>1286</v>
      </c>
      <c r="H68" s="10"/>
      <c r="I68" s="25">
        <v>1317</v>
      </c>
      <c r="J68" s="10"/>
      <c r="K68" s="25">
        <v>1334</v>
      </c>
      <c r="L68" s="10"/>
      <c r="M68" s="25">
        <v>1348</v>
      </c>
      <c r="N68" s="10"/>
      <c r="O68" s="25">
        <v>1357</v>
      </c>
      <c r="P68" s="10"/>
      <c r="Q68" s="25">
        <v>1368</v>
      </c>
      <c r="R68" s="10"/>
      <c r="S68" s="25">
        <v>1375</v>
      </c>
      <c r="T68" s="10"/>
      <c r="U68" s="25">
        <v>1388</v>
      </c>
      <c r="V68" s="10"/>
      <c r="W68" s="25">
        <v>1392</v>
      </c>
      <c r="X68" s="10"/>
      <c r="Y68" s="25">
        <v>1401</v>
      </c>
      <c r="Z68" s="10"/>
      <c r="AA68" s="25">
        <v>1405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328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268</v>
      </c>
      <c r="C8" s="22">
        <v>2.3999999999999999</v>
      </c>
      <c r="D8" s="22"/>
      <c r="E8" s="22">
        <v>3.7999999999999998</v>
      </c>
      <c r="F8" s="22"/>
      <c r="G8" s="22">
        <v>2.2000000000000002</v>
      </c>
      <c r="H8" s="22"/>
      <c r="I8" s="22">
        <v>0.80000000000000004</v>
      </c>
      <c r="J8" s="22"/>
      <c r="K8" s="22">
        <v>-0.90000000000000002</v>
      </c>
      <c r="L8" s="22"/>
      <c r="M8" s="22">
        <v>0.40000000000000002</v>
      </c>
      <c r="N8" s="22"/>
      <c r="O8" s="22">
        <v>0.10000000000000001</v>
      </c>
      <c r="P8" s="22"/>
      <c r="Q8" s="22">
        <v>1.2</v>
      </c>
      <c r="R8" s="22"/>
      <c r="S8" s="22">
        <v>-0.20000000000000001</v>
      </c>
      <c r="T8" s="22"/>
      <c r="U8" s="22">
        <v>1.8</v>
      </c>
      <c r="V8" s="22"/>
      <c r="W8" s="22">
        <v>1.6000000000000001</v>
      </c>
      <c r="X8" s="22"/>
      <c r="Y8" s="22">
        <v>1.7</v>
      </c>
      <c r="Z8" s="22"/>
      <c r="AA8" s="22">
        <v>-0.80000000000000004</v>
      </c>
      <c r="AB8" s="18"/>
    </row>
    <row r="9" ht="12" customHeight="1">
      <c r="A9" s="8" t="s">
        <v>79</v>
      </c>
      <c r="B9" s="8" t="s">
        <v>269</v>
      </c>
      <c r="C9" s="26">
        <v>-3.2000000000000002</v>
      </c>
      <c r="D9" s="8"/>
      <c r="E9" s="26">
        <v>10</v>
      </c>
      <c r="F9" s="8"/>
      <c r="G9" s="26">
        <v>-1.3</v>
      </c>
      <c r="H9" s="8"/>
      <c r="I9" s="26">
        <v>0.69999999999999996</v>
      </c>
      <c r="J9" s="8"/>
      <c r="K9" s="26">
        <v>-5.4000000000000004</v>
      </c>
      <c r="L9" s="8"/>
      <c r="M9" s="26">
        <v>-2.2999999999999998</v>
      </c>
      <c r="N9" s="8"/>
      <c r="O9" s="26">
        <v>-8.9000000000000004</v>
      </c>
      <c r="P9" s="8"/>
      <c r="Q9" s="26">
        <v>4.7999999999999998</v>
      </c>
      <c r="R9" s="8"/>
      <c r="S9" s="26">
        <v>-4</v>
      </c>
      <c r="T9" s="8"/>
      <c r="U9" s="26">
        <v>1.3999999999999999</v>
      </c>
      <c r="V9" s="8"/>
      <c r="W9" s="26">
        <v>3</v>
      </c>
      <c r="X9" s="8"/>
      <c r="Y9" s="26">
        <v>8.4000000000000004</v>
      </c>
      <c r="Z9" s="8"/>
      <c r="AA9" s="26">
        <v>-8.3000000000000007</v>
      </c>
      <c r="AB9" s="8"/>
    </row>
    <row r="10" ht="12" customHeight="1">
      <c r="A10" s="8" t="s">
        <v>81</v>
      </c>
      <c r="B10" s="8" t="s">
        <v>270</v>
      </c>
      <c r="C10" s="26">
        <v>4.4000000000000004</v>
      </c>
      <c r="D10" s="8"/>
      <c r="E10" s="26">
        <v>1.5</v>
      </c>
      <c r="F10" s="8"/>
      <c r="G10" s="26">
        <v>1.7</v>
      </c>
      <c r="H10" s="8"/>
      <c r="I10" s="26">
        <v>0.20000000000000001</v>
      </c>
      <c r="J10" s="8"/>
      <c r="K10" s="26">
        <v>-1.2</v>
      </c>
      <c r="L10" s="8"/>
      <c r="M10" s="26">
        <v>-0.59999999999999998</v>
      </c>
      <c r="N10" s="8"/>
      <c r="O10" s="26">
        <v>0.59999999999999998</v>
      </c>
      <c r="P10" s="8"/>
      <c r="Q10" s="26">
        <v>1.3</v>
      </c>
      <c r="R10" s="8"/>
      <c r="S10" s="26">
        <v>1</v>
      </c>
      <c r="T10" s="8"/>
      <c r="U10" s="26">
        <v>1.5</v>
      </c>
      <c r="V10" s="8"/>
      <c r="W10" s="26">
        <v>1.3999999999999999</v>
      </c>
      <c r="X10" s="8"/>
      <c r="Y10" s="26">
        <v>3.6000000000000001</v>
      </c>
      <c r="Z10" s="8"/>
      <c r="AA10" s="26">
        <v>0.69999999999999996</v>
      </c>
      <c r="AB10" s="8"/>
    </row>
    <row r="11" ht="12" customHeight="1">
      <c r="A11" s="8" t="s">
        <v>83</v>
      </c>
      <c r="B11" s="8" t="s">
        <v>271</v>
      </c>
      <c r="C11" s="26">
        <v>3.3999999999999999</v>
      </c>
      <c r="D11" s="8"/>
      <c r="E11" s="26">
        <v>4.2999999999999998</v>
      </c>
      <c r="F11" s="8"/>
      <c r="G11" s="26">
        <v>3</v>
      </c>
      <c r="H11" s="8"/>
      <c r="I11" s="26">
        <v>0.20000000000000001</v>
      </c>
      <c r="J11" s="8"/>
      <c r="K11" s="26">
        <v>-0.69999999999999996</v>
      </c>
      <c r="L11" s="8"/>
      <c r="M11" s="26">
        <v>0.90000000000000002</v>
      </c>
      <c r="N11" s="8"/>
      <c r="O11" s="26">
        <v>1.1000000000000001</v>
      </c>
      <c r="P11" s="8"/>
      <c r="Q11" s="26">
        <v>0.80000000000000004</v>
      </c>
      <c r="R11" s="8"/>
      <c r="S11" s="26">
        <v>-0.29999999999999999</v>
      </c>
      <c r="T11" s="8"/>
      <c r="U11" s="26">
        <v>2.8999999999999999</v>
      </c>
      <c r="V11" s="8"/>
      <c r="W11" s="26">
        <v>1.5</v>
      </c>
      <c r="X11" s="8"/>
      <c r="Y11" s="26">
        <v>0.40000000000000002</v>
      </c>
      <c r="Z11" s="8"/>
      <c r="AA11" s="26">
        <v>-0.40000000000000002</v>
      </c>
      <c r="AB11" s="8"/>
    </row>
    <row r="12" ht="12" customHeight="1">
      <c r="A12" s="8" t="s">
        <v>85</v>
      </c>
      <c r="B12" s="8" t="s">
        <v>272</v>
      </c>
      <c r="C12" s="26">
        <v>2.7999999999999998</v>
      </c>
      <c r="D12" s="8"/>
      <c r="E12" s="26">
        <v>2.3999999999999999</v>
      </c>
      <c r="F12" s="8"/>
      <c r="G12" s="26">
        <v>2.8999999999999999</v>
      </c>
      <c r="H12" s="8"/>
      <c r="I12" s="26">
        <v>1.2</v>
      </c>
      <c r="J12" s="8"/>
      <c r="K12" s="26">
        <v>0</v>
      </c>
      <c r="L12" s="8"/>
      <c r="M12" s="26">
        <v>1.3</v>
      </c>
      <c r="N12" s="8"/>
      <c r="O12" s="26">
        <v>2.3999999999999999</v>
      </c>
      <c r="P12" s="8"/>
      <c r="Q12" s="26">
        <v>1</v>
      </c>
      <c r="R12" s="8"/>
      <c r="S12" s="26">
        <v>-0.10000000000000001</v>
      </c>
      <c r="T12" s="8"/>
      <c r="U12" s="26">
        <v>2.3999999999999999</v>
      </c>
      <c r="V12" s="8"/>
      <c r="W12" s="26">
        <v>2.6000000000000001</v>
      </c>
      <c r="X12" s="8"/>
      <c r="Y12" s="26">
        <v>-0.69999999999999996</v>
      </c>
      <c r="Z12" s="8"/>
      <c r="AA12" s="26">
        <v>0.5</v>
      </c>
      <c r="AB12" s="8"/>
    </row>
    <row r="13" ht="12" customHeight="1">
      <c r="A13" s="8" t="s">
        <v>87</v>
      </c>
      <c r="B13" s="8" t="s">
        <v>273</v>
      </c>
      <c r="C13" s="26">
        <v>2.2999999999999998</v>
      </c>
      <c r="D13" s="8"/>
      <c r="E13" s="26">
        <v>2.1000000000000001</v>
      </c>
      <c r="F13" s="8"/>
      <c r="G13" s="26">
        <v>3</v>
      </c>
      <c r="H13" s="8"/>
      <c r="I13" s="26">
        <v>1.8</v>
      </c>
      <c r="J13" s="8"/>
      <c r="K13" s="26">
        <v>1</v>
      </c>
      <c r="L13" s="8"/>
      <c r="M13" s="26">
        <v>1</v>
      </c>
      <c r="N13" s="8"/>
      <c r="O13" s="26">
        <v>1.5</v>
      </c>
      <c r="P13" s="8"/>
      <c r="Q13" s="26">
        <v>0.29999999999999999</v>
      </c>
      <c r="R13" s="8"/>
      <c r="S13" s="26">
        <v>0.5</v>
      </c>
      <c r="T13" s="8"/>
      <c r="U13" s="26">
        <v>0.29999999999999999</v>
      </c>
      <c r="V13" s="8"/>
      <c r="W13" s="26">
        <v>0.90000000000000002</v>
      </c>
      <c r="X13" s="8"/>
      <c r="Y13" s="26">
        <v>0.80000000000000004</v>
      </c>
      <c r="Z13" s="8"/>
      <c r="AA13" s="26">
        <v>0.5</v>
      </c>
      <c r="AB13" s="8"/>
    </row>
    <row r="14" ht="12" customHeight="1">
      <c r="A14" s="11" t="s">
        <v>89</v>
      </c>
      <c r="B14" s="8" t="s">
        <v>274</v>
      </c>
      <c r="C14" s="26">
        <v>0.69999999999999996</v>
      </c>
      <c r="D14" s="8"/>
      <c r="E14" s="26">
        <v>5.4000000000000004</v>
      </c>
      <c r="F14" s="8"/>
      <c r="G14" s="26">
        <v>0.80000000000000004</v>
      </c>
      <c r="H14" s="8"/>
      <c r="I14" s="26">
        <v>1.1000000000000001</v>
      </c>
      <c r="J14" s="8"/>
      <c r="K14" s="26">
        <v>2</v>
      </c>
      <c r="L14" s="8"/>
      <c r="M14" s="26">
        <v>4.7000000000000002</v>
      </c>
      <c r="N14" s="8"/>
      <c r="O14" s="26">
        <v>0.5</v>
      </c>
      <c r="P14" s="8"/>
      <c r="Q14" s="26">
        <v>0.40000000000000002</v>
      </c>
      <c r="R14" s="8"/>
      <c r="S14" s="26">
        <v>0.40000000000000002</v>
      </c>
      <c r="T14" s="8"/>
      <c r="U14" s="26">
        <v>2.2000000000000002</v>
      </c>
      <c r="V14" s="8"/>
      <c r="W14" s="26">
        <v>-0.20000000000000001</v>
      </c>
      <c r="X14" s="8"/>
      <c r="Y14" s="26">
        <v>0.40000000000000002</v>
      </c>
      <c r="Z14" s="8"/>
      <c r="AA14" s="26">
        <v>0.29999999999999999</v>
      </c>
      <c r="AB14" s="8"/>
    </row>
    <row r="15" ht="12" customHeight="1">
      <c r="A15" s="8" t="s">
        <v>91</v>
      </c>
      <c r="B15" s="8" t="s">
        <v>275</v>
      </c>
      <c r="C15" s="26">
        <v>0.69999999999999996</v>
      </c>
      <c r="D15" s="8"/>
      <c r="E15" s="26">
        <v>1.5</v>
      </c>
      <c r="F15" s="8"/>
      <c r="G15" s="26">
        <v>2.2999999999999998</v>
      </c>
      <c r="H15" s="8"/>
      <c r="I15" s="26">
        <v>1.8999999999999999</v>
      </c>
      <c r="J15" s="8"/>
      <c r="K15" s="26">
        <v>0</v>
      </c>
      <c r="L15" s="8"/>
      <c r="M15" s="26">
        <v>1.1000000000000001</v>
      </c>
      <c r="N15" s="8"/>
      <c r="O15" s="26">
        <v>1.5</v>
      </c>
      <c r="P15" s="8"/>
      <c r="Q15" s="26">
        <v>0.59999999999999998</v>
      </c>
      <c r="R15" s="8"/>
      <c r="S15" s="26">
        <v>-0.40000000000000002</v>
      </c>
      <c r="T15" s="8"/>
      <c r="U15" s="26">
        <v>0.80000000000000004</v>
      </c>
      <c r="V15" s="8"/>
      <c r="W15" s="26">
        <v>-0.59999999999999998</v>
      </c>
      <c r="X15" s="8"/>
      <c r="Y15" s="26">
        <v>0.90000000000000002</v>
      </c>
      <c r="Z15" s="8"/>
      <c r="AA15" s="26">
        <v>-0.69999999999999996</v>
      </c>
      <c r="AB15" s="8"/>
    </row>
    <row r="16" ht="12" customHeight="1">
      <c r="A16" s="8" t="s">
        <v>93</v>
      </c>
      <c r="B16" s="8" t="s">
        <v>276</v>
      </c>
      <c r="C16" s="26">
        <v>0.69999999999999996</v>
      </c>
      <c r="D16" s="8"/>
      <c r="E16" s="26">
        <v>7.7000000000000002</v>
      </c>
      <c r="F16" s="8"/>
      <c r="G16" s="26">
        <v>0</v>
      </c>
      <c r="H16" s="8"/>
      <c r="I16" s="26">
        <v>0.59999999999999998</v>
      </c>
      <c r="J16" s="8"/>
      <c r="K16" s="26">
        <v>3.1000000000000001</v>
      </c>
      <c r="L16" s="8"/>
      <c r="M16" s="26">
        <v>6.7000000000000002</v>
      </c>
      <c r="N16" s="8"/>
      <c r="O16" s="26">
        <v>0</v>
      </c>
      <c r="P16" s="8"/>
      <c r="Q16" s="26">
        <v>0.29999999999999999</v>
      </c>
      <c r="R16" s="8"/>
      <c r="S16" s="26">
        <v>0.80000000000000004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</row>
    <row r="17" ht="12" customHeight="1">
      <c r="A17" s="11" t="s">
        <v>95</v>
      </c>
      <c r="B17" s="8" t="s">
        <v>277</v>
      </c>
      <c r="C17" s="26">
        <v>1.1000000000000001</v>
      </c>
      <c r="D17" s="8"/>
      <c r="E17" s="26">
        <v>-0.10000000000000001</v>
      </c>
      <c r="F17" s="8"/>
      <c r="G17" s="26">
        <v>2.8999999999999999</v>
      </c>
      <c r="H17" s="8"/>
      <c r="I17" s="26">
        <v>0.40000000000000002</v>
      </c>
      <c r="J17" s="8"/>
      <c r="K17" s="26">
        <v>0.5</v>
      </c>
      <c r="L17" s="8"/>
      <c r="M17" s="26">
        <v>0.20000000000000001</v>
      </c>
      <c r="N17" s="8"/>
      <c r="O17" s="26">
        <v>0.20000000000000001</v>
      </c>
      <c r="P17" s="8"/>
      <c r="Q17" s="26">
        <v>0</v>
      </c>
      <c r="R17" s="8"/>
      <c r="S17" s="26">
        <v>-0.90000000000000002</v>
      </c>
      <c r="T17" s="8"/>
      <c r="U17" s="26">
        <v>0.29999999999999999</v>
      </c>
      <c r="V17" s="8"/>
      <c r="W17" s="26">
        <v>0.20000000000000001</v>
      </c>
      <c r="X17" s="8"/>
      <c r="Y17" s="26">
        <v>0.5</v>
      </c>
      <c r="Z17" s="8"/>
      <c r="AA17" s="26">
        <v>0.80000000000000004</v>
      </c>
      <c r="AB17" s="8"/>
    </row>
    <row r="18" ht="12" customHeight="1">
      <c r="A18" s="8" t="s">
        <v>97</v>
      </c>
      <c r="B18" s="8" t="s">
        <v>278</v>
      </c>
      <c r="C18" s="26">
        <v>1.1000000000000001</v>
      </c>
      <c r="D18" s="8"/>
      <c r="E18" s="26">
        <v>-0.29999999999999999</v>
      </c>
      <c r="F18" s="8"/>
      <c r="G18" s="26">
        <v>3.2999999999999998</v>
      </c>
      <c r="H18" s="8"/>
      <c r="I18" s="26">
        <v>0.59999999999999998</v>
      </c>
      <c r="J18" s="8"/>
      <c r="K18" s="26">
        <v>0.5</v>
      </c>
      <c r="L18" s="8"/>
      <c r="M18" s="26">
        <v>0.5</v>
      </c>
      <c r="N18" s="8"/>
      <c r="O18" s="26">
        <v>-0.10000000000000001</v>
      </c>
      <c r="P18" s="8"/>
      <c r="Q18" s="26">
        <v>-0.20000000000000001</v>
      </c>
      <c r="R18" s="8"/>
      <c r="S18" s="26">
        <v>-1.1000000000000001</v>
      </c>
      <c r="T18" s="8"/>
      <c r="U18" s="26">
        <v>-0.20000000000000001</v>
      </c>
      <c r="V18" s="8"/>
      <c r="W18" s="26">
        <v>0.69999999999999996</v>
      </c>
      <c r="X18" s="8"/>
      <c r="Y18" s="26">
        <v>0.20000000000000001</v>
      </c>
      <c r="Z18" s="8"/>
      <c r="AA18" s="26">
        <v>1.1000000000000001</v>
      </c>
      <c r="AB18" s="8"/>
    </row>
    <row r="19" ht="12" customHeight="1">
      <c r="A19" s="8" t="s">
        <v>99</v>
      </c>
      <c r="B19" s="8" t="s">
        <v>279</v>
      </c>
      <c r="C19" s="26">
        <v>0.5</v>
      </c>
      <c r="D19" s="8"/>
      <c r="E19" s="26">
        <v>1</v>
      </c>
      <c r="F19" s="8"/>
      <c r="G19" s="26">
        <v>1</v>
      </c>
      <c r="H19" s="8"/>
      <c r="I19" s="26">
        <v>-0.59999999999999998</v>
      </c>
      <c r="J19" s="8"/>
      <c r="K19" s="26">
        <v>0.20000000000000001</v>
      </c>
      <c r="L19" s="8"/>
      <c r="M19" s="26">
        <v>-0.59999999999999998</v>
      </c>
      <c r="N19" s="8"/>
      <c r="O19" s="26">
        <v>1.2</v>
      </c>
      <c r="P19" s="8"/>
      <c r="Q19" s="26">
        <v>0.59999999999999998</v>
      </c>
      <c r="R19" s="8"/>
      <c r="S19" s="26">
        <v>0.40000000000000002</v>
      </c>
      <c r="T19" s="8"/>
      <c r="U19" s="26">
        <v>2.2000000000000002</v>
      </c>
      <c r="V19" s="8"/>
      <c r="W19" s="26">
        <v>-2.5</v>
      </c>
      <c r="X19" s="8"/>
      <c r="Y19" s="26">
        <v>1.6000000000000001</v>
      </c>
      <c r="Z19" s="8"/>
      <c r="AA19" s="26">
        <v>-0.20000000000000001</v>
      </c>
      <c r="AB19" s="8"/>
    </row>
    <row r="20" ht="12" customHeight="1">
      <c r="A20" s="11" t="s">
        <v>101</v>
      </c>
      <c r="B20" s="8" t="s">
        <v>280</v>
      </c>
      <c r="C20" s="26">
        <v>1.1000000000000001</v>
      </c>
      <c r="D20" s="8"/>
      <c r="E20" s="26">
        <v>1.2</v>
      </c>
      <c r="F20" s="8"/>
      <c r="G20" s="26">
        <v>1.5</v>
      </c>
      <c r="H20" s="8"/>
      <c r="I20" s="26">
        <v>1.8</v>
      </c>
      <c r="J20" s="8"/>
      <c r="K20" s="26">
        <v>1.2</v>
      </c>
      <c r="L20" s="8"/>
      <c r="M20" s="26">
        <v>0.90000000000000002</v>
      </c>
      <c r="N20" s="8"/>
      <c r="O20" s="26">
        <v>1.3999999999999999</v>
      </c>
      <c r="P20" s="8"/>
      <c r="Q20" s="26">
        <v>2.2999999999999998</v>
      </c>
      <c r="R20" s="8"/>
      <c r="S20" s="26">
        <v>0.69999999999999996</v>
      </c>
      <c r="T20" s="8"/>
      <c r="U20" s="26">
        <v>0.80000000000000004</v>
      </c>
      <c r="V20" s="8"/>
      <c r="W20" s="26">
        <v>1.3</v>
      </c>
      <c r="X20" s="8"/>
      <c r="Y20" s="26">
        <v>1.6000000000000001</v>
      </c>
      <c r="Z20" s="8"/>
      <c r="AA20" s="26">
        <v>0.40000000000000002</v>
      </c>
      <c r="AB20" s="8"/>
    </row>
    <row r="21" ht="12" customHeight="1">
      <c r="A21" s="8" t="s">
        <v>103</v>
      </c>
      <c r="B21" s="8" t="s">
        <v>281</v>
      </c>
      <c r="C21" s="26">
        <v>1.2</v>
      </c>
      <c r="D21" s="8"/>
      <c r="E21" s="26">
        <v>1.3</v>
      </c>
      <c r="F21" s="8"/>
      <c r="G21" s="26">
        <v>1.3</v>
      </c>
      <c r="H21" s="8"/>
      <c r="I21" s="26">
        <v>1.3999999999999999</v>
      </c>
      <c r="J21" s="8"/>
      <c r="K21" s="26">
        <v>1.2</v>
      </c>
      <c r="L21" s="8"/>
      <c r="M21" s="26">
        <v>1.2</v>
      </c>
      <c r="N21" s="8"/>
      <c r="O21" s="26">
        <v>1.3</v>
      </c>
      <c r="P21" s="8"/>
      <c r="Q21" s="26">
        <v>1</v>
      </c>
      <c r="R21" s="8"/>
      <c r="S21" s="26">
        <v>0.80000000000000004</v>
      </c>
      <c r="T21" s="8"/>
      <c r="U21" s="26">
        <v>0.80000000000000004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</row>
    <row r="22" ht="12" customHeight="1">
      <c r="A22" s="8" t="s">
        <v>105</v>
      </c>
      <c r="B22" s="8" t="s">
        <v>282</v>
      </c>
      <c r="C22" s="26">
        <v>1.2</v>
      </c>
      <c r="D22" s="8"/>
      <c r="E22" s="26">
        <v>1.3</v>
      </c>
      <c r="F22" s="8"/>
      <c r="G22" s="26">
        <v>1.3</v>
      </c>
      <c r="H22" s="8"/>
      <c r="I22" s="26">
        <v>1.3999999999999999</v>
      </c>
      <c r="J22" s="8"/>
      <c r="K22" s="26">
        <v>1.2</v>
      </c>
      <c r="L22" s="8"/>
      <c r="M22" s="26">
        <v>1.2</v>
      </c>
      <c r="N22" s="8"/>
      <c r="O22" s="26">
        <v>1.3</v>
      </c>
      <c r="P22" s="8"/>
      <c r="Q22" s="26">
        <v>1</v>
      </c>
      <c r="R22" s="8"/>
      <c r="S22" s="26">
        <v>0.80000000000000004</v>
      </c>
      <c r="T22" s="8"/>
      <c r="U22" s="26">
        <v>0.80000000000000004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</row>
    <row r="23" ht="12" customHeight="1">
      <c r="A23" s="8" t="s">
        <v>107</v>
      </c>
      <c r="B23" s="8" t="s">
        <v>283</v>
      </c>
      <c r="C23" s="26">
        <v>2.1000000000000001</v>
      </c>
      <c r="D23" s="8"/>
      <c r="E23" s="26">
        <v>-0.10000000000000001</v>
      </c>
      <c r="F23" s="8"/>
      <c r="G23" s="26">
        <v>1.8</v>
      </c>
      <c r="H23" s="8"/>
      <c r="I23" s="26">
        <v>0.59999999999999998</v>
      </c>
      <c r="J23" s="8"/>
      <c r="K23" s="26">
        <v>0.5</v>
      </c>
      <c r="L23" s="8"/>
      <c r="M23" s="26">
        <v>0.10000000000000001</v>
      </c>
      <c r="N23" s="8"/>
      <c r="O23" s="26">
        <v>1.6000000000000001</v>
      </c>
      <c r="P23" s="8"/>
      <c r="Q23" s="26">
        <v>0.59999999999999998</v>
      </c>
      <c r="R23" s="8"/>
      <c r="S23" s="26">
        <v>-0.10000000000000001</v>
      </c>
      <c r="T23" s="8"/>
      <c r="U23" s="26">
        <v>0.40000000000000002</v>
      </c>
      <c r="V23" s="8"/>
      <c r="W23" s="26">
        <v>0.29999999999999999</v>
      </c>
      <c r="X23" s="8"/>
      <c r="Y23" s="26">
        <v>0.69999999999999996</v>
      </c>
      <c r="Z23" s="8"/>
      <c r="AA23" s="26">
        <v>0.69999999999999996</v>
      </c>
      <c r="AB23" s="8"/>
    </row>
    <row r="24" ht="12" customHeight="1">
      <c r="A24" s="8" t="s">
        <v>109</v>
      </c>
      <c r="B24" s="8" t="s">
        <v>284</v>
      </c>
      <c r="C24" s="26">
        <v>0</v>
      </c>
      <c r="D24" s="8"/>
      <c r="E24" s="26">
        <v>0.10000000000000001</v>
      </c>
      <c r="F24" s="8"/>
      <c r="G24" s="26">
        <v>0.10000000000000001</v>
      </c>
      <c r="H24" s="8"/>
      <c r="I24" s="26">
        <v>9.6999999999999993</v>
      </c>
      <c r="J24" s="8"/>
      <c r="K24" s="26">
        <v>0.10000000000000001</v>
      </c>
      <c r="L24" s="8"/>
      <c r="M24" s="26">
        <v>0</v>
      </c>
      <c r="N24" s="8"/>
      <c r="O24" s="26">
        <v>0.10000000000000001</v>
      </c>
      <c r="P24" s="8"/>
      <c r="Q24" s="26">
        <v>12.300000000000001</v>
      </c>
      <c r="R24" s="8"/>
      <c r="S24" s="26">
        <v>0.10000000000000001</v>
      </c>
      <c r="T24" s="8"/>
      <c r="U24" s="26">
        <v>0</v>
      </c>
      <c r="V24" s="8"/>
      <c r="W24" s="26">
        <v>0</v>
      </c>
      <c r="X24" s="8"/>
      <c r="Y24" s="26">
        <v>8</v>
      </c>
      <c r="Z24" s="8"/>
      <c r="AA24" s="26">
        <v>0</v>
      </c>
      <c r="AB24" s="8"/>
    </row>
    <row r="25" ht="12" customHeight="1">
      <c r="A25" s="8" t="s">
        <v>111</v>
      </c>
      <c r="B25" s="8" t="s">
        <v>285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10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12.699999999999999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</row>
    <row r="26" ht="12" customHeight="1">
      <c r="A26" s="8" t="s">
        <v>113</v>
      </c>
      <c r="B26" s="8" t="s">
        <v>286</v>
      </c>
      <c r="C26" s="26">
        <v>1</v>
      </c>
      <c r="D26" s="8"/>
      <c r="E26" s="26">
        <v>2.2000000000000002</v>
      </c>
      <c r="F26" s="8"/>
      <c r="G26" s="26">
        <v>2.7000000000000002</v>
      </c>
      <c r="H26" s="8"/>
      <c r="I26" s="26">
        <v>-1.1000000000000001</v>
      </c>
      <c r="J26" s="8"/>
      <c r="K26" s="26">
        <v>1.8</v>
      </c>
      <c r="L26" s="8"/>
      <c r="M26" s="26">
        <v>0.40000000000000002</v>
      </c>
      <c r="N26" s="8"/>
      <c r="O26" s="26">
        <v>2.7000000000000002</v>
      </c>
      <c r="P26" s="8"/>
      <c r="Q26" s="26">
        <v>0.80000000000000004</v>
      </c>
      <c r="R26" s="8"/>
      <c r="S26" s="26">
        <v>0.80000000000000004</v>
      </c>
      <c r="T26" s="8"/>
      <c r="U26" s="26">
        <v>2.2999999999999998</v>
      </c>
      <c r="V26" s="8"/>
      <c r="W26" s="26">
        <v>4.7999999999999998</v>
      </c>
      <c r="X26" s="8"/>
      <c r="Y26" s="26">
        <v>3</v>
      </c>
      <c r="Z26" s="8"/>
      <c r="AA26" s="26">
        <v>1.6000000000000001</v>
      </c>
      <c r="AB26" s="8"/>
    </row>
    <row r="27" ht="12" customHeight="1">
      <c r="A27" s="8" t="s">
        <v>115</v>
      </c>
      <c r="B27" s="8" t="s">
        <v>287</v>
      </c>
      <c r="C27" s="26">
        <v>0.90000000000000002</v>
      </c>
      <c r="D27" s="8"/>
      <c r="E27" s="26">
        <v>2</v>
      </c>
      <c r="F27" s="8"/>
      <c r="G27" s="26">
        <v>2.7000000000000002</v>
      </c>
      <c r="H27" s="8"/>
      <c r="I27" s="26">
        <v>-1.7</v>
      </c>
      <c r="J27" s="8"/>
      <c r="K27" s="26">
        <v>1.8</v>
      </c>
      <c r="L27" s="8"/>
      <c r="M27" s="26">
        <v>0.40000000000000002</v>
      </c>
      <c r="N27" s="8"/>
      <c r="O27" s="26">
        <v>2.8999999999999999</v>
      </c>
      <c r="P27" s="8"/>
      <c r="Q27" s="26">
        <v>0.69999999999999996</v>
      </c>
      <c r="R27" s="8"/>
      <c r="S27" s="26">
        <v>0.59999999999999998</v>
      </c>
      <c r="T27" s="8"/>
      <c r="U27" s="26">
        <v>2.2000000000000002</v>
      </c>
      <c r="V27" s="8"/>
      <c r="W27" s="26">
        <v>5.0999999999999996</v>
      </c>
      <c r="X27" s="8"/>
      <c r="Y27" s="26">
        <v>3.2000000000000002</v>
      </c>
      <c r="Z27" s="8"/>
      <c r="AA27" s="26">
        <v>1.2</v>
      </c>
      <c r="AB27" s="8"/>
    </row>
    <row r="28" ht="12" customHeight="1">
      <c r="A28" s="11" t="s">
        <v>117</v>
      </c>
      <c r="B28" s="8" t="s">
        <v>288</v>
      </c>
      <c r="C28" s="26">
        <v>3.7999999999999998</v>
      </c>
      <c r="D28" s="8"/>
      <c r="E28" s="26">
        <v>-1.3</v>
      </c>
      <c r="F28" s="8"/>
      <c r="G28" s="26">
        <v>3.2000000000000002</v>
      </c>
      <c r="H28" s="8"/>
      <c r="I28" s="26">
        <v>-1.5</v>
      </c>
      <c r="J28" s="8"/>
      <c r="K28" s="26">
        <v>0.80000000000000004</v>
      </c>
      <c r="L28" s="8"/>
      <c r="M28" s="26">
        <v>-2.3999999999999999</v>
      </c>
      <c r="N28" s="8"/>
      <c r="O28" s="26">
        <v>0.29999999999999999</v>
      </c>
      <c r="P28" s="8"/>
      <c r="Q28" s="26">
        <v>0.20000000000000001</v>
      </c>
      <c r="R28" s="8"/>
      <c r="S28" s="26">
        <v>0.20000000000000001</v>
      </c>
      <c r="T28" s="8"/>
      <c r="U28" s="26">
        <v>-0.59999999999999998</v>
      </c>
      <c r="V28" s="8"/>
      <c r="W28" s="26">
        <v>0.40000000000000002</v>
      </c>
      <c r="X28" s="8"/>
      <c r="Y28" s="26">
        <v>-0.80000000000000004</v>
      </c>
      <c r="Z28" s="8"/>
      <c r="AA28" s="26">
        <v>0.29999999999999999</v>
      </c>
      <c r="AB28" s="8"/>
    </row>
    <row r="29" ht="12" customHeight="1">
      <c r="A29" s="8" t="s">
        <v>119</v>
      </c>
      <c r="B29" s="8" t="s">
        <v>289</v>
      </c>
      <c r="C29" s="26">
        <v>5.5999999999999996</v>
      </c>
      <c r="D29" s="8"/>
      <c r="E29" s="26">
        <v>-4.7999999999999998</v>
      </c>
      <c r="F29" s="8"/>
      <c r="G29" s="26">
        <v>4.2000000000000002</v>
      </c>
      <c r="H29" s="8"/>
      <c r="I29" s="26">
        <v>-2.3999999999999999</v>
      </c>
      <c r="J29" s="8"/>
      <c r="K29" s="26">
        <v>0.40000000000000002</v>
      </c>
      <c r="L29" s="8"/>
      <c r="M29" s="26">
        <v>-6.5999999999999996</v>
      </c>
      <c r="N29" s="8"/>
      <c r="O29" s="26">
        <v>1.1000000000000001</v>
      </c>
      <c r="P29" s="8"/>
      <c r="Q29" s="26">
        <v>2.6000000000000001</v>
      </c>
      <c r="R29" s="8"/>
      <c r="S29" s="26">
        <v>1</v>
      </c>
      <c r="T29" s="8"/>
      <c r="U29" s="26">
        <v>-1.2</v>
      </c>
      <c r="V29" s="8"/>
      <c r="W29" s="26">
        <v>-1.7</v>
      </c>
      <c r="X29" s="8"/>
      <c r="Y29" s="26">
        <v>-2.1000000000000001</v>
      </c>
      <c r="Z29" s="8"/>
      <c r="AA29" s="26">
        <v>4.2999999999999998</v>
      </c>
      <c r="AB29" s="8"/>
    </row>
    <row r="30" ht="12" customHeight="1">
      <c r="A30" s="8" t="s">
        <v>121</v>
      </c>
      <c r="B30" s="8" t="s">
        <v>290</v>
      </c>
      <c r="C30" s="26">
        <v>2.6000000000000001</v>
      </c>
      <c r="D30" s="8"/>
      <c r="E30" s="26">
        <v>0.69999999999999996</v>
      </c>
      <c r="F30" s="8"/>
      <c r="G30" s="26">
        <v>1.5</v>
      </c>
      <c r="H30" s="8"/>
      <c r="I30" s="26">
        <v>-1.3999999999999999</v>
      </c>
      <c r="J30" s="8"/>
      <c r="K30" s="26">
        <v>3.5</v>
      </c>
      <c r="L30" s="8"/>
      <c r="M30" s="26">
        <v>-3.7999999999999998</v>
      </c>
      <c r="N30" s="8"/>
      <c r="O30" s="26">
        <v>14.699999999999999</v>
      </c>
      <c r="P30" s="8"/>
      <c r="Q30" s="26">
        <v>-6.5999999999999996</v>
      </c>
      <c r="R30" s="8"/>
      <c r="S30" s="26">
        <v>-6.5999999999999996</v>
      </c>
      <c r="T30" s="8"/>
      <c r="U30" s="26">
        <v>4.2999999999999998</v>
      </c>
      <c r="V30" s="8"/>
      <c r="W30" s="26">
        <v>3.7000000000000002</v>
      </c>
      <c r="X30" s="8"/>
      <c r="Y30" s="26">
        <v>-1</v>
      </c>
      <c r="Z30" s="8"/>
      <c r="AA30" s="26">
        <v>-2</v>
      </c>
      <c r="AB30" s="8"/>
    </row>
    <row r="31" ht="12" customHeight="1">
      <c r="A31" s="8" t="s">
        <v>123</v>
      </c>
      <c r="B31" s="8" t="s">
        <v>291</v>
      </c>
      <c r="C31" s="26">
        <v>2.1000000000000001</v>
      </c>
      <c r="D31" s="8"/>
      <c r="E31" s="26">
        <v>-0.40000000000000002</v>
      </c>
      <c r="F31" s="8"/>
      <c r="G31" s="26">
        <v>3.7000000000000002</v>
      </c>
      <c r="H31" s="8"/>
      <c r="I31" s="26">
        <v>-1.8</v>
      </c>
      <c r="J31" s="8"/>
      <c r="K31" s="26">
        <v>-0.80000000000000004</v>
      </c>
      <c r="L31" s="8"/>
      <c r="M31" s="26">
        <v>-1.7</v>
      </c>
      <c r="N31" s="8"/>
      <c r="O31" s="26">
        <v>-1.2</v>
      </c>
      <c r="P31" s="8"/>
      <c r="Q31" s="26">
        <v>-2.1000000000000001</v>
      </c>
      <c r="R31" s="8"/>
      <c r="S31" s="26">
        <v>1.5</v>
      </c>
      <c r="T31" s="8"/>
      <c r="U31" s="26">
        <v>-1.6000000000000001</v>
      </c>
      <c r="V31" s="8"/>
      <c r="W31" s="26">
        <v>0.59999999999999998</v>
      </c>
      <c r="X31" s="8"/>
      <c r="Y31" s="26">
        <v>-0.5</v>
      </c>
      <c r="Z31" s="8"/>
      <c r="AA31" s="26">
        <v>-0.10000000000000001</v>
      </c>
      <c r="AB31" s="8"/>
    </row>
    <row r="32" ht="12" customHeight="1">
      <c r="A32" s="8" t="s">
        <v>125</v>
      </c>
      <c r="B32" s="8" t="s">
        <v>292</v>
      </c>
      <c r="C32" s="26">
        <v>8.8000000000000007</v>
      </c>
      <c r="D32" s="8"/>
      <c r="E32" s="26">
        <v>-6.0999999999999996</v>
      </c>
      <c r="F32" s="8"/>
      <c r="G32" s="26">
        <v>2.6000000000000001</v>
      </c>
      <c r="H32" s="8"/>
      <c r="I32" s="26">
        <v>-1.7</v>
      </c>
      <c r="J32" s="8"/>
      <c r="K32" s="26">
        <v>7.2000000000000002</v>
      </c>
      <c r="L32" s="8"/>
      <c r="M32" s="26">
        <v>-1.7</v>
      </c>
      <c r="N32" s="8"/>
      <c r="O32" s="26">
        <v>-2.1000000000000001</v>
      </c>
      <c r="P32" s="8"/>
      <c r="Q32" s="26">
        <v>-1.6000000000000001</v>
      </c>
      <c r="R32" s="8"/>
      <c r="S32" s="26">
        <v>2.7999999999999998</v>
      </c>
      <c r="T32" s="8"/>
      <c r="U32" s="26">
        <v>1.8</v>
      </c>
      <c r="V32" s="8"/>
      <c r="W32" s="26">
        <v>-1.3</v>
      </c>
      <c r="X32" s="8"/>
      <c r="Y32" s="26">
        <v>-0.90000000000000002</v>
      </c>
      <c r="Z32" s="8"/>
      <c r="AA32" s="26">
        <v>-2.2999999999999998</v>
      </c>
      <c r="AB32" s="8"/>
    </row>
    <row r="33" ht="12" customHeight="1">
      <c r="A33" s="8" t="s">
        <v>127</v>
      </c>
      <c r="B33" s="8" t="s">
        <v>293</v>
      </c>
      <c r="C33" s="26">
        <v>1.1000000000000001</v>
      </c>
      <c r="D33" s="8"/>
      <c r="E33" s="26">
        <v>0.90000000000000002</v>
      </c>
      <c r="F33" s="8"/>
      <c r="G33" s="26">
        <v>2.3999999999999999</v>
      </c>
      <c r="H33" s="8"/>
      <c r="I33" s="26">
        <v>0.29999999999999999</v>
      </c>
      <c r="J33" s="8"/>
      <c r="K33" s="26">
        <v>0.20000000000000001</v>
      </c>
      <c r="L33" s="8"/>
      <c r="M33" s="26">
        <v>0.20000000000000001</v>
      </c>
      <c r="N33" s="8"/>
      <c r="O33" s="26">
        <v>-3.6000000000000001</v>
      </c>
      <c r="P33" s="8"/>
      <c r="Q33" s="26">
        <v>0.20000000000000001</v>
      </c>
      <c r="R33" s="8"/>
      <c r="S33" s="26">
        <v>1.2</v>
      </c>
      <c r="T33" s="8"/>
      <c r="U33" s="26">
        <v>-1.1000000000000001</v>
      </c>
      <c r="V33" s="8"/>
      <c r="W33" s="26">
        <v>0.29999999999999999</v>
      </c>
      <c r="X33" s="8"/>
      <c r="Y33" s="26">
        <v>-0.20000000000000001</v>
      </c>
      <c r="Z33" s="8"/>
      <c r="AA33" s="26">
        <v>-2</v>
      </c>
      <c r="AB33" s="8"/>
    </row>
    <row r="34" ht="12" customHeight="1">
      <c r="A34" s="8" t="s">
        <v>129</v>
      </c>
      <c r="B34" s="8" t="s">
        <v>294</v>
      </c>
      <c r="C34" s="26">
        <v>3.2999999999999998</v>
      </c>
      <c r="D34" s="8"/>
      <c r="E34" s="26">
        <v>2.6000000000000001</v>
      </c>
      <c r="F34" s="8"/>
      <c r="G34" s="26">
        <v>2.5</v>
      </c>
      <c r="H34" s="8"/>
      <c r="I34" s="26">
        <v>-0.90000000000000002</v>
      </c>
      <c r="J34" s="8"/>
      <c r="K34" s="26">
        <v>-0.69999999999999996</v>
      </c>
      <c r="L34" s="8"/>
      <c r="M34" s="26">
        <v>0.59999999999999998</v>
      </c>
      <c r="N34" s="8"/>
      <c r="O34" s="26">
        <v>0.29999999999999999</v>
      </c>
      <c r="P34" s="8"/>
      <c r="Q34" s="26">
        <v>1.5</v>
      </c>
      <c r="R34" s="8"/>
      <c r="S34" s="26">
        <v>-1.3999999999999999</v>
      </c>
      <c r="T34" s="8"/>
      <c r="U34" s="26">
        <v>-1</v>
      </c>
      <c r="V34" s="8"/>
      <c r="W34" s="26">
        <v>1.5</v>
      </c>
      <c r="X34" s="8"/>
      <c r="Y34" s="26">
        <v>-0.40000000000000002</v>
      </c>
      <c r="Z34" s="8"/>
      <c r="AA34" s="26">
        <v>-0.20000000000000001</v>
      </c>
      <c r="AB34" s="8"/>
    </row>
    <row r="35" ht="12" customHeight="1">
      <c r="A35" s="11" t="s">
        <v>131</v>
      </c>
      <c r="B35" s="8" t="s">
        <v>295</v>
      </c>
      <c r="C35" s="26">
        <v>1.8</v>
      </c>
      <c r="D35" s="8"/>
      <c r="E35" s="26">
        <v>0.40000000000000002</v>
      </c>
      <c r="F35" s="8"/>
      <c r="G35" s="26">
        <v>1.3999999999999999</v>
      </c>
      <c r="H35" s="8"/>
      <c r="I35" s="26">
        <v>-3.6000000000000001</v>
      </c>
      <c r="J35" s="8"/>
      <c r="K35" s="26">
        <v>2.1000000000000001</v>
      </c>
      <c r="L35" s="8"/>
      <c r="M35" s="26">
        <v>2.2999999999999998</v>
      </c>
      <c r="N35" s="8"/>
      <c r="O35" s="26">
        <v>0.10000000000000001</v>
      </c>
      <c r="P35" s="8"/>
      <c r="Q35" s="26">
        <v>6.0999999999999996</v>
      </c>
      <c r="R35" s="8"/>
      <c r="S35" s="26">
        <v>-0.90000000000000002</v>
      </c>
      <c r="T35" s="8"/>
      <c r="U35" s="26">
        <v>0.40000000000000002</v>
      </c>
      <c r="V35" s="8"/>
      <c r="W35" s="26">
        <v>-0.10000000000000001</v>
      </c>
      <c r="X35" s="8"/>
      <c r="Y35" s="26">
        <v>-0.20000000000000001</v>
      </c>
      <c r="Z35" s="8"/>
      <c r="AA35" s="26">
        <v>-0.59999999999999998</v>
      </c>
      <c r="AB35" s="8"/>
    </row>
    <row r="36" ht="12" customHeight="1">
      <c r="A36" s="8" t="s">
        <v>133</v>
      </c>
      <c r="B36" s="8" t="s">
        <v>296</v>
      </c>
      <c r="C36" s="26">
        <v>1.3</v>
      </c>
      <c r="D36" s="8"/>
      <c r="E36" s="26">
        <v>0.59999999999999998</v>
      </c>
      <c r="F36" s="8"/>
      <c r="G36" s="26">
        <v>1.3</v>
      </c>
      <c r="H36" s="8"/>
      <c r="I36" s="26">
        <v>-16.699999999999999</v>
      </c>
      <c r="J36" s="8"/>
      <c r="K36" s="26">
        <v>0.59999999999999998</v>
      </c>
      <c r="L36" s="8"/>
      <c r="M36" s="26">
        <v>0</v>
      </c>
      <c r="N36" s="8"/>
      <c r="O36" s="26">
        <v>0</v>
      </c>
      <c r="P36" s="8"/>
      <c r="Q36" s="26">
        <v>22.100000000000001</v>
      </c>
      <c r="R36" s="8"/>
      <c r="S36" s="26">
        <v>-5.7000000000000002</v>
      </c>
      <c r="T36" s="8"/>
      <c r="U36" s="26">
        <v>0.20000000000000001</v>
      </c>
      <c r="V36" s="8"/>
      <c r="W36" s="26">
        <v>-0.5</v>
      </c>
      <c r="X36" s="8"/>
      <c r="Y36" s="26">
        <v>-3.1000000000000001</v>
      </c>
      <c r="Z36" s="8"/>
      <c r="AA36" s="26">
        <v>-2.7000000000000002</v>
      </c>
      <c r="AB36" s="8"/>
    </row>
    <row r="37" ht="12" customHeight="1">
      <c r="A37" s="8" t="s">
        <v>135</v>
      </c>
      <c r="B37" s="8" t="s">
        <v>297</v>
      </c>
      <c r="C37" s="26">
        <v>2.1000000000000001</v>
      </c>
      <c r="D37" s="8"/>
      <c r="E37" s="26">
        <v>0.40000000000000002</v>
      </c>
      <c r="F37" s="8"/>
      <c r="G37" s="26">
        <v>1.3</v>
      </c>
      <c r="H37" s="8"/>
      <c r="I37" s="26">
        <v>1.1000000000000001</v>
      </c>
      <c r="J37" s="8"/>
      <c r="K37" s="26">
        <v>2.5</v>
      </c>
      <c r="L37" s="8"/>
      <c r="M37" s="26">
        <v>3.1000000000000001</v>
      </c>
      <c r="N37" s="8"/>
      <c r="O37" s="26">
        <v>0.10000000000000001</v>
      </c>
      <c r="P37" s="8"/>
      <c r="Q37" s="26">
        <v>1.3</v>
      </c>
      <c r="R37" s="8"/>
      <c r="S37" s="26">
        <v>0.90000000000000002</v>
      </c>
      <c r="T37" s="8"/>
      <c r="U37" s="26">
        <v>0.40000000000000002</v>
      </c>
      <c r="V37" s="8"/>
      <c r="W37" s="26">
        <v>0.20000000000000001</v>
      </c>
      <c r="X37" s="8"/>
      <c r="Y37" s="26">
        <v>1.5</v>
      </c>
      <c r="Z37" s="8"/>
      <c r="AA37" s="26">
        <v>0.69999999999999996</v>
      </c>
      <c r="AB37" s="8"/>
    </row>
    <row r="38" ht="12" customHeight="1">
      <c r="A38" s="8" t="s">
        <v>137</v>
      </c>
      <c r="B38" s="8" t="s">
        <v>298</v>
      </c>
      <c r="C38" s="26">
        <v>1.8</v>
      </c>
      <c r="D38" s="8"/>
      <c r="E38" s="26">
        <v>1.7</v>
      </c>
      <c r="F38" s="8"/>
      <c r="G38" s="26">
        <v>2.2000000000000002</v>
      </c>
      <c r="H38" s="8"/>
      <c r="I38" s="26">
        <v>4.0999999999999996</v>
      </c>
      <c r="J38" s="8"/>
      <c r="K38" s="26">
        <v>5</v>
      </c>
      <c r="L38" s="8"/>
      <c r="M38" s="26">
        <v>1.6000000000000001</v>
      </c>
      <c r="N38" s="8"/>
      <c r="O38" s="26">
        <v>0.5</v>
      </c>
      <c r="P38" s="8"/>
      <c r="Q38" s="26">
        <v>7.7999999999999998</v>
      </c>
      <c r="R38" s="8"/>
      <c r="S38" s="26">
        <v>1.3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1.1000000000000001</v>
      </c>
      <c r="AB38" s="8"/>
    </row>
    <row r="39" ht="12" customHeight="1">
      <c r="A39" s="11" t="s">
        <v>139</v>
      </c>
      <c r="B39" s="8" t="s">
        <v>299</v>
      </c>
      <c r="C39" s="26">
        <v>-1.8</v>
      </c>
      <c r="D39" s="8"/>
      <c r="E39" s="26">
        <v>-1.6000000000000001</v>
      </c>
      <c r="F39" s="8"/>
      <c r="G39" s="26">
        <v>-1.1000000000000001</v>
      </c>
      <c r="H39" s="8"/>
      <c r="I39" s="26">
        <v>8.9000000000000004</v>
      </c>
      <c r="J39" s="8"/>
      <c r="K39" s="26">
        <v>-0.20000000000000001</v>
      </c>
      <c r="L39" s="8"/>
      <c r="M39" s="26">
        <v>-1.8999999999999999</v>
      </c>
      <c r="N39" s="8"/>
      <c r="O39" s="26">
        <v>0.5</v>
      </c>
      <c r="P39" s="8"/>
      <c r="Q39" s="26">
        <v>-2.6000000000000001</v>
      </c>
      <c r="R39" s="8"/>
      <c r="S39" s="26">
        <v>0.59999999999999998</v>
      </c>
      <c r="T39" s="8"/>
      <c r="U39" s="26">
        <v>1.8</v>
      </c>
      <c r="V39" s="8"/>
      <c r="W39" s="26">
        <v>-1.3999999999999999</v>
      </c>
      <c r="X39" s="8"/>
      <c r="Y39" s="26">
        <v>0.40000000000000002</v>
      </c>
      <c r="Z39" s="8"/>
      <c r="AA39" s="26">
        <v>1.8999999999999999</v>
      </c>
      <c r="AB39" s="8"/>
    </row>
    <row r="40" ht="12" customHeight="1">
      <c r="A40" s="8" t="s">
        <v>141</v>
      </c>
      <c r="B40" s="8" t="s">
        <v>300</v>
      </c>
      <c r="C40" s="26">
        <v>0.10000000000000001</v>
      </c>
      <c r="D40" s="8"/>
      <c r="E40" s="26">
        <v>1</v>
      </c>
      <c r="F40" s="8"/>
      <c r="G40" s="26">
        <v>1.2</v>
      </c>
      <c r="H40" s="8"/>
      <c r="I40" s="26">
        <v>2.5</v>
      </c>
      <c r="J40" s="8"/>
      <c r="K40" s="26">
        <v>-2.1000000000000001</v>
      </c>
      <c r="L40" s="8"/>
      <c r="M40" s="26">
        <v>-1.2</v>
      </c>
      <c r="N40" s="8"/>
      <c r="O40" s="26">
        <v>-3</v>
      </c>
      <c r="P40" s="8"/>
      <c r="Q40" s="26">
        <v>-1.8999999999999999</v>
      </c>
      <c r="R40" s="8"/>
      <c r="S40" s="26">
        <v>2.2000000000000002</v>
      </c>
      <c r="T40" s="8"/>
      <c r="U40" s="26">
        <v>0.29999999999999999</v>
      </c>
      <c r="V40" s="8"/>
      <c r="W40" s="26">
        <v>1.1000000000000001</v>
      </c>
      <c r="X40" s="8"/>
      <c r="Y40" s="26">
        <v>-0.20000000000000001</v>
      </c>
      <c r="Z40" s="8"/>
      <c r="AA40" s="26">
        <v>0.29999999999999999</v>
      </c>
      <c r="AB40" s="8"/>
    </row>
    <row r="41" ht="12" customHeight="1">
      <c r="A41" s="8" t="s">
        <v>143</v>
      </c>
      <c r="B41" s="8" t="s">
        <v>301</v>
      </c>
      <c r="C41" s="26">
        <v>-4.5999999999999996</v>
      </c>
      <c r="D41" s="8"/>
      <c r="E41" s="26">
        <v>-2</v>
      </c>
      <c r="F41" s="8"/>
      <c r="G41" s="26">
        <v>-1.3</v>
      </c>
      <c r="H41" s="8"/>
      <c r="I41" s="26">
        <v>12.199999999999999</v>
      </c>
      <c r="J41" s="8"/>
      <c r="K41" s="26">
        <v>0.59999999999999998</v>
      </c>
      <c r="L41" s="8"/>
      <c r="M41" s="26">
        <v>-1.6000000000000001</v>
      </c>
      <c r="N41" s="8"/>
      <c r="O41" s="26">
        <v>2.1000000000000001</v>
      </c>
      <c r="P41" s="8"/>
      <c r="Q41" s="26">
        <v>-4</v>
      </c>
      <c r="R41" s="8"/>
      <c r="S41" s="26">
        <v>-0.80000000000000004</v>
      </c>
      <c r="T41" s="8"/>
      <c r="U41" s="26">
        <v>3.1000000000000001</v>
      </c>
      <c r="V41" s="8"/>
      <c r="W41" s="26">
        <v>-1.7</v>
      </c>
      <c r="X41" s="8"/>
      <c r="Y41" s="26">
        <v>0.29999999999999999</v>
      </c>
      <c r="Z41" s="8"/>
      <c r="AA41" s="26">
        <v>1.7</v>
      </c>
      <c r="AB41" s="8"/>
    </row>
    <row r="42" ht="12" customHeight="1">
      <c r="A42" s="8" t="s">
        <v>145</v>
      </c>
      <c r="B42" s="8" t="s">
        <v>302</v>
      </c>
      <c r="C42" s="26">
        <v>-7.4000000000000004</v>
      </c>
      <c r="D42" s="8"/>
      <c r="E42" s="26">
        <v>-2.5</v>
      </c>
      <c r="F42" s="8"/>
      <c r="G42" s="26">
        <v>-1.5</v>
      </c>
      <c r="H42" s="8"/>
      <c r="I42" s="26">
        <v>16.600000000000001</v>
      </c>
      <c r="J42" s="8"/>
      <c r="K42" s="26">
        <v>0</v>
      </c>
      <c r="L42" s="8"/>
      <c r="M42" s="26">
        <v>-2.3999999999999999</v>
      </c>
      <c r="N42" s="8"/>
      <c r="O42" s="26">
        <v>0.80000000000000004</v>
      </c>
      <c r="P42" s="8"/>
      <c r="Q42" s="26">
        <v>-6</v>
      </c>
      <c r="R42" s="8"/>
      <c r="S42" s="26">
        <v>-1.1000000000000001</v>
      </c>
      <c r="T42" s="8"/>
      <c r="U42" s="26">
        <v>4.5999999999999996</v>
      </c>
      <c r="V42" s="8"/>
      <c r="W42" s="26">
        <v>-4.7999999999999998</v>
      </c>
      <c r="X42" s="8"/>
      <c r="Y42" s="26">
        <v>0.10000000000000001</v>
      </c>
      <c r="Z42" s="8"/>
      <c r="AA42" s="26">
        <v>2.6000000000000001</v>
      </c>
      <c r="AB42" s="8"/>
    </row>
    <row r="43" ht="12" customHeight="1">
      <c r="A43" s="8" t="s">
        <v>147</v>
      </c>
      <c r="B43" s="8" t="s">
        <v>303</v>
      </c>
      <c r="C43" s="26">
        <v>8.5999999999999996</v>
      </c>
      <c r="D43" s="8"/>
      <c r="E43" s="26">
        <v>-4.5999999999999996</v>
      </c>
      <c r="F43" s="8"/>
      <c r="G43" s="26">
        <v>-4.0999999999999996</v>
      </c>
      <c r="H43" s="8"/>
      <c r="I43" s="26">
        <v>6</v>
      </c>
      <c r="J43" s="8"/>
      <c r="K43" s="26">
        <v>-0.69999999999999996</v>
      </c>
      <c r="L43" s="8"/>
      <c r="M43" s="26">
        <v>-4.2999999999999998</v>
      </c>
      <c r="N43" s="8"/>
      <c r="O43" s="26">
        <v>-1.3999999999999999</v>
      </c>
      <c r="P43" s="8"/>
      <c r="Q43" s="26">
        <v>4.4000000000000004</v>
      </c>
      <c r="R43" s="8"/>
      <c r="S43" s="26">
        <v>4</v>
      </c>
      <c r="T43" s="8"/>
      <c r="U43" s="26">
        <v>-2.1000000000000001</v>
      </c>
      <c r="V43" s="8"/>
      <c r="W43" s="26">
        <v>-3.5</v>
      </c>
      <c r="X43" s="8"/>
      <c r="Y43" s="26">
        <v>1.8</v>
      </c>
      <c r="Z43" s="8"/>
      <c r="AA43" s="26">
        <v>5.4000000000000004</v>
      </c>
      <c r="AB43" s="8"/>
    </row>
    <row r="44" ht="12" customHeight="1">
      <c r="A44" s="11" t="s">
        <v>149</v>
      </c>
      <c r="B44" s="8" t="s">
        <v>304</v>
      </c>
      <c r="C44" s="26">
        <v>0.20000000000000001</v>
      </c>
      <c r="D44" s="8"/>
      <c r="E44" s="26">
        <v>0.40000000000000002</v>
      </c>
      <c r="F44" s="8"/>
      <c r="G44" s="26">
        <v>0.40000000000000002</v>
      </c>
      <c r="H44" s="8"/>
      <c r="I44" s="26">
        <v>1.3</v>
      </c>
      <c r="J44" s="8"/>
      <c r="K44" s="26">
        <v>1.8</v>
      </c>
      <c r="L44" s="8"/>
      <c r="M44" s="26">
        <v>0.29999999999999999</v>
      </c>
      <c r="N44" s="8"/>
      <c r="O44" s="26">
        <v>0.59999999999999998</v>
      </c>
      <c r="P44" s="8"/>
      <c r="Q44" s="26">
        <v>0.90000000000000002</v>
      </c>
      <c r="R44" s="8"/>
      <c r="S44" s="26">
        <v>1.8999999999999999</v>
      </c>
      <c r="T44" s="8"/>
      <c r="U44" s="26">
        <v>0.20000000000000001</v>
      </c>
      <c r="V44" s="8"/>
      <c r="W44" s="26">
        <v>-0.29999999999999999</v>
      </c>
      <c r="X44" s="8"/>
      <c r="Y44" s="26">
        <v>0.20000000000000001</v>
      </c>
      <c r="Z44" s="8"/>
      <c r="AA44" s="26">
        <v>4.2999999999999998</v>
      </c>
      <c r="AB44" s="8"/>
    </row>
    <row r="45" ht="12" customHeight="1">
      <c r="A45" s="8" t="s">
        <v>151</v>
      </c>
      <c r="B45" s="8" t="s">
        <v>305</v>
      </c>
      <c r="C45" s="26">
        <v>2</v>
      </c>
      <c r="D45" s="8"/>
      <c r="E45" s="26">
        <v>1.3999999999999999</v>
      </c>
      <c r="F45" s="8"/>
      <c r="G45" s="26">
        <v>-1.3</v>
      </c>
      <c r="H45" s="8"/>
      <c r="I45" s="26">
        <v>4.9000000000000004</v>
      </c>
      <c r="J45" s="8"/>
      <c r="K45" s="26">
        <v>1.5</v>
      </c>
      <c r="L45" s="8"/>
      <c r="M45" s="26">
        <v>-2.1000000000000001</v>
      </c>
      <c r="N45" s="8"/>
      <c r="O45" s="26">
        <v>-0.40000000000000002</v>
      </c>
      <c r="P45" s="8"/>
      <c r="Q45" s="26">
        <v>1.2</v>
      </c>
      <c r="R45" s="8"/>
      <c r="S45" s="26">
        <v>-0.69999999999999996</v>
      </c>
      <c r="T45" s="8"/>
      <c r="U45" s="26">
        <v>-0.40000000000000002</v>
      </c>
      <c r="V45" s="8"/>
      <c r="W45" s="26">
        <v>0.90000000000000002</v>
      </c>
      <c r="X45" s="8"/>
      <c r="Y45" s="26">
        <v>7.5</v>
      </c>
      <c r="Z45" s="8"/>
      <c r="AA45" s="26">
        <v>0.20000000000000001</v>
      </c>
      <c r="AB45" s="8"/>
    </row>
    <row r="46" ht="12" customHeight="1">
      <c r="A46" s="8" t="s">
        <v>153</v>
      </c>
      <c r="B46" s="8" t="s">
        <v>306</v>
      </c>
      <c r="C46" s="26">
        <v>-0.29999999999999999</v>
      </c>
      <c r="D46" s="8"/>
      <c r="E46" s="26">
        <v>1.3999999999999999</v>
      </c>
      <c r="F46" s="8"/>
      <c r="G46" s="26">
        <v>-9.9000000000000004</v>
      </c>
      <c r="H46" s="8"/>
      <c r="I46" s="26">
        <v>-6.0999999999999996</v>
      </c>
      <c r="J46" s="8"/>
      <c r="K46" s="26">
        <v>15.800000000000001</v>
      </c>
      <c r="L46" s="8"/>
      <c r="M46" s="26">
        <v>-2.7999999999999998</v>
      </c>
      <c r="N46" s="8"/>
      <c r="O46" s="26">
        <v>8.3000000000000007</v>
      </c>
      <c r="P46" s="8"/>
      <c r="Q46" s="26">
        <v>-15.300000000000001</v>
      </c>
      <c r="R46" s="8"/>
      <c r="S46" s="26">
        <v>0</v>
      </c>
      <c r="T46" s="8"/>
      <c r="U46" s="26">
        <v>-5.5</v>
      </c>
      <c r="V46" s="8"/>
      <c r="W46" s="26">
        <v>-7.0999999999999996</v>
      </c>
      <c r="X46" s="8"/>
      <c r="Y46" s="26">
        <v>-3.6000000000000001</v>
      </c>
      <c r="Z46" s="8"/>
      <c r="AA46" s="26">
        <v>11.6</v>
      </c>
      <c r="AB46" s="8"/>
    </row>
    <row r="47" ht="12" customHeight="1">
      <c r="A47" s="8" t="s">
        <v>155</v>
      </c>
      <c r="B47" s="8" t="s">
        <v>307</v>
      </c>
      <c r="C47" s="26">
        <v>0.10000000000000001</v>
      </c>
      <c r="D47" s="8"/>
      <c r="E47" s="26">
        <v>0.20000000000000001</v>
      </c>
      <c r="F47" s="8"/>
      <c r="G47" s="26">
        <v>1</v>
      </c>
      <c r="H47" s="8"/>
      <c r="I47" s="26">
        <v>1.5</v>
      </c>
      <c r="J47" s="8"/>
      <c r="K47" s="26">
        <v>1.2</v>
      </c>
      <c r="L47" s="8"/>
      <c r="M47" s="26">
        <v>0.69999999999999996</v>
      </c>
      <c r="N47" s="8"/>
      <c r="O47" s="26">
        <v>0.29999999999999999</v>
      </c>
      <c r="P47" s="8"/>
      <c r="Q47" s="26">
        <v>1.5</v>
      </c>
      <c r="R47" s="8"/>
      <c r="S47" s="26">
        <v>2.2000000000000002</v>
      </c>
      <c r="T47" s="8"/>
      <c r="U47" s="26">
        <v>1.7</v>
      </c>
      <c r="V47" s="8"/>
      <c r="W47" s="26">
        <v>1.3</v>
      </c>
      <c r="X47" s="8"/>
      <c r="Y47" s="26">
        <v>1</v>
      </c>
      <c r="Z47" s="8"/>
      <c r="AA47" s="26">
        <v>2.7999999999999998</v>
      </c>
      <c r="AB47" s="8"/>
    </row>
    <row r="48" ht="12" customHeight="1">
      <c r="A48" s="11" t="s">
        <v>157</v>
      </c>
      <c r="B48" s="8" t="s">
        <v>308</v>
      </c>
      <c r="C48" s="26">
        <v>3.7000000000000002</v>
      </c>
      <c r="D48" s="8"/>
      <c r="E48" s="26">
        <v>0.69999999999999996</v>
      </c>
      <c r="F48" s="8"/>
      <c r="G48" s="26">
        <v>0.40000000000000002</v>
      </c>
      <c r="H48" s="8"/>
      <c r="I48" s="26">
        <v>1.2</v>
      </c>
      <c r="J48" s="8"/>
      <c r="K48" s="26">
        <v>1.8999999999999999</v>
      </c>
      <c r="L48" s="8"/>
      <c r="M48" s="26">
        <v>1.8</v>
      </c>
      <c r="N48" s="8"/>
      <c r="O48" s="26">
        <v>-2.2000000000000002</v>
      </c>
      <c r="P48" s="8"/>
      <c r="Q48" s="26">
        <v>0.69999999999999996</v>
      </c>
      <c r="R48" s="8"/>
      <c r="S48" s="26">
        <v>2.5</v>
      </c>
      <c r="T48" s="8"/>
      <c r="U48" s="26">
        <v>-0.80000000000000004</v>
      </c>
      <c r="V48" s="8"/>
      <c r="W48" s="26">
        <v>0.5</v>
      </c>
      <c r="X48" s="8"/>
      <c r="Y48" s="26">
        <v>0.90000000000000002</v>
      </c>
      <c r="Z48" s="8"/>
      <c r="AA48" s="26">
        <v>1.5</v>
      </c>
      <c r="AB48" s="8"/>
    </row>
    <row r="49" ht="12" customHeight="1">
      <c r="A49" s="8" t="s">
        <v>159</v>
      </c>
      <c r="B49" s="8" t="s">
        <v>309</v>
      </c>
      <c r="C49" s="26">
        <v>7.4000000000000004</v>
      </c>
      <c r="D49" s="8"/>
      <c r="E49" s="26">
        <v>-4.7000000000000002</v>
      </c>
      <c r="F49" s="8"/>
      <c r="G49" s="26">
        <v>-14.699999999999999</v>
      </c>
      <c r="H49" s="8"/>
      <c r="I49" s="26">
        <v>3.2000000000000002</v>
      </c>
      <c r="J49" s="8"/>
      <c r="K49" s="26">
        <v>8.1999999999999993</v>
      </c>
      <c r="L49" s="8"/>
      <c r="M49" s="26">
        <v>-8.5999999999999996</v>
      </c>
      <c r="N49" s="8"/>
      <c r="O49" s="26">
        <v>-9.4000000000000004</v>
      </c>
      <c r="P49" s="8"/>
      <c r="Q49" s="26">
        <v>3.5</v>
      </c>
      <c r="R49" s="8"/>
      <c r="S49" s="26">
        <v>7.5999999999999996</v>
      </c>
      <c r="T49" s="8"/>
      <c r="U49" s="26">
        <v>-7.4000000000000004</v>
      </c>
      <c r="V49" s="8"/>
      <c r="W49" s="26">
        <v>-13.800000000000001</v>
      </c>
      <c r="X49" s="8"/>
      <c r="Y49" s="26">
        <v>2.5</v>
      </c>
      <c r="Z49" s="8"/>
      <c r="AA49" s="26">
        <v>8.6999999999999993</v>
      </c>
      <c r="AB49" s="8"/>
    </row>
    <row r="50" ht="12" customHeight="1">
      <c r="A50" s="8" t="s">
        <v>161</v>
      </c>
      <c r="B50" s="8" t="s">
        <v>310</v>
      </c>
      <c r="C50" s="26">
        <v>2.3999999999999999</v>
      </c>
      <c r="D50" s="8"/>
      <c r="E50" s="26">
        <v>-0.20000000000000001</v>
      </c>
      <c r="F50" s="8"/>
      <c r="G50" s="26">
        <v>-1</v>
      </c>
      <c r="H50" s="8"/>
      <c r="I50" s="26">
        <v>0.20000000000000001</v>
      </c>
      <c r="J50" s="8"/>
      <c r="K50" s="26">
        <v>-3</v>
      </c>
      <c r="L50" s="8"/>
      <c r="M50" s="26">
        <v>6.4000000000000004</v>
      </c>
      <c r="N50" s="8"/>
      <c r="O50" s="26">
        <v>-0.90000000000000002</v>
      </c>
      <c r="P50" s="8"/>
      <c r="Q50" s="26">
        <v>-6.5</v>
      </c>
      <c r="R50" s="8"/>
      <c r="S50" s="26">
        <v>0.10000000000000001</v>
      </c>
      <c r="T50" s="8"/>
      <c r="U50" s="26">
        <v>0.80000000000000004</v>
      </c>
      <c r="V50" s="8"/>
      <c r="W50" s="26">
        <v>1.7</v>
      </c>
      <c r="X50" s="8"/>
      <c r="Y50" s="26">
        <v>-0.29999999999999999</v>
      </c>
      <c r="Z50" s="8"/>
      <c r="AA50" s="26">
        <v>0.80000000000000004</v>
      </c>
      <c r="AB50" s="8"/>
    </row>
    <row r="51" ht="12" customHeight="1">
      <c r="A51" s="8" t="s">
        <v>163</v>
      </c>
      <c r="B51" s="8" t="s">
        <v>311</v>
      </c>
      <c r="C51" s="26">
        <v>3</v>
      </c>
      <c r="D51" s="8"/>
      <c r="E51" s="26">
        <v>0.59999999999999998</v>
      </c>
      <c r="F51" s="8"/>
      <c r="G51" s="26">
        <v>3.7000000000000002</v>
      </c>
      <c r="H51" s="8"/>
      <c r="I51" s="26">
        <v>-0.5</v>
      </c>
      <c r="J51" s="8"/>
      <c r="K51" s="26">
        <v>0.59999999999999998</v>
      </c>
      <c r="L51" s="8"/>
      <c r="M51" s="26">
        <v>0.69999999999999996</v>
      </c>
      <c r="N51" s="8"/>
      <c r="O51" s="26">
        <v>-3</v>
      </c>
      <c r="P51" s="8"/>
      <c r="Q51" s="26">
        <v>1.8999999999999999</v>
      </c>
      <c r="R51" s="8"/>
      <c r="S51" s="26">
        <v>1.6000000000000001</v>
      </c>
      <c r="T51" s="8"/>
      <c r="U51" s="26">
        <v>-1.3999999999999999</v>
      </c>
      <c r="V51" s="8"/>
      <c r="W51" s="26">
        <v>-2.2999999999999998</v>
      </c>
      <c r="X51" s="8"/>
      <c r="Y51" s="26">
        <v>1.3999999999999999</v>
      </c>
      <c r="Z51" s="8"/>
      <c r="AA51" s="26">
        <v>0.90000000000000002</v>
      </c>
      <c r="AB51" s="8"/>
    </row>
    <row r="52" ht="12" customHeight="1">
      <c r="A52" s="8" t="s">
        <v>165</v>
      </c>
      <c r="B52" s="8" t="s">
        <v>312</v>
      </c>
      <c r="C52" s="26">
        <v>2.8999999999999999</v>
      </c>
      <c r="D52" s="8"/>
      <c r="E52" s="26">
        <v>1.3999999999999999</v>
      </c>
      <c r="F52" s="8"/>
      <c r="G52" s="26">
        <v>1.7</v>
      </c>
      <c r="H52" s="8"/>
      <c r="I52" s="26">
        <v>1.7</v>
      </c>
      <c r="J52" s="8"/>
      <c r="K52" s="26">
        <v>2.6000000000000001</v>
      </c>
      <c r="L52" s="8"/>
      <c r="M52" s="26">
        <v>1.8999999999999999</v>
      </c>
      <c r="N52" s="8"/>
      <c r="O52" s="26">
        <v>2.2999999999999998</v>
      </c>
      <c r="P52" s="8"/>
      <c r="Q52" s="26">
        <v>0.20000000000000001</v>
      </c>
      <c r="R52" s="8"/>
      <c r="S52" s="26">
        <v>1</v>
      </c>
      <c r="T52" s="8"/>
      <c r="U52" s="26">
        <v>0.29999999999999999</v>
      </c>
      <c r="V52" s="8"/>
      <c r="W52" s="26">
        <v>5.9000000000000004</v>
      </c>
      <c r="X52" s="8"/>
      <c r="Y52" s="26">
        <v>0.5</v>
      </c>
      <c r="Z52" s="8"/>
      <c r="AA52" s="26">
        <v>0.10000000000000001</v>
      </c>
      <c r="AB52" s="8"/>
    </row>
    <row r="53" ht="12" customHeight="1">
      <c r="A53" s="8" t="s">
        <v>167</v>
      </c>
      <c r="B53" s="8" t="s">
        <v>313</v>
      </c>
      <c r="C53" s="26">
        <v>3.2000000000000002</v>
      </c>
      <c r="D53" s="8"/>
      <c r="E53" s="26">
        <v>0.59999999999999998</v>
      </c>
      <c r="F53" s="8"/>
      <c r="G53" s="26">
        <v>2.7000000000000002</v>
      </c>
      <c r="H53" s="8"/>
      <c r="I53" s="26">
        <v>2.7000000000000002</v>
      </c>
      <c r="J53" s="8"/>
      <c r="K53" s="26">
        <v>0.40000000000000002</v>
      </c>
      <c r="L53" s="8"/>
      <c r="M53" s="26">
        <v>0.10000000000000001</v>
      </c>
      <c r="N53" s="8"/>
      <c r="O53" s="26">
        <v>2.7000000000000002</v>
      </c>
      <c r="P53" s="8"/>
      <c r="Q53" s="26">
        <v>0.40000000000000002</v>
      </c>
      <c r="R53" s="8"/>
      <c r="S53" s="26">
        <v>1.3</v>
      </c>
      <c r="T53" s="8"/>
      <c r="U53" s="26">
        <v>-0.59999999999999998</v>
      </c>
      <c r="V53" s="8"/>
      <c r="W53" s="26">
        <v>0.5</v>
      </c>
      <c r="X53" s="8"/>
      <c r="Y53" s="26">
        <v>2.1000000000000001</v>
      </c>
      <c r="Z53" s="8"/>
      <c r="AA53" s="26">
        <v>1.2</v>
      </c>
      <c r="AB53" s="8"/>
    </row>
    <row r="54" ht="12" customHeight="1">
      <c r="A54" s="8" t="s">
        <v>169</v>
      </c>
      <c r="B54" s="8" t="s">
        <v>314</v>
      </c>
      <c r="C54" s="26">
        <v>5.9000000000000004</v>
      </c>
      <c r="D54" s="8"/>
      <c r="E54" s="26">
        <v>2.3999999999999999</v>
      </c>
      <c r="F54" s="8"/>
      <c r="G54" s="26">
        <v>-3.2000000000000002</v>
      </c>
      <c r="H54" s="8"/>
      <c r="I54" s="26">
        <v>2</v>
      </c>
      <c r="J54" s="8"/>
      <c r="K54" s="26">
        <v>1.8</v>
      </c>
      <c r="L54" s="8"/>
      <c r="M54" s="26">
        <v>6.7000000000000002</v>
      </c>
      <c r="N54" s="8"/>
      <c r="O54" s="26">
        <v>-6.9000000000000004</v>
      </c>
      <c r="P54" s="8"/>
      <c r="Q54" s="26">
        <v>-0.20000000000000001</v>
      </c>
      <c r="R54" s="8"/>
      <c r="S54" s="26">
        <v>5</v>
      </c>
      <c r="T54" s="8"/>
      <c r="U54" s="26">
        <v>2.2999999999999998</v>
      </c>
      <c r="V54" s="8"/>
      <c r="W54" s="26">
        <v>1.3999999999999999</v>
      </c>
      <c r="X54" s="8"/>
      <c r="Y54" s="26">
        <v>0.40000000000000002</v>
      </c>
      <c r="Z54" s="8"/>
      <c r="AA54" s="26">
        <v>3.2000000000000002</v>
      </c>
      <c r="AB54" s="8"/>
    </row>
    <row r="55" ht="12" customHeight="1">
      <c r="A55" s="11" t="s">
        <v>171</v>
      </c>
      <c r="B55" s="8" t="s">
        <v>315</v>
      </c>
      <c r="C55" s="26">
        <v>0</v>
      </c>
      <c r="D55" s="8"/>
      <c r="E55" s="26">
        <v>1.7</v>
      </c>
      <c r="F55" s="8"/>
      <c r="G55" s="26">
        <v>0</v>
      </c>
      <c r="H55" s="8"/>
      <c r="I55" s="26">
        <v>1.6000000000000001</v>
      </c>
      <c r="J55" s="8"/>
      <c r="K55" s="26">
        <v>0</v>
      </c>
      <c r="L55" s="8"/>
      <c r="M55" s="26">
        <v>2.1000000000000001</v>
      </c>
      <c r="N55" s="8"/>
      <c r="O55" s="26">
        <v>0</v>
      </c>
      <c r="P55" s="8"/>
      <c r="Q55" s="26">
        <v>-7.7000000000000002</v>
      </c>
      <c r="R55" s="8"/>
      <c r="S55" s="26">
        <v>0</v>
      </c>
      <c r="T55" s="8"/>
      <c r="U55" s="26">
        <v>6.0999999999999996</v>
      </c>
      <c r="V55" s="8"/>
      <c r="W55" s="26">
        <v>0</v>
      </c>
      <c r="X55" s="8"/>
      <c r="Y55" s="26">
        <v>0.80000000000000004</v>
      </c>
      <c r="Z55" s="8"/>
      <c r="AA55" s="26">
        <v>0</v>
      </c>
      <c r="AB55" s="8"/>
    </row>
    <row r="56" ht="12" customHeight="1">
      <c r="A56" s="8" t="s">
        <v>173</v>
      </c>
      <c r="B56" s="8" t="s">
        <v>316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3.2999999999999998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-15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2.5</v>
      </c>
      <c r="Z56" s="8"/>
      <c r="AA56" s="26">
        <v>0</v>
      </c>
      <c r="AB56" s="8"/>
    </row>
    <row r="57" ht="12" customHeight="1">
      <c r="A57" s="8" t="s">
        <v>175</v>
      </c>
      <c r="B57" s="8" t="s">
        <v>317</v>
      </c>
      <c r="C57" s="26">
        <v>0</v>
      </c>
      <c r="D57" s="8"/>
      <c r="E57" s="26">
        <v>0.10000000000000001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2.3999999999999999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</row>
    <row r="58" ht="12" customHeight="1">
      <c r="A58" s="8" t="s">
        <v>177</v>
      </c>
      <c r="B58" s="8" t="s">
        <v>318</v>
      </c>
      <c r="C58" s="26">
        <v>0</v>
      </c>
      <c r="D58" s="8"/>
      <c r="E58" s="26">
        <v>5.7000000000000002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5.5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</row>
    <row r="59" ht="12" customHeight="1">
      <c r="A59" s="8" t="s">
        <v>179</v>
      </c>
      <c r="B59" s="8" t="s">
        <v>319</v>
      </c>
      <c r="C59" s="26">
        <v>0</v>
      </c>
      <c r="D59" s="8"/>
      <c r="E59" s="26">
        <v>5.7000000000000002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5.7999999999999998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</row>
    <row r="60" ht="12" customHeight="1">
      <c r="A60" s="11" t="s">
        <v>181</v>
      </c>
      <c r="B60" s="8" t="s">
        <v>320</v>
      </c>
      <c r="C60" s="26">
        <v>1.6000000000000001</v>
      </c>
      <c r="D60" s="8"/>
      <c r="E60" s="26">
        <v>1.8999999999999999</v>
      </c>
      <c r="F60" s="8"/>
      <c r="G60" s="26">
        <v>2.6000000000000001</v>
      </c>
      <c r="H60" s="8"/>
      <c r="I60" s="26">
        <v>1.8</v>
      </c>
      <c r="J60" s="8"/>
      <c r="K60" s="26">
        <v>1.3999999999999999</v>
      </c>
      <c r="L60" s="8"/>
      <c r="M60" s="26">
        <v>2.1000000000000001</v>
      </c>
      <c r="N60" s="8"/>
      <c r="O60" s="26">
        <v>1.8999999999999999</v>
      </c>
      <c r="P60" s="8"/>
      <c r="Q60" s="26">
        <v>1</v>
      </c>
      <c r="R60" s="8"/>
      <c r="S60" s="26">
        <v>1.1000000000000001</v>
      </c>
      <c r="T60" s="8"/>
      <c r="U60" s="26">
        <v>0.80000000000000004</v>
      </c>
      <c r="V60" s="8"/>
      <c r="W60" s="26">
        <v>1</v>
      </c>
      <c r="X60" s="8"/>
      <c r="Y60" s="26">
        <v>0.29999999999999999</v>
      </c>
      <c r="Z60" s="8"/>
      <c r="AA60" s="26">
        <v>0.10000000000000001</v>
      </c>
      <c r="AB60" s="8"/>
    </row>
    <row r="61" ht="12" customHeight="1">
      <c r="A61" s="8" t="s">
        <v>183</v>
      </c>
      <c r="B61" s="8" t="s">
        <v>321</v>
      </c>
      <c r="C61" s="26">
        <v>2.5</v>
      </c>
      <c r="D61" s="8"/>
      <c r="E61" s="26">
        <v>2.2999999999999998</v>
      </c>
      <c r="F61" s="8"/>
      <c r="G61" s="26">
        <v>2.2999999999999998</v>
      </c>
      <c r="H61" s="8"/>
      <c r="I61" s="26">
        <v>-0.40000000000000002</v>
      </c>
      <c r="J61" s="8"/>
      <c r="K61" s="26">
        <v>-1.1000000000000001</v>
      </c>
      <c r="L61" s="8"/>
      <c r="M61" s="26">
        <v>0.40000000000000002</v>
      </c>
      <c r="N61" s="8"/>
      <c r="O61" s="26">
        <v>-0.29999999999999999</v>
      </c>
      <c r="P61" s="8"/>
      <c r="Q61" s="26">
        <v>-0.5</v>
      </c>
      <c r="R61" s="8"/>
      <c r="S61" s="26">
        <v>0</v>
      </c>
      <c r="T61" s="8"/>
      <c r="U61" s="26">
        <v>0.40000000000000002</v>
      </c>
      <c r="V61" s="8"/>
      <c r="W61" s="26">
        <v>1</v>
      </c>
      <c r="X61" s="8"/>
      <c r="Y61" s="26">
        <v>0.29999999999999999</v>
      </c>
      <c r="Z61" s="8"/>
      <c r="AA61" s="26">
        <v>-0.10000000000000001</v>
      </c>
      <c r="AB61" s="8"/>
    </row>
    <row r="62" ht="12" customHeight="1">
      <c r="A62" s="8" t="s">
        <v>185</v>
      </c>
      <c r="B62" s="8" t="s">
        <v>322</v>
      </c>
      <c r="C62" s="26">
        <v>4.2000000000000002</v>
      </c>
      <c r="D62" s="8"/>
      <c r="E62" s="26">
        <v>-0.80000000000000004</v>
      </c>
      <c r="F62" s="8"/>
      <c r="G62" s="26">
        <v>-2.2000000000000002</v>
      </c>
      <c r="H62" s="8"/>
      <c r="I62" s="26">
        <v>0.20000000000000001</v>
      </c>
      <c r="J62" s="8"/>
      <c r="K62" s="26">
        <v>3.1000000000000001</v>
      </c>
      <c r="L62" s="8"/>
      <c r="M62" s="26">
        <v>-0.20000000000000001</v>
      </c>
      <c r="N62" s="8"/>
      <c r="O62" s="26">
        <v>0.90000000000000002</v>
      </c>
      <c r="P62" s="8"/>
      <c r="Q62" s="26">
        <v>0.29999999999999999</v>
      </c>
      <c r="R62" s="8"/>
      <c r="S62" s="26">
        <v>1.1000000000000001</v>
      </c>
      <c r="T62" s="8"/>
      <c r="U62" s="26">
        <v>0.29999999999999999</v>
      </c>
      <c r="V62" s="8"/>
      <c r="W62" s="26">
        <v>2.8999999999999999</v>
      </c>
      <c r="X62" s="8"/>
      <c r="Y62" s="26">
        <v>1.1000000000000001</v>
      </c>
      <c r="Z62" s="8"/>
      <c r="AA62" s="26">
        <v>3.6000000000000001</v>
      </c>
      <c r="AB62" s="8"/>
    </row>
    <row r="63" ht="12" customHeight="1">
      <c r="A63" s="8" t="s">
        <v>187</v>
      </c>
      <c r="B63" s="8" t="s">
        <v>323</v>
      </c>
      <c r="C63" s="26">
        <v>1.3999999999999999</v>
      </c>
      <c r="D63" s="8"/>
      <c r="E63" s="26">
        <v>2</v>
      </c>
      <c r="F63" s="8"/>
      <c r="G63" s="26">
        <v>3.5</v>
      </c>
      <c r="H63" s="8"/>
      <c r="I63" s="26">
        <v>3.7999999999999998</v>
      </c>
      <c r="J63" s="8"/>
      <c r="K63" s="26">
        <v>3.7000000000000002</v>
      </c>
      <c r="L63" s="8"/>
      <c r="M63" s="26">
        <v>4.2000000000000002</v>
      </c>
      <c r="N63" s="8"/>
      <c r="O63" s="26">
        <v>3.5</v>
      </c>
      <c r="P63" s="8"/>
      <c r="Q63" s="26">
        <v>2.3999999999999999</v>
      </c>
      <c r="R63" s="8"/>
      <c r="S63" s="26">
        <v>2</v>
      </c>
      <c r="T63" s="8"/>
      <c r="U63" s="26">
        <v>1.2</v>
      </c>
      <c r="V63" s="8"/>
      <c r="W63" s="26">
        <v>0.90000000000000002</v>
      </c>
      <c r="X63" s="8"/>
      <c r="Y63" s="26">
        <v>0.40000000000000002</v>
      </c>
      <c r="Z63" s="8"/>
      <c r="AA63" s="26">
        <v>0.10000000000000001</v>
      </c>
      <c r="AB63" s="8"/>
    </row>
    <row r="64" ht="12" customHeight="1">
      <c r="A64" s="8" t="s">
        <v>189</v>
      </c>
      <c r="B64" s="8" t="s">
        <v>324</v>
      </c>
      <c r="C64" s="26">
        <v>-1.6000000000000001</v>
      </c>
      <c r="D64" s="8"/>
      <c r="E64" s="26">
        <v>-0.29999999999999999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-2.1000000000000001</v>
      </c>
      <c r="R64" s="8"/>
      <c r="S64" s="26">
        <v>-0.40000000000000002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</row>
    <row r="65" ht="12" customHeight="1">
      <c r="A65" s="8" t="s">
        <v>191</v>
      </c>
      <c r="B65" s="8" t="s">
        <v>325</v>
      </c>
      <c r="C65" s="26">
        <v>0.20000000000000001</v>
      </c>
      <c r="D65" s="8"/>
      <c r="E65" s="26">
        <v>1</v>
      </c>
      <c r="F65" s="8"/>
      <c r="G65" s="26">
        <v>1.3999999999999999</v>
      </c>
      <c r="H65" s="8"/>
      <c r="I65" s="26">
        <v>0.80000000000000004</v>
      </c>
      <c r="J65" s="8"/>
      <c r="K65" s="26">
        <v>0.29999999999999999</v>
      </c>
      <c r="L65" s="8"/>
      <c r="M65" s="26">
        <v>0.20000000000000001</v>
      </c>
      <c r="N65" s="8"/>
      <c r="O65" s="26">
        <v>2</v>
      </c>
      <c r="P65" s="8"/>
      <c r="Q65" s="26">
        <v>0.20000000000000001</v>
      </c>
      <c r="R65" s="8"/>
      <c r="S65" s="26">
        <v>0.5</v>
      </c>
      <c r="T65" s="8"/>
      <c r="U65" s="26">
        <v>0.20000000000000001</v>
      </c>
      <c r="V65" s="8"/>
      <c r="W65" s="26">
        <v>1.7</v>
      </c>
      <c r="X65" s="8"/>
      <c r="Y65" s="26">
        <v>0.29999999999999999</v>
      </c>
      <c r="Z65" s="8"/>
      <c r="AA65" s="26">
        <v>0.10000000000000001</v>
      </c>
      <c r="AB65" s="8"/>
    </row>
    <row r="66" ht="12" customHeight="1">
      <c r="A66" s="11" t="s">
        <v>193</v>
      </c>
      <c r="B66" s="8" t="s">
        <v>326</v>
      </c>
      <c r="C66" s="26">
        <v>6.7000000000000002</v>
      </c>
      <c r="D66" s="8"/>
      <c r="E66" s="26">
        <v>6.9000000000000004</v>
      </c>
      <c r="F66" s="8"/>
      <c r="G66" s="26">
        <v>3.7999999999999998</v>
      </c>
      <c r="H66" s="8"/>
      <c r="I66" s="26">
        <v>8.1999999999999993</v>
      </c>
      <c r="J66" s="8"/>
      <c r="K66" s="26">
        <v>9.4000000000000004</v>
      </c>
      <c r="L66" s="8"/>
      <c r="M66" s="26">
        <v>4.4000000000000004</v>
      </c>
      <c r="N66" s="8"/>
      <c r="O66" s="26">
        <v>2.2000000000000002</v>
      </c>
      <c r="P66" s="8"/>
      <c r="Q66" s="26">
        <v>1.1000000000000001</v>
      </c>
      <c r="R66" s="8"/>
      <c r="S66" s="26">
        <v>-0.59999999999999998</v>
      </c>
      <c r="T66" s="8"/>
      <c r="U66" s="26">
        <v>-1.8</v>
      </c>
      <c r="V66" s="8"/>
      <c r="W66" s="26">
        <v>-6</v>
      </c>
      <c r="X66" s="8"/>
      <c r="Y66" s="26">
        <v>-6</v>
      </c>
      <c r="Z66" s="8"/>
      <c r="AA66" s="26">
        <v>-3.7999999999999998</v>
      </c>
      <c r="AB66" s="8"/>
    </row>
    <row r="67" ht="12" customHeight="1">
      <c r="A67" s="8" t="s">
        <v>195</v>
      </c>
      <c r="B67" s="8" t="s">
        <v>327</v>
      </c>
      <c r="C67" s="26">
        <v>6.7000000000000002</v>
      </c>
      <c r="D67" s="8"/>
      <c r="E67" s="26">
        <v>6.9000000000000004</v>
      </c>
      <c r="F67" s="8"/>
      <c r="G67" s="26">
        <v>3.7999999999999998</v>
      </c>
      <c r="H67" s="8"/>
      <c r="I67" s="26">
        <v>8.1999999999999993</v>
      </c>
      <c r="J67" s="8"/>
      <c r="K67" s="26">
        <v>9.4000000000000004</v>
      </c>
      <c r="L67" s="8"/>
      <c r="M67" s="26">
        <v>4.4000000000000004</v>
      </c>
      <c r="N67" s="8"/>
      <c r="O67" s="26">
        <v>2.2000000000000002</v>
      </c>
      <c r="P67" s="8"/>
      <c r="Q67" s="26">
        <v>1.1000000000000001</v>
      </c>
      <c r="R67" s="8"/>
      <c r="S67" s="26">
        <v>-0.59999999999999998</v>
      </c>
      <c r="T67" s="8"/>
      <c r="U67" s="26">
        <v>-1.8</v>
      </c>
      <c r="V67" s="8"/>
      <c r="W67" s="26">
        <v>-6</v>
      </c>
      <c r="X67" s="8"/>
      <c r="Y67" s="26">
        <v>-6</v>
      </c>
      <c r="Z67" s="8"/>
      <c r="AA67" s="26">
        <v>-3.7999999999999998</v>
      </c>
      <c r="AB67" s="8"/>
    </row>
    <row r="68" ht="12" customHeight="1">
      <c r="A68" s="13" t="s">
        <v>69</v>
      </c>
      <c r="B68" s="10" t="s">
        <v>44</v>
      </c>
      <c r="C68" s="27">
        <v>1.5</v>
      </c>
      <c r="D68" s="10"/>
      <c r="E68" s="27">
        <v>1.8</v>
      </c>
      <c r="F68" s="10"/>
      <c r="G68" s="27">
        <v>1.3999999999999999</v>
      </c>
      <c r="H68" s="10"/>
      <c r="I68" s="27">
        <v>2.3999999999999999</v>
      </c>
      <c r="J68" s="10"/>
      <c r="K68" s="27">
        <v>1.3</v>
      </c>
      <c r="L68" s="10"/>
      <c r="M68" s="27">
        <v>1</v>
      </c>
      <c r="N68" s="10"/>
      <c r="O68" s="27">
        <v>0.69999999999999996</v>
      </c>
      <c r="P68" s="10"/>
      <c r="Q68" s="27">
        <v>0.80000000000000004</v>
      </c>
      <c r="R68" s="10"/>
      <c r="S68" s="27">
        <v>0.5</v>
      </c>
      <c r="T68" s="10"/>
      <c r="U68" s="27">
        <v>0.90000000000000002</v>
      </c>
      <c r="V68" s="10"/>
      <c r="W68" s="27">
        <v>0.29999999999999999</v>
      </c>
      <c r="X68" s="10"/>
      <c r="Y68" s="27">
        <v>0.59999999999999998</v>
      </c>
      <c r="Z68" s="10"/>
      <c r="AA68" s="27">
        <v>0.29999999999999999</v>
      </c>
      <c r="AB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329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267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268</v>
      </c>
      <c r="C8" s="22">
        <v>10.6</v>
      </c>
      <c r="D8" s="22"/>
      <c r="E8" s="22">
        <v>11.5</v>
      </c>
      <c r="F8" s="22"/>
      <c r="G8" s="22">
        <v>12.6</v>
      </c>
      <c r="H8" s="22"/>
      <c r="I8" s="22">
        <v>9.4000000000000004</v>
      </c>
      <c r="J8" s="22"/>
      <c r="K8" s="22">
        <v>5.9000000000000004</v>
      </c>
      <c r="L8" s="22"/>
      <c r="M8" s="22">
        <v>2.3999999999999999</v>
      </c>
      <c r="N8" s="22"/>
      <c r="O8" s="22">
        <v>0.29999999999999999</v>
      </c>
      <c r="P8" s="22"/>
      <c r="Q8" s="22">
        <v>0.80000000000000004</v>
      </c>
      <c r="R8" s="22"/>
      <c r="S8" s="22">
        <v>1.3999999999999999</v>
      </c>
      <c r="T8" s="22"/>
      <c r="U8" s="22">
        <v>2.8999999999999999</v>
      </c>
      <c r="V8" s="22"/>
      <c r="W8" s="22">
        <v>4.5</v>
      </c>
      <c r="X8" s="22"/>
      <c r="Y8" s="22">
        <v>5</v>
      </c>
      <c r="Z8" s="22"/>
      <c r="AA8" s="22">
        <v>4.4000000000000004</v>
      </c>
      <c r="AB8" s="18"/>
    </row>
    <row r="9" ht="12" customHeight="1">
      <c r="A9" s="8" t="s">
        <v>79</v>
      </c>
      <c r="B9" s="8" t="s">
        <v>269</v>
      </c>
      <c r="C9" s="26">
        <v>20.5</v>
      </c>
      <c r="D9" s="8"/>
      <c r="E9" s="26">
        <v>21.199999999999999</v>
      </c>
      <c r="F9" s="8"/>
      <c r="G9" s="26">
        <v>22.100000000000001</v>
      </c>
      <c r="H9" s="8"/>
      <c r="I9" s="26">
        <v>5.7000000000000002</v>
      </c>
      <c r="J9" s="8"/>
      <c r="K9" s="26">
        <v>3.2999999999999998</v>
      </c>
      <c r="L9" s="8"/>
      <c r="M9" s="26">
        <v>-8.1999999999999993</v>
      </c>
      <c r="N9" s="8"/>
      <c r="O9" s="26">
        <v>-15.199999999999999</v>
      </c>
      <c r="P9" s="8"/>
      <c r="Q9" s="26">
        <v>-11.699999999999999</v>
      </c>
      <c r="R9" s="8"/>
      <c r="S9" s="26">
        <v>-10.300000000000001</v>
      </c>
      <c r="T9" s="8"/>
      <c r="U9" s="26">
        <v>-6.9000000000000004</v>
      </c>
      <c r="V9" s="8"/>
      <c r="W9" s="26">
        <v>5.2000000000000002</v>
      </c>
      <c r="X9" s="8"/>
      <c r="Y9" s="26">
        <v>8.8000000000000007</v>
      </c>
      <c r="Z9" s="8"/>
      <c r="AA9" s="26">
        <v>3.8999999999999999</v>
      </c>
      <c r="AB9" s="8"/>
    </row>
    <row r="10" ht="12" customHeight="1">
      <c r="A10" s="8" t="s">
        <v>81</v>
      </c>
      <c r="B10" s="8" t="s">
        <v>270</v>
      </c>
      <c r="C10" s="26">
        <v>10.800000000000001</v>
      </c>
      <c r="D10" s="8"/>
      <c r="E10" s="26">
        <v>8.5999999999999996</v>
      </c>
      <c r="F10" s="8"/>
      <c r="G10" s="26">
        <v>10.300000000000001</v>
      </c>
      <c r="H10" s="8"/>
      <c r="I10" s="26">
        <v>7.7999999999999998</v>
      </c>
      <c r="J10" s="8"/>
      <c r="K10" s="26">
        <v>2.1000000000000001</v>
      </c>
      <c r="L10" s="8"/>
      <c r="M10" s="26">
        <v>0.10000000000000001</v>
      </c>
      <c r="N10" s="8"/>
      <c r="O10" s="26">
        <v>-1</v>
      </c>
      <c r="P10" s="8"/>
      <c r="Q10" s="26">
        <v>0.20000000000000001</v>
      </c>
      <c r="R10" s="8"/>
      <c r="S10" s="26">
        <v>2.3999999999999999</v>
      </c>
      <c r="T10" s="8"/>
      <c r="U10" s="26">
        <v>4.5</v>
      </c>
      <c r="V10" s="8"/>
      <c r="W10" s="26">
        <v>5.4000000000000004</v>
      </c>
      <c r="X10" s="8"/>
      <c r="Y10" s="26">
        <v>7.7000000000000002</v>
      </c>
      <c r="Z10" s="8"/>
      <c r="AA10" s="26">
        <v>7.4000000000000004</v>
      </c>
      <c r="AB10" s="8"/>
    </row>
    <row r="11" ht="12" customHeight="1">
      <c r="A11" s="8" t="s">
        <v>83</v>
      </c>
      <c r="B11" s="8" t="s">
        <v>271</v>
      </c>
      <c r="C11" s="26">
        <v>10</v>
      </c>
      <c r="D11" s="8"/>
      <c r="E11" s="26">
        <v>12.199999999999999</v>
      </c>
      <c r="F11" s="8"/>
      <c r="G11" s="26">
        <v>13.199999999999999</v>
      </c>
      <c r="H11" s="8"/>
      <c r="I11" s="26">
        <v>11.300000000000001</v>
      </c>
      <c r="J11" s="8"/>
      <c r="K11" s="26">
        <v>6.9000000000000004</v>
      </c>
      <c r="L11" s="8"/>
      <c r="M11" s="26">
        <v>3.3999999999999999</v>
      </c>
      <c r="N11" s="8"/>
      <c r="O11" s="26">
        <v>1.5</v>
      </c>
      <c r="P11" s="8"/>
      <c r="Q11" s="26">
        <v>2.1000000000000001</v>
      </c>
      <c r="R11" s="8"/>
      <c r="S11" s="26">
        <v>2.5</v>
      </c>
      <c r="T11" s="8"/>
      <c r="U11" s="26">
        <v>4.5</v>
      </c>
      <c r="V11" s="8"/>
      <c r="W11" s="26">
        <v>5</v>
      </c>
      <c r="X11" s="8"/>
      <c r="Y11" s="26">
        <v>4.5</v>
      </c>
      <c r="Z11" s="8"/>
      <c r="AA11" s="26">
        <v>4.5</v>
      </c>
      <c r="AB11" s="8"/>
    </row>
    <row r="12" ht="12" customHeight="1">
      <c r="A12" s="8" t="s">
        <v>85</v>
      </c>
      <c r="B12" s="8" t="s">
        <v>272</v>
      </c>
      <c r="C12" s="26">
        <v>7.7999999999999998</v>
      </c>
      <c r="D12" s="8"/>
      <c r="E12" s="26">
        <v>8.0999999999999996</v>
      </c>
      <c r="F12" s="8"/>
      <c r="G12" s="26">
        <v>10.300000000000001</v>
      </c>
      <c r="H12" s="8"/>
      <c r="I12" s="26">
        <v>9.5999999999999996</v>
      </c>
      <c r="J12" s="8"/>
      <c r="K12" s="26">
        <v>6.7000000000000002</v>
      </c>
      <c r="L12" s="8"/>
      <c r="M12" s="26">
        <v>5.5999999999999996</v>
      </c>
      <c r="N12" s="8"/>
      <c r="O12" s="26">
        <v>5</v>
      </c>
      <c r="P12" s="8"/>
      <c r="Q12" s="26">
        <v>4.7000000000000002</v>
      </c>
      <c r="R12" s="8"/>
      <c r="S12" s="26">
        <v>4.5999999999999996</v>
      </c>
      <c r="T12" s="8"/>
      <c r="U12" s="26">
        <v>5.7000000000000002</v>
      </c>
      <c r="V12" s="8"/>
      <c r="W12" s="26">
        <v>5.9000000000000004</v>
      </c>
      <c r="X12" s="8"/>
      <c r="Y12" s="26">
        <v>4.2000000000000002</v>
      </c>
      <c r="Z12" s="8"/>
      <c r="AA12" s="26">
        <v>4.7000000000000002</v>
      </c>
      <c r="AB12" s="8"/>
    </row>
    <row r="13" ht="12" customHeight="1">
      <c r="A13" s="8" t="s">
        <v>87</v>
      </c>
      <c r="B13" s="8" t="s">
        <v>273</v>
      </c>
      <c r="C13" s="26">
        <v>8.3000000000000007</v>
      </c>
      <c r="D13" s="8"/>
      <c r="E13" s="26">
        <v>9.3000000000000007</v>
      </c>
      <c r="F13" s="8"/>
      <c r="G13" s="26">
        <v>9.8000000000000007</v>
      </c>
      <c r="H13" s="8"/>
      <c r="I13" s="26">
        <v>9.5</v>
      </c>
      <c r="J13" s="8"/>
      <c r="K13" s="26">
        <v>8</v>
      </c>
      <c r="L13" s="8"/>
      <c r="M13" s="26">
        <v>6.9000000000000004</v>
      </c>
      <c r="N13" s="8"/>
      <c r="O13" s="26">
        <v>5.2999999999999998</v>
      </c>
      <c r="P13" s="8"/>
      <c r="Q13" s="26">
        <v>3.7999999999999998</v>
      </c>
      <c r="R13" s="8"/>
      <c r="S13" s="26">
        <v>3.2999999999999998</v>
      </c>
      <c r="T13" s="8"/>
      <c r="U13" s="26">
        <v>2.6000000000000001</v>
      </c>
      <c r="V13" s="8"/>
      <c r="W13" s="26">
        <v>2</v>
      </c>
      <c r="X13" s="8"/>
      <c r="Y13" s="26">
        <v>2.5</v>
      </c>
      <c r="Z13" s="8"/>
      <c r="AA13" s="26">
        <v>2.3999999999999999</v>
      </c>
      <c r="AB13" s="8"/>
    </row>
    <row r="14" ht="12" customHeight="1">
      <c r="A14" s="11" t="s">
        <v>89</v>
      </c>
      <c r="B14" s="8" t="s">
        <v>274</v>
      </c>
      <c r="C14" s="26">
        <v>5.5999999999999996</v>
      </c>
      <c r="D14" s="8"/>
      <c r="E14" s="26">
        <v>7.7999999999999998</v>
      </c>
      <c r="F14" s="8"/>
      <c r="G14" s="26">
        <v>8</v>
      </c>
      <c r="H14" s="8"/>
      <c r="I14" s="26">
        <v>8.1999999999999993</v>
      </c>
      <c r="J14" s="8"/>
      <c r="K14" s="26">
        <v>9.5999999999999996</v>
      </c>
      <c r="L14" s="8"/>
      <c r="M14" s="26">
        <v>8.9000000000000004</v>
      </c>
      <c r="N14" s="8"/>
      <c r="O14" s="26">
        <v>8.5</v>
      </c>
      <c r="P14" s="8"/>
      <c r="Q14" s="26">
        <v>7.7999999999999998</v>
      </c>
      <c r="R14" s="8"/>
      <c r="S14" s="26">
        <v>6</v>
      </c>
      <c r="T14" s="8"/>
      <c r="U14" s="26">
        <v>3.5</v>
      </c>
      <c r="V14" s="8"/>
      <c r="W14" s="26">
        <v>2.7999999999999998</v>
      </c>
      <c r="X14" s="8"/>
      <c r="Y14" s="26">
        <v>2.8999999999999999</v>
      </c>
      <c r="Z14" s="8"/>
      <c r="AA14" s="26">
        <v>2.7999999999999998</v>
      </c>
      <c r="AB14" s="8"/>
    </row>
    <row r="15" ht="12" customHeight="1">
      <c r="A15" s="8" t="s">
        <v>91</v>
      </c>
      <c r="B15" s="8" t="s">
        <v>275</v>
      </c>
      <c r="C15" s="26">
        <v>6.5</v>
      </c>
      <c r="D15" s="8"/>
      <c r="E15" s="26">
        <v>6.5</v>
      </c>
      <c r="F15" s="8"/>
      <c r="G15" s="26">
        <v>7.0999999999999996</v>
      </c>
      <c r="H15" s="8"/>
      <c r="I15" s="26">
        <v>6.5999999999999996</v>
      </c>
      <c r="J15" s="8"/>
      <c r="K15" s="26">
        <v>5.7999999999999998</v>
      </c>
      <c r="L15" s="8"/>
      <c r="M15" s="26">
        <v>5.4000000000000004</v>
      </c>
      <c r="N15" s="8"/>
      <c r="O15" s="26">
        <v>4.5999999999999996</v>
      </c>
      <c r="P15" s="8"/>
      <c r="Q15" s="26">
        <v>3.2000000000000002</v>
      </c>
      <c r="R15" s="8"/>
      <c r="S15" s="26">
        <v>2.7999999999999998</v>
      </c>
      <c r="T15" s="8"/>
      <c r="U15" s="26">
        <v>2.5</v>
      </c>
      <c r="V15" s="8"/>
      <c r="W15" s="26">
        <v>0.40000000000000002</v>
      </c>
      <c r="X15" s="8"/>
      <c r="Y15" s="26">
        <v>0.69999999999999996</v>
      </c>
      <c r="Z15" s="8"/>
      <c r="AA15" s="26">
        <v>0.40000000000000002</v>
      </c>
      <c r="AB15" s="8"/>
    </row>
    <row r="16" ht="12" customHeight="1">
      <c r="A16" s="8" t="s">
        <v>93</v>
      </c>
      <c r="B16" s="8" t="s">
        <v>276</v>
      </c>
      <c r="C16" s="26">
        <v>5.0999999999999996</v>
      </c>
      <c r="D16" s="8"/>
      <c r="E16" s="26">
        <v>8.5999999999999996</v>
      </c>
      <c r="F16" s="8"/>
      <c r="G16" s="26">
        <v>8.5</v>
      </c>
      <c r="H16" s="8"/>
      <c r="I16" s="26">
        <v>9.0999999999999996</v>
      </c>
      <c r="J16" s="8"/>
      <c r="K16" s="26">
        <v>11.800000000000001</v>
      </c>
      <c r="L16" s="8"/>
      <c r="M16" s="26">
        <v>10.699999999999999</v>
      </c>
      <c r="N16" s="8"/>
      <c r="O16" s="26">
        <v>10.6</v>
      </c>
      <c r="P16" s="8"/>
      <c r="Q16" s="26">
        <v>10.300000000000001</v>
      </c>
      <c r="R16" s="8"/>
      <c r="S16" s="26">
        <v>7.7999999999999998</v>
      </c>
      <c r="T16" s="8"/>
      <c r="U16" s="26">
        <v>5</v>
      </c>
      <c r="V16" s="8"/>
      <c r="W16" s="26">
        <v>5.2999999999999998</v>
      </c>
      <c r="X16" s="8"/>
      <c r="Y16" s="26">
        <v>4.9000000000000004</v>
      </c>
      <c r="Z16" s="8"/>
      <c r="AA16" s="26">
        <v>5.7000000000000002</v>
      </c>
      <c r="AB16" s="8"/>
    </row>
    <row r="17" ht="12" customHeight="1">
      <c r="A17" s="11" t="s">
        <v>95</v>
      </c>
      <c r="B17" s="8" t="s">
        <v>277</v>
      </c>
      <c r="C17" s="26">
        <v>2.7000000000000002</v>
      </c>
      <c r="D17" s="8"/>
      <c r="E17" s="26">
        <v>3.5</v>
      </c>
      <c r="F17" s="8"/>
      <c r="G17" s="26">
        <v>5.5999999999999996</v>
      </c>
      <c r="H17" s="8"/>
      <c r="I17" s="26">
        <v>4.2999999999999998</v>
      </c>
      <c r="J17" s="8"/>
      <c r="K17" s="26">
        <v>3.7000000000000002</v>
      </c>
      <c r="L17" s="8"/>
      <c r="M17" s="26">
        <v>4</v>
      </c>
      <c r="N17" s="8"/>
      <c r="O17" s="26">
        <v>1.2</v>
      </c>
      <c r="P17" s="8"/>
      <c r="Q17" s="26">
        <v>0.80000000000000004</v>
      </c>
      <c r="R17" s="8"/>
      <c r="S17" s="26">
        <v>-0.5</v>
      </c>
      <c r="T17" s="8"/>
      <c r="U17" s="26">
        <v>-0.5</v>
      </c>
      <c r="V17" s="8"/>
      <c r="W17" s="26">
        <v>-0.5</v>
      </c>
      <c r="X17" s="8"/>
      <c r="Y17" s="26">
        <v>0</v>
      </c>
      <c r="Z17" s="8"/>
      <c r="AA17" s="26">
        <v>1.7</v>
      </c>
      <c r="AB17" s="8"/>
    </row>
    <row r="18" ht="12" customHeight="1">
      <c r="A18" s="8" t="s">
        <v>97</v>
      </c>
      <c r="B18" s="8" t="s">
        <v>278</v>
      </c>
      <c r="C18" s="26">
        <v>2.2000000000000002</v>
      </c>
      <c r="D18" s="8"/>
      <c r="E18" s="26">
        <v>3.1000000000000001</v>
      </c>
      <c r="F18" s="8"/>
      <c r="G18" s="26">
        <v>5.7000000000000002</v>
      </c>
      <c r="H18" s="8"/>
      <c r="I18" s="26">
        <v>4.7999999999999998</v>
      </c>
      <c r="J18" s="8"/>
      <c r="K18" s="26">
        <v>4.2000000000000002</v>
      </c>
      <c r="L18" s="8"/>
      <c r="M18" s="26">
        <v>5</v>
      </c>
      <c r="N18" s="8"/>
      <c r="O18" s="26">
        <v>1.5</v>
      </c>
      <c r="P18" s="8"/>
      <c r="Q18" s="26">
        <v>0.59999999999999998</v>
      </c>
      <c r="R18" s="8"/>
      <c r="S18" s="26">
        <v>-0.90000000000000002</v>
      </c>
      <c r="T18" s="8"/>
      <c r="U18" s="26">
        <v>-1.5</v>
      </c>
      <c r="V18" s="8"/>
      <c r="W18" s="26">
        <v>-0.69999999999999996</v>
      </c>
      <c r="X18" s="8"/>
      <c r="Y18" s="26">
        <v>-0.40000000000000002</v>
      </c>
      <c r="Z18" s="8"/>
      <c r="AA18" s="26">
        <v>1.8</v>
      </c>
      <c r="AB18" s="8"/>
    </row>
    <row r="19" ht="12" customHeight="1">
      <c r="A19" s="8" t="s">
        <v>99</v>
      </c>
      <c r="B19" s="8" t="s">
        <v>279</v>
      </c>
      <c r="C19" s="26">
        <v>4.5999999999999996</v>
      </c>
      <c r="D19" s="8"/>
      <c r="E19" s="26">
        <v>6.2000000000000002</v>
      </c>
      <c r="F19" s="8"/>
      <c r="G19" s="26">
        <v>5.5999999999999996</v>
      </c>
      <c r="H19" s="8"/>
      <c r="I19" s="26">
        <v>1.8999999999999999</v>
      </c>
      <c r="J19" s="8"/>
      <c r="K19" s="26">
        <v>1.6000000000000001</v>
      </c>
      <c r="L19" s="8"/>
      <c r="M19" s="26">
        <v>-0.10000000000000001</v>
      </c>
      <c r="N19" s="8"/>
      <c r="O19" s="26">
        <v>0.10000000000000001</v>
      </c>
      <c r="P19" s="8"/>
      <c r="Q19" s="26">
        <v>1.3999999999999999</v>
      </c>
      <c r="R19" s="8"/>
      <c r="S19" s="26">
        <v>1.5</v>
      </c>
      <c r="T19" s="8"/>
      <c r="U19" s="26">
        <v>4.5</v>
      </c>
      <c r="V19" s="8"/>
      <c r="W19" s="26">
        <v>0.59999999999999998</v>
      </c>
      <c r="X19" s="8"/>
      <c r="Y19" s="26">
        <v>1.6000000000000001</v>
      </c>
      <c r="Z19" s="8"/>
      <c r="AA19" s="26">
        <v>1.1000000000000001</v>
      </c>
      <c r="AB19" s="8"/>
    </row>
    <row r="20" ht="12" customHeight="1">
      <c r="A20" s="11" t="s">
        <v>101</v>
      </c>
      <c r="B20" s="8" t="s">
        <v>280</v>
      </c>
      <c r="C20" s="26">
        <v>5.0999999999999996</v>
      </c>
      <c r="D20" s="8"/>
      <c r="E20" s="26">
        <v>5.2000000000000002</v>
      </c>
      <c r="F20" s="8"/>
      <c r="G20" s="26">
        <v>5.2000000000000002</v>
      </c>
      <c r="H20" s="8"/>
      <c r="I20" s="26">
        <v>5.7000000000000002</v>
      </c>
      <c r="J20" s="8"/>
      <c r="K20" s="26">
        <v>5.7999999999999998</v>
      </c>
      <c r="L20" s="8"/>
      <c r="M20" s="26">
        <v>5.4000000000000004</v>
      </c>
      <c r="N20" s="8"/>
      <c r="O20" s="26">
        <v>5.2999999999999998</v>
      </c>
      <c r="P20" s="8"/>
      <c r="Q20" s="26">
        <v>5.7999999999999998</v>
      </c>
      <c r="R20" s="8"/>
      <c r="S20" s="26">
        <v>5.2999999999999998</v>
      </c>
      <c r="T20" s="8"/>
      <c r="U20" s="26">
        <v>5.2999999999999998</v>
      </c>
      <c r="V20" s="8"/>
      <c r="W20" s="26">
        <v>5.2000000000000002</v>
      </c>
      <c r="X20" s="8"/>
      <c r="Y20" s="26">
        <v>4.5</v>
      </c>
      <c r="Z20" s="8"/>
      <c r="AA20" s="26">
        <v>4.2000000000000002</v>
      </c>
      <c r="AB20" s="8"/>
    </row>
    <row r="21" ht="12" customHeight="1">
      <c r="A21" s="8" t="s">
        <v>103</v>
      </c>
      <c r="B21" s="8" t="s">
        <v>281</v>
      </c>
      <c r="C21" s="26">
        <v>5.4000000000000004</v>
      </c>
      <c r="D21" s="8"/>
      <c r="E21" s="26">
        <v>5.4000000000000004</v>
      </c>
      <c r="F21" s="8"/>
      <c r="G21" s="26">
        <v>5.0999999999999996</v>
      </c>
      <c r="H21" s="8"/>
      <c r="I21" s="26">
        <v>5.2999999999999998</v>
      </c>
      <c r="J21" s="8"/>
      <c r="K21" s="26">
        <v>5.2000000000000002</v>
      </c>
      <c r="L21" s="8"/>
      <c r="M21" s="26">
        <v>5.2000000000000002</v>
      </c>
      <c r="N21" s="8"/>
      <c r="O21" s="26">
        <v>5.2000000000000002</v>
      </c>
      <c r="P21" s="8"/>
      <c r="Q21" s="26">
        <v>4.7000000000000002</v>
      </c>
      <c r="R21" s="8"/>
      <c r="S21" s="26">
        <v>4.4000000000000004</v>
      </c>
      <c r="T21" s="8"/>
      <c r="U21" s="26">
        <v>3.8999999999999999</v>
      </c>
      <c r="V21" s="8"/>
      <c r="W21" s="26">
        <v>3.3999999999999999</v>
      </c>
      <c r="X21" s="8"/>
      <c r="Y21" s="26">
        <v>2.6000000000000001</v>
      </c>
      <c r="Z21" s="8"/>
      <c r="AA21" s="26">
        <v>1.8999999999999999</v>
      </c>
      <c r="AB21" s="8"/>
    </row>
    <row r="22" ht="12" customHeight="1">
      <c r="A22" s="8" t="s">
        <v>105</v>
      </c>
      <c r="B22" s="8" t="s">
        <v>282</v>
      </c>
      <c r="C22" s="26">
        <v>5.4000000000000004</v>
      </c>
      <c r="D22" s="8"/>
      <c r="E22" s="26">
        <v>5.4000000000000004</v>
      </c>
      <c r="F22" s="8"/>
      <c r="G22" s="26">
        <v>5.0999999999999996</v>
      </c>
      <c r="H22" s="8"/>
      <c r="I22" s="26">
        <v>5.2999999999999998</v>
      </c>
      <c r="J22" s="8"/>
      <c r="K22" s="26">
        <v>5.2000000000000002</v>
      </c>
      <c r="L22" s="8"/>
      <c r="M22" s="26">
        <v>5.2000000000000002</v>
      </c>
      <c r="N22" s="8"/>
      <c r="O22" s="26">
        <v>5.2000000000000002</v>
      </c>
      <c r="P22" s="8"/>
      <c r="Q22" s="26">
        <v>4.7000000000000002</v>
      </c>
      <c r="R22" s="8"/>
      <c r="S22" s="26">
        <v>4.4000000000000004</v>
      </c>
      <c r="T22" s="8"/>
      <c r="U22" s="26">
        <v>3.8999999999999999</v>
      </c>
      <c r="V22" s="8"/>
      <c r="W22" s="26">
        <v>3.3999999999999999</v>
      </c>
      <c r="X22" s="8"/>
      <c r="Y22" s="26">
        <v>2.6000000000000001</v>
      </c>
      <c r="Z22" s="8"/>
      <c r="AA22" s="26">
        <v>1.8999999999999999</v>
      </c>
      <c r="AB22" s="8"/>
    </row>
    <row r="23" ht="12" customHeight="1">
      <c r="A23" s="8" t="s">
        <v>107</v>
      </c>
      <c r="B23" s="8" t="s">
        <v>283</v>
      </c>
      <c r="C23" s="26">
        <v>8.4000000000000004</v>
      </c>
      <c r="D23" s="8"/>
      <c r="E23" s="26">
        <v>6.4000000000000004</v>
      </c>
      <c r="F23" s="8"/>
      <c r="G23" s="26">
        <v>6</v>
      </c>
      <c r="H23" s="8"/>
      <c r="I23" s="26">
        <v>4.4000000000000004</v>
      </c>
      <c r="J23" s="8"/>
      <c r="K23" s="26">
        <v>2.7999999999999998</v>
      </c>
      <c r="L23" s="8"/>
      <c r="M23" s="26">
        <v>3</v>
      </c>
      <c r="N23" s="8"/>
      <c r="O23" s="26">
        <v>2.7999999999999998</v>
      </c>
      <c r="P23" s="8"/>
      <c r="Q23" s="26">
        <v>2.7999999999999998</v>
      </c>
      <c r="R23" s="8"/>
      <c r="S23" s="26">
        <v>2.2000000000000002</v>
      </c>
      <c r="T23" s="8"/>
      <c r="U23" s="26">
        <v>2.6000000000000001</v>
      </c>
      <c r="V23" s="8"/>
      <c r="W23" s="26">
        <v>1.2</v>
      </c>
      <c r="X23" s="8"/>
      <c r="Y23" s="26">
        <v>1.3</v>
      </c>
      <c r="Z23" s="8"/>
      <c r="AA23" s="26">
        <v>2.1000000000000001</v>
      </c>
      <c r="AB23" s="8"/>
    </row>
    <row r="24" ht="12" customHeight="1">
      <c r="A24" s="8" t="s">
        <v>109</v>
      </c>
      <c r="B24" s="8" t="s">
        <v>284</v>
      </c>
      <c r="C24" s="26">
        <v>7</v>
      </c>
      <c r="D24" s="8"/>
      <c r="E24" s="26">
        <v>7.0999999999999996</v>
      </c>
      <c r="F24" s="8"/>
      <c r="G24" s="26">
        <v>7.0999999999999996</v>
      </c>
      <c r="H24" s="8"/>
      <c r="I24" s="26">
        <v>9.9000000000000004</v>
      </c>
      <c r="J24" s="8"/>
      <c r="K24" s="26">
        <v>9.9000000000000004</v>
      </c>
      <c r="L24" s="8"/>
      <c r="M24" s="26">
        <v>9.8000000000000007</v>
      </c>
      <c r="N24" s="8"/>
      <c r="O24" s="26">
        <v>9.8000000000000007</v>
      </c>
      <c r="P24" s="8"/>
      <c r="Q24" s="26">
        <v>12.4</v>
      </c>
      <c r="R24" s="8"/>
      <c r="S24" s="26">
        <v>12.5</v>
      </c>
      <c r="T24" s="8"/>
      <c r="U24" s="26">
        <v>12.5</v>
      </c>
      <c r="V24" s="8"/>
      <c r="W24" s="26">
        <v>12.4</v>
      </c>
      <c r="X24" s="8"/>
      <c r="Y24" s="26">
        <v>8.0999999999999996</v>
      </c>
      <c r="Z24" s="8"/>
      <c r="AA24" s="26">
        <v>8</v>
      </c>
      <c r="AB24" s="8"/>
    </row>
    <row r="25" ht="12" customHeight="1">
      <c r="A25" s="8" t="s">
        <v>111</v>
      </c>
      <c r="B25" s="8" t="s">
        <v>285</v>
      </c>
      <c r="C25" s="26">
        <v>7.2000000000000002</v>
      </c>
      <c r="D25" s="8"/>
      <c r="E25" s="26">
        <v>7.2000000000000002</v>
      </c>
      <c r="F25" s="8"/>
      <c r="G25" s="26">
        <v>7.2000000000000002</v>
      </c>
      <c r="H25" s="8"/>
      <c r="I25" s="26">
        <v>10</v>
      </c>
      <c r="J25" s="8"/>
      <c r="K25" s="26">
        <v>10</v>
      </c>
      <c r="L25" s="8"/>
      <c r="M25" s="26">
        <v>10</v>
      </c>
      <c r="N25" s="8"/>
      <c r="O25" s="26">
        <v>10</v>
      </c>
      <c r="P25" s="8"/>
      <c r="Q25" s="26">
        <v>12.699999999999999</v>
      </c>
      <c r="R25" s="8"/>
      <c r="S25" s="26">
        <v>12.699999999999999</v>
      </c>
      <c r="T25" s="8"/>
      <c r="U25" s="26">
        <v>12.699999999999999</v>
      </c>
      <c r="V25" s="8"/>
      <c r="W25" s="26">
        <v>12.699999999999999</v>
      </c>
      <c r="X25" s="8"/>
      <c r="Y25" s="26">
        <v>8.8000000000000007</v>
      </c>
      <c r="Z25" s="8"/>
      <c r="AA25" s="26">
        <v>8.8000000000000007</v>
      </c>
      <c r="AB25" s="8"/>
    </row>
    <row r="26" ht="12" customHeight="1">
      <c r="A26" s="8" t="s">
        <v>113</v>
      </c>
      <c r="B26" s="8" t="s">
        <v>286</v>
      </c>
      <c r="C26" s="26">
        <v>2.6000000000000001</v>
      </c>
      <c r="D26" s="8"/>
      <c r="E26" s="26">
        <v>3.6000000000000001</v>
      </c>
      <c r="F26" s="8"/>
      <c r="G26" s="26">
        <v>4.5</v>
      </c>
      <c r="H26" s="8"/>
      <c r="I26" s="26">
        <v>4.7999999999999998</v>
      </c>
      <c r="J26" s="8"/>
      <c r="K26" s="26">
        <v>5.5999999999999996</v>
      </c>
      <c r="L26" s="8"/>
      <c r="M26" s="26">
        <v>3.7999999999999998</v>
      </c>
      <c r="N26" s="8"/>
      <c r="O26" s="26">
        <v>3.8999999999999999</v>
      </c>
      <c r="P26" s="8"/>
      <c r="Q26" s="26">
        <v>5.9000000000000004</v>
      </c>
      <c r="R26" s="8"/>
      <c r="S26" s="26">
        <v>4.9000000000000004</v>
      </c>
      <c r="T26" s="8"/>
      <c r="U26" s="26">
        <v>6.7999999999999998</v>
      </c>
      <c r="V26" s="8"/>
      <c r="W26" s="26">
        <v>9</v>
      </c>
      <c r="X26" s="8"/>
      <c r="Y26" s="26">
        <v>11.300000000000001</v>
      </c>
      <c r="Z26" s="8"/>
      <c r="AA26" s="26">
        <v>12.1</v>
      </c>
      <c r="AB26" s="8"/>
    </row>
    <row r="27" ht="12" customHeight="1">
      <c r="A27" s="8" t="s">
        <v>115</v>
      </c>
      <c r="B27" s="8" t="s">
        <v>287</v>
      </c>
      <c r="C27" s="26">
        <v>2.2999999999999998</v>
      </c>
      <c r="D27" s="8"/>
      <c r="E27" s="26">
        <v>3.1000000000000001</v>
      </c>
      <c r="F27" s="8"/>
      <c r="G27" s="26">
        <v>4.0999999999999996</v>
      </c>
      <c r="H27" s="8"/>
      <c r="I27" s="26">
        <v>4</v>
      </c>
      <c r="J27" s="8"/>
      <c r="K27" s="26">
        <v>4.9000000000000004</v>
      </c>
      <c r="L27" s="8"/>
      <c r="M27" s="26">
        <v>3.2000000000000002</v>
      </c>
      <c r="N27" s="8"/>
      <c r="O27" s="26">
        <v>3.3999999999999999</v>
      </c>
      <c r="P27" s="8"/>
      <c r="Q27" s="26">
        <v>5.9000000000000004</v>
      </c>
      <c r="R27" s="8"/>
      <c r="S27" s="26">
        <v>4.5999999999999996</v>
      </c>
      <c r="T27" s="8"/>
      <c r="U27" s="26">
        <v>6.4000000000000004</v>
      </c>
      <c r="V27" s="8"/>
      <c r="W27" s="26">
        <v>8.6999999999999993</v>
      </c>
      <c r="X27" s="8"/>
      <c r="Y27" s="26">
        <v>11.4</v>
      </c>
      <c r="Z27" s="8"/>
      <c r="AA27" s="26">
        <v>12.1</v>
      </c>
      <c r="AB27" s="8"/>
    </row>
    <row r="28" ht="12" customHeight="1">
      <c r="A28" s="11" t="s">
        <v>117</v>
      </c>
      <c r="B28" s="8" t="s">
        <v>288</v>
      </c>
      <c r="C28" s="26">
        <v>8.8000000000000007</v>
      </c>
      <c r="D28" s="8"/>
      <c r="E28" s="26">
        <v>7.2999999999999998</v>
      </c>
      <c r="F28" s="8"/>
      <c r="G28" s="26">
        <v>8</v>
      </c>
      <c r="H28" s="8"/>
      <c r="I28" s="26">
        <v>4.2000000000000002</v>
      </c>
      <c r="J28" s="8"/>
      <c r="K28" s="26">
        <v>1.1000000000000001</v>
      </c>
      <c r="L28" s="8"/>
      <c r="M28" s="26">
        <v>-0.10000000000000001</v>
      </c>
      <c r="N28" s="8"/>
      <c r="O28" s="26">
        <v>-2.8999999999999999</v>
      </c>
      <c r="P28" s="8"/>
      <c r="Q28" s="26">
        <v>-1.3</v>
      </c>
      <c r="R28" s="8"/>
      <c r="S28" s="26">
        <v>-1.8</v>
      </c>
      <c r="T28" s="8"/>
      <c r="U28" s="26">
        <v>0</v>
      </c>
      <c r="V28" s="8"/>
      <c r="W28" s="26">
        <v>0.20000000000000001</v>
      </c>
      <c r="X28" s="8"/>
      <c r="Y28" s="26">
        <v>-0.80000000000000004</v>
      </c>
      <c r="Z28" s="8"/>
      <c r="AA28" s="26">
        <v>-0.69999999999999996</v>
      </c>
      <c r="AB28" s="8"/>
    </row>
    <row r="29" ht="12" customHeight="1">
      <c r="A29" s="8" t="s">
        <v>119</v>
      </c>
      <c r="B29" s="8" t="s">
        <v>289</v>
      </c>
      <c r="C29" s="26">
        <v>6.5999999999999996</v>
      </c>
      <c r="D29" s="8"/>
      <c r="E29" s="26">
        <v>6.2000000000000002</v>
      </c>
      <c r="F29" s="8"/>
      <c r="G29" s="26">
        <v>8.6999999999999993</v>
      </c>
      <c r="H29" s="8"/>
      <c r="I29" s="26">
        <v>2.2000000000000002</v>
      </c>
      <c r="J29" s="8"/>
      <c r="K29" s="26">
        <v>-2.7999999999999998</v>
      </c>
      <c r="L29" s="8"/>
      <c r="M29" s="26">
        <v>-4.7000000000000002</v>
      </c>
      <c r="N29" s="8"/>
      <c r="O29" s="26">
        <v>-7.5999999999999996</v>
      </c>
      <c r="P29" s="8"/>
      <c r="Q29" s="26">
        <v>-2.7000000000000002</v>
      </c>
      <c r="R29" s="8"/>
      <c r="S29" s="26">
        <v>-2.1000000000000001</v>
      </c>
      <c r="T29" s="8"/>
      <c r="U29" s="26">
        <v>3.6000000000000001</v>
      </c>
      <c r="V29" s="8"/>
      <c r="W29" s="26">
        <v>0.69999999999999996</v>
      </c>
      <c r="X29" s="8"/>
      <c r="Y29" s="26">
        <v>-3.8999999999999999</v>
      </c>
      <c r="Z29" s="8"/>
      <c r="AA29" s="26">
        <v>-0.80000000000000004</v>
      </c>
      <c r="AB29" s="8"/>
    </row>
    <row r="30" ht="12" customHeight="1">
      <c r="A30" s="8" t="s">
        <v>121</v>
      </c>
      <c r="B30" s="8" t="s">
        <v>290</v>
      </c>
      <c r="C30" s="26">
        <v>6.5999999999999996</v>
      </c>
      <c r="D30" s="8"/>
      <c r="E30" s="26">
        <v>8.5</v>
      </c>
      <c r="F30" s="8"/>
      <c r="G30" s="26">
        <v>0.80000000000000004</v>
      </c>
      <c r="H30" s="8"/>
      <c r="I30" s="26">
        <v>3.3999999999999999</v>
      </c>
      <c r="J30" s="8"/>
      <c r="K30" s="26">
        <v>4.2999999999999998</v>
      </c>
      <c r="L30" s="8"/>
      <c r="M30" s="26">
        <v>-0.29999999999999999</v>
      </c>
      <c r="N30" s="8"/>
      <c r="O30" s="26">
        <v>12.6</v>
      </c>
      <c r="P30" s="8"/>
      <c r="Q30" s="26">
        <v>6.7000000000000002</v>
      </c>
      <c r="R30" s="8"/>
      <c r="S30" s="26">
        <v>-3.7000000000000002</v>
      </c>
      <c r="T30" s="8"/>
      <c r="U30" s="26">
        <v>4.4000000000000004</v>
      </c>
      <c r="V30" s="8"/>
      <c r="W30" s="26">
        <v>-5.5999999999999996</v>
      </c>
      <c r="X30" s="8"/>
      <c r="Y30" s="26">
        <v>0</v>
      </c>
      <c r="Z30" s="8"/>
      <c r="AA30" s="26">
        <v>4.9000000000000004</v>
      </c>
      <c r="AB30" s="8"/>
    </row>
    <row r="31" ht="12" customHeight="1">
      <c r="A31" s="8" t="s">
        <v>123</v>
      </c>
      <c r="B31" s="8" t="s">
        <v>291</v>
      </c>
      <c r="C31" s="26">
        <v>6.0999999999999996</v>
      </c>
      <c r="D31" s="8"/>
      <c r="E31" s="26">
        <v>2.1000000000000001</v>
      </c>
      <c r="F31" s="8"/>
      <c r="G31" s="26">
        <v>5.4000000000000004</v>
      </c>
      <c r="H31" s="8"/>
      <c r="I31" s="26">
        <v>3.5</v>
      </c>
      <c r="J31" s="8"/>
      <c r="K31" s="26">
        <v>0.5</v>
      </c>
      <c r="L31" s="8"/>
      <c r="M31" s="26">
        <v>-0.69999999999999996</v>
      </c>
      <c r="N31" s="8"/>
      <c r="O31" s="26">
        <v>-5.4000000000000004</v>
      </c>
      <c r="P31" s="8"/>
      <c r="Q31" s="26">
        <v>-5.5999999999999996</v>
      </c>
      <c r="R31" s="8"/>
      <c r="S31" s="26">
        <v>-3.5</v>
      </c>
      <c r="T31" s="8"/>
      <c r="U31" s="26">
        <v>-3.2999999999999998</v>
      </c>
      <c r="V31" s="8"/>
      <c r="W31" s="26">
        <v>-1.6000000000000001</v>
      </c>
      <c r="X31" s="8"/>
      <c r="Y31" s="26">
        <v>0</v>
      </c>
      <c r="Z31" s="8"/>
      <c r="AA31" s="26">
        <v>-1.6000000000000001</v>
      </c>
      <c r="AB31" s="8"/>
    </row>
    <row r="32" ht="12" customHeight="1">
      <c r="A32" s="8" t="s">
        <v>125</v>
      </c>
      <c r="B32" s="8" t="s">
        <v>292</v>
      </c>
      <c r="C32" s="26">
        <v>14.699999999999999</v>
      </c>
      <c r="D32" s="8"/>
      <c r="E32" s="26">
        <v>8.3000000000000007</v>
      </c>
      <c r="F32" s="8"/>
      <c r="G32" s="26">
        <v>5.7999999999999998</v>
      </c>
      <c r="H32" s="8"/>
      <c r="I32" s="26">
        <v>3</v>
      </c>
      <c r="J32" s="8"/>
      <c r="K32" s="26">
        <v>1.6000000000000001</v>
      </c>
      <c r="L32" s="8"/>
      <c r="M32" s="26">
        <v>6.4000000000000004</v>
      </c>
      <c r="N32" s="8"/>
      <c r="O32" s="26">
        <v>1.5</v>
      </c>
      <c r="P32" s="8"/>
      <c r="Q32" s="26">
        <v>1.6000000000000001</v>
      </c>
      <c r="R32" s="8"/>
      <c r="S32" s="26">
        <v>-2.6000000000000001</v>
      </c>
      <c r="T32" s="8"/>
      <c r="U32" s="26">
        <v>0.80000000000000004</v>
      </c>
      <c r="V32" s="8"/>
      <c r="W32" s="26">
        <v>1.6000000000000001</v>
      </c>
      <c r="X32" s="8"/>
      <c r="Y32" s="26">
        <v>2.2999999999999998</v>
      </c>
      <c r="Z32" s="8"/>
      <c r="AA32" s="26">
        <v>-2.7999999999999998</v>
      </c>
      <c r="AB32" s="8"/>
    </row>
    <row r="33" ht="12" customHeight="1">
      <c r="A33" s="8" t="s">
        <v>127</v>
      </c>
      <c r="B33" s="8" t="s">
        <v>293</v>
      </c>
      <c r="C33" s="26">
        <v>7.2999999999999998</v>
      </c>
      <c r="D33" s="8"/>
      <c r="E33" s="26">
        <v>6.7999999999999998</v>
      </c>
      <c r="F33" s="8"/>
      <c r="G33" s="26">
        <v>6</v>
      </c>
      <c r="H33" s="8"/>
      <c r="I33" s="26">
        <v>4.7999999999999998</v>
      </c>
      <c r="J33" s="8"/>
      <c r="K33" s="26">
        <v>3.7999999999999998</v>
      </c>
      <c r="L33" s="8"/>
      <c r="M33" s="26">
        <v>3.1000000000000001</v>
      </c>
      <c r="N33" s="8"/>
      <c r="O33" s="26">
        <v>-2.8999999999999999</v>
      </c>
      <c r="P33" s="8"/>
      <c r="Q33" s="26">
        <v>-3.1000000000000001</v>
      </c>
      <c r="R33" s="8"/>
      <c r="S33" s="26">
        <v>-2.1000000000000001</v>
      </c>
      <c r="T33" s="8"/>
      <c r="U33" s="26">
        <v>-3.2999999999999998</v>
      </c>
      <c r="V33" s="8"/>
      <c r="W33" s="26">
        <v>0.5</v>
      </c>
      <c r="X33" s="8"/>
      <c r="Y33" s="26">
        <v>0.20000000000000001</v>
      </c>
      <c r="Z33" s="8"/>
      <c r="AA33" s="26">
        <v>-3</v>
      </c>
      <c r="AB33" s="8"/>
    </row>
    <row r="34" ht="12" customHeight="1">
      <c r="A34" s="8" t="s">
        <v>129</v>
      </c>
      <c r="B34" s="8" t="s">
        <v>294</v>
      </c>
      <c r="C34" s="26">
        <v>13.1</v>
      </c>
      <c r="D34" s="8"/>
      <c r="E34" s="26">
        <v>12.800000000000001</v>
      </c>
      <c r="F34" s="8"/>
      <c r="G34" s="26">
        <v>13.6</v>
      </c>
      <c r="H34" s="8"/>
      <c r="I34" s="26">
        <v>7.7000000000000002</v>
      </c>
      <c r="J34" s="8"/>
      <c r="K34" s="26">
        <v>3.5</v>
      </c>
      <c r="L34" s="8"/>
      <c r="M34" s="26">
        <v>1.5</v>
      </c>
      <c r="N34" s="8"/>
      <c r="O34" s="26">
        <v>-0.69999999999999996</v>
      </c>
      <c r="P34" s="8"/>
      <c r="Q34" s="26">
        <v>1.7</v>
      </c>
      <c r="R34" s="8"/>
      <c r="S34" s="26">
        <v>1</v>
      </c>
      <c r="T34" s="8"/>
      <c r="U34" s="26">
        <v>-0.59999999999999998</v>
      </c>
      <c r="V34" s="8"/>
      <c r="W34" s="26">
        <v>0.59999999999999998</v>
      </c>
      <c r="X34" s="8"/>
      <c r="Y34" s="26">
        <v>-1.3</v>
      </c>
      <c r="Z34" s="8"/>
      <c r="AA34" s="26">
        <v>-0.20000000000000001</v>
      </c>
      <c r="AB34" s="8"/>
    </row>
    <row r="35" ht="12" customHeight="1">
      <c r="A35" s="11" t="s">
        <v>131</v>
      </c>
      <c r="B35" s="8" t="s">
        <v>295</v>
      </c>
      <c r="C35" s="26">
        <v>5.4000000000000004</v>
      </c>
      <c r="D35" s="8"/>
      <c r="E35" s="26">
        <v>5.0999999999999996</v>
      </c>
      <c r="F35" s="8"/>
      <c r="G35" s="26">
        <v>5.0999999999999996</v>
      </c>
      <c r="H35" s="8"/>
      <c r="I35" s="26">
        <v>-0.10000000000000001</v>
      </c>
      <c r="J35" s="8"/>
      <c r="K35" s="26">
        <v>0.20000000000000001</v>
      </c>
      <c r="L35" s="8"/>
      <c r="M35" s="26">
        <v>2</v>
      </c>
      <c r="N35" s="8"/>
      <c r="O35" s="26">
        <v>0.80000000000000004</v>
      </c>
      <c r="P35" s="8"/>
      <c r="Q35" s="26">
        <v>10.9</v>
      </c>
      <c r="R35" s="8"/>
      <c r="S35" s="26">
        <v>7.7000000000000002</v>
      </c>
      <c r="T35" s="8"/>
      <c r="U35" s="26">
        <v>5.7000000000000002</v>
      </c>
      <c r="V35" s="8"/>
      <c r="W35" s="26">
        <v>5.5</v>
      </c>
      <c r="X35" s="8"/>
      <c r="Y35" s="26">
        <v>-0.69999999999999996</v>
      </c>
      <c r="Z35" s="8"/>
      <c r="AA35" s="26">
        <v>-0.40000000000000002</v>
      </c>
      <c r="AB35" s="8"/>
    </row>
    <row r="36" ht="12" customHeight="1">
      <c r="A36" s="8" t="s">
        <v>133</v>
      </c>
      <c r="B36" s="8" t="s">
        <v>296</v>
      </c>
      <c r="C36" s="26">
        <v>4.5999999999999996</v>
      </c>
      <c r="D36" s="8"/>
      <c r="E36" s="26">
        <v>3.5</v>
      </c>
      <c r="F36" s="8"/>
      <c r="G36" s="26">
        <v>5</v>
      </c>
      <c r="H36" s="8"/>
      <c r="I36" s="26">
        <v>-14</v>
      </c>
      <c r="J36" s="8"/>
      <c r="K36" s="26">
        <v>-14.699999999999999</v>
      </c>
      <c r="L36" s="8"/>
      <c r="M36" s="26">
        <v>-15.199999999999999</v>
      </c>
      <c r="N36" s="8"/>
      <c r="O36" s="26">
        <v>-16.300000000000001</v>
      </c>
      <c r="P36" s="8"/>
      <c r="Q36" s="26">
        <v>22.800000000000001</v>
      </c>
      <c r="R36" s="8"/>
      <c r="S36" s="26">
        <v>15.1</v>
      </c>
      <c r="T36" s="8"/>
      <c r="U36" s="26">
        <v>15.300000000000001</v>
      </c>
      <c r="V36" s="8"/>
      <c r="W36" s="26">
        <v>14.800000000000001</v>
      </c>
      <c r="X36" s="8"/>
      <c r="Y36" s="26">
        <v>-8.9000000000000004</v>
      </c>
      <c r="Z36" s="8"/>
      <c r="AA36" s="26">
        <v>-6</v>
      </c>
      <c r="AB36" s="8"/>
    </row>
    <row r="37" ht="12" customHeight="1">
      <c r="A37" s="8" t="s">
        <v>135</v>
      </c>
      <c r="B37" s="8" t="s">
        <v>297</v>
      </c>
      <c r="C37" s="26">
        <v>5.7000000000000002</v>
      </c>
      <c r="D37" s="8"/>
      <c r="E37" s="26">
        <v>5.7000000000000002</v>
      </c>
      <c r="F37" s="8"/>
      <c r="G37" s="26">
        <v>5.2000000000000002</v>
      </c>
      <c r="H37" s="8"/>
      <c r="I37" s="26">
        <v>5</v>
      </c>
      <c r="J37" s="8"/>
      <c r="K37" s="26">
        <v>5.4000000000000004</v>
      </c>
      <c r="L37" s="8"/>
      <c r="M37" s="26">
        <v>8.3000000000000007</v>
      </c>
      <c r="N37" s="8"/>
      <c r="O37" s="26">
        <v>7</v>
      </c>
      <c r="P37" s="8"/>
      <c r="Q37" s="26">
        <v>7.0999999999999996</v>
      </c>
      <c r="R37" s="8"/>
      <c r="S37" s="26">
        <v>5.5</v>
      </c>
      <c r="T37" s="8"/>
      <c r="U37" s="26">
        <v>2.7000000000000002</v>
      </c>
      <c r="V37" s="8"/>
      <c r="W37" s="26">
        <v>2.8999999999999999</v>
      </c>
      <c r="X37" s="8"/>
      <c r="Y37" s="26">
        <v>3.1000000000000001</v>
      </c>
      <c r="Z37" s="8"/>
      <c r="AA37" s="26">
        <v>3</v>
      </c>
      <c r="AB37" s="8"/>
    </row>
    <row r="38" ht="12" customHeight="1">
      <c r="A38" s="8" t="s">
        <v>137</v>
      </c>
      <c r="B38" s="8" t="s">
        <v>298</v>
      </c>
      <c r="C38" s="26">
        <v>9.1999999999999993</v>
      </c>
      <c r="D38" s="8"/>
      <c r="E38" s="26">
        <v>11</v>
      </c>
      <c r="F38" s="8"/>
      <c r="G38" s="26">
        <v>7.2999999999999998</v>
      </c>
      <c r="H38" s="8"/>
      <c r="I38" s="26">
        <v>10.1</v>
      </c>
      <c r="J38" s="8"/>
      <c r="K38" s="26">
        <v>13.5</v>
      </c>
      <c r="L38" s="8"/>
      <c r="M38" s="26">
        <v>13.4</v>
      </c>
      <c r="N38" s="8"/>
      <c r="O38" s="26">
        <v>11.6</v>
      </c>
      <c r="P38" s="8"/>
      <c r="Q38" s="26">
        <v>15.5</v>
      </c>
      <c r="R38" s="8"/>
      <c r="S38" s="26">
        <v>11.5</v>
      </c>
      <c r="T38" s="8"/>
      <c r="U38" s="26">
        <v>9.9000000000000004</v>
      </c>
      <c r="V38" s="8"/>
      <c r="W38" s="26">
        <v>10.199999999999999</v>
      </c>
      <c r="X38" s="8"/>
      <c r="Y38" s="26">
        <v>3.7999999999999998</v>
      </c>
      <c r="Z38" s="8"/>
      <c r="AA38" s="26">
        <v>3.5</v>
      </c>
      <c r="AB38" s="8"/>
    </row>
    <row r="39" ht="12" customHeight="1">
      <c r="A39" s="11" t="s">
        <v>139</v>
      </c>
      <c r="B39" s="8" t="s">
        <v>299</v>
      </c>
      <c r="C39" s="26">
        <v>6.2999999999999998</v>
      </c>
      <c r="D39" s="8"/>
      <c r="E39" s="26">
        <v>0</v>
      </c>
      <c r="F39" s="8"/>
      <c r="G39" s="26">
        <v>-4</v>
      </c>
      <c r="H39" s="8"/>
      <c r="I39" s="26">
        <v>4.0999999999999996</v>
      </c>
      <c r="J39" s="8"/>
      <c r="K39" s="26">
        <v>5.7000000000000002</v>
      </c>
      <c r="L39" s="8"/>
      <c r="M39" s="26">
        <v>5.5</v>
      </c>
      <c r="N39" s="8"/>
      <c r="O39" s="26">
        <v>7.0999999999999996</v>
      </c>
      <c r="P39" s="8"/>
      <c r="Q39" s="26">
        <v>-4.2000000000000002</v>
      </c>
      <c r="R39" s="8"/>
      <c r="S39" s="26">
        <v>-3.3999999999999999</v>
      </c>
      <c r="T39" s="8"/>
      <c r="U39" s="26">
        <v>0.29999999999999999</v>
      </c>
      <c r="V39" s="8"/>
      <c r="W39" s="26">
        <v>-1.7</v>
      </c>
      <c r="X39" s="8"/>
      <c r="Y39" s="26">
        <v>1.3999999999999999</v>
      </c>
      <c r="Z39" s="8"/>
      <c r="AA39" s="26">
        <v>2.7000000000000002</v>
      </c>
      <c r="AB39" s="8"/>
    </row>
    <row r="40" ht="12" customHeight="1">
      <c r="A40" s="8" t="s">
        <v>141</v>
      </c>
      <c r="B40" s="8" t="s">
        <v>300</v>
      </c>
      <c r="C40" s="26">
        <v>2.2999999999999998</v>
      </c>
      <c r="D40" s="8"/>
      <c r="E40" s="26">
        <v>0.59999999999999998</v>
      </c>
      <c r="F40" s="8"/>
      <c r="G40" s="26">
        <v>1.8999999999999999</v>
      </c>
      <c r="H40" s="8"/>
      <c r="I40" s="26">
        <v>4.9000000000000004</v>
      </c>
      <c r="J40" s="8"/>
      <c r="K40" s="26">
        <v>2.6000000000000001</v>
      </c>
      <c r="L40" s="8"/>
      <c r="M40" s="26">
        <v>0.40000000000000002</v>
      </c>
      <c r="N40" s="8"/>
      <c r="O40" s="26">
        <v>-3.8999999999999999</v>
      </c>
      <c r="P40" s="8"/>
      <c r="Q40" s="26">
        <v>-8</v>
      </c>
      <c r="R40" s="8"/>
      <c r="S40" s="26">
        <v>-3.8999999999999999</v>
      </c>
      <c r="T40" s="8"/>
      <c r="U40" s="26">
        <v>-2.5</v>
      </c>
      <c r="V40" s="8"/>
      <c r="W40" s="26">
        <v>1.6000000000000001</v>
      </c>
      <c r="X40" s="8"/>
      <c r="Y40" s="26">
        <v>3.3999999999999999</v>
      </c>
      <c r="Z40" s="8"/>
      <c r="AA40" s="26">
        <v>1.5</v>
      </c>
      <c r="AB40" s="8"/>
    </row>
    <row r="41" ht="12" customHeight="1">
      <c r="A41" s="8" t="s">
        <v>143</v>
      </c>
      <c r="B41" s="8" t="s">
        <v>301</v>
      </c>
      <c r="C41" s="26">
        <v>4.7000000000000002</v>
      </c>
      <c r="D41" s="8"/>
      <c r="E41" s="26">
        <v>-4</v>
      </c>
      <c r="F41" s="8"/>
      <c r="G41" s="26">
        <v>-10.300000000000001</v>
      </c>
      <c r="H41" s="8"/>
      <c r="I41" s="26">
        <v>3.5</v>
      </c>
      <c r="J41" s="8"/>
      <c r="K41" s="26">
        <v>9.0999999999999996</v>
      </c>
      <c r="L41" s="8"/>
      <c r="M41" s="26">
        <v>9.5999999999999996</v>
      </c>
      <c r="N41" s="8"/>
      <c r="O41" s="26">
        <v>13.4</v>
      </c>
      <c r="P41" s="8"/>
      <c r="Q41" s="26">
        <v>-3</v>
      </c>
      <c r="R41" s="8"/>
      <c r="S41" s="26">
        <v>-4.4000000000000004</v>
      </c>
      <c r="T41" s="8"/>
      <c r="U41" s="26">
        <v>0.20000000000000001</v>
      </c>
      <c r="V41" s="8"/>
      <c r="W41" s="26">
        <v>-3.5</v>
      </c>
      <c r="X41" s="8"/>
      <c r="Y41" s="26">
        <v>0.80000000000000004</v>
      </c>
      <c r="Z41" s="8"/>
      <c r="AA41" s="26">
        <v>3.5</v>
      </c>
      <c r="AB41" s="8"/>
    </row>
    <row r="42" ht="12" customHeight="1">
      <c r="A42" s="8" t="s">
        <v>145</v>
      </c>
      <c r="B42" s="8" t="s">
        <v>302</v>
      </c>
      <c r="C42" s="26">
        <v>2.1000000000000001</v>
      </c>
      <c r="D42" s="8"/>
      <c r="E42" s="26">
        <v>-8.5</v>
      </c>
      <c r="F42" s="8"/>
      <c r="G42" s="26">
        <v>-15.300000000000001</v>
      </c>
      <c r="H42" s="8"/>
      <c r="I42" s="26">
        <v>3.7000000000000002</v>
      </c>
      <c r="J42" s="8"/>
      <c r="K42" s="26">
        <v>12</v>
      </c>
      <c r="L42" s="8"/>
      <c r="M42" s="26">
        <v>12.1</v>
      </c>
      <c r="N42" s="8"/>
      <c r="O42" s="26">
        <v>14.6</v>
      </c>
      <c r="P42" s="8"/>
      <c r="Q42" s="26">
        <v>-7.5</v>
      </c>
      <c r="R42" s="8"/>
      <c r="S42" s="26">
        <v>-8.5999999999999996</v>
      </c>
      <c r="T42" s="8"/>
      <c r="U42" s="26">
        <v>-2</v>
      </c>
      <c r="V42" s="8"/>
      <c r="W42" s="26">
        <v>-7.4000000000000004</v>
      </c>
      <c r="X42" s="8"/>
      <c r="Y42" s="26">
        <v>-1.5</v>
      </c>
      <c r="Z42" s="8"/>
      <c r="AA42" s="26">
        <v>2.2000000000000002</v>
      </c>
      <c r="AB42" s="8"/>
    </row>
    <row r="43" ht="12" customHeight="1">
      <c r="A43" s="8" t="s">
        <v>147</v>
      </c>
      <c r="B43" s="8" t="s">
        <v>303</v>
      </c>
      <c r="C43" s="26">
        <v>10.800000000000001</v>
      </c>
      <c r="D43" s="8"/>
      <c r="E43" s="26">
        <v>14.800000000000001</v>
      </c>
      <c r="F43" s="8"/>
      <c r="G43" s="26">
        <v>21.800000000000001</v>
      </c>
      <c r="H43" s="8"/>
      <c r="I43" s="26">
        <v>5.2999999999999998</v>
      </c>
      <c r="J43" s="8"/>
      <c r="K43" s="26">
        <v>-3.7000000000000002</v>
      </c>
      <c r="L43" s="8"/>
      <c r="M43" s="26">
        <v>-3.3999999999999999</v>
      </c>
      <c r="N43" s="8"/>
      <c r="O43" s="26">
        <v>-0.59999999999999998</v>
      </c>
      <c r="P43" s="8"/>
      <c r="Q43" s="26">
        <v>-2.2000000000000002</v>
      </c>
      <c r="R43" s="8"/>
      <c r="S43" s="26">
        <v>2.3999999999999999</v>
      </c>
      <c r="T43" s="8"/>
      <c r="U43" s="26">
        <v>4.7000000000000002</v>
      </c>
      <c r="V43" s="8"/>
      <c r="W43" s="26">
        <v>2.6000000000000001</v>
      </c>
      <c r="X43" s="8"/>
      <c r="Y43" s="26">
        <v>0</v>
      </c>
      <c r="Z43" s="8"/>
      <c r="AA43" s="26">
        <v>1.3999999999999999</v>
      </c>
      <c r="AB43" s="8"/>
    </row>
    <row r="44" ht="12" customHeight="1">
      <c r="A44" s="11" t="s">
        <v>149</v>
      </c>
      <c r="B44" s="8" t="s">
        <v>304</v>
      </c>
      <c r="C44" s="26">
        <v>1.3</v>
      </c>
      <c r="D44" s="8"/>
      <c r="E44" s="26">
        <v>1.5</v>
      </c>
      <c r="F44" s="8"/>
      <c r="G44" s="26">
        <v>2.2999999999999998</v>
      </c>
      <c r="H44" s="8"/>
      <c r="I44" s="26">
        <v>2.2999999999999998</v>
      </c>
      <c r="J44" s="8"/>
      <c r="K44" s="26">
        <v>3.7999999999999998</v>
      </c>
      <c r="L44" s="8"/>
      <c r="M44" s="26">
        <v>3.7999999999999998</v>
      </c>
      <c r="N44" s="8"/>
      <c r="O44" s="26">
        <v>4</v>
      </c>
      <c r="P44" s="8"/>
      <c r="Q44" s="26">
        <v>3.6000000000000001</v>
      </c>
      <c r="R44" s="8"/>
      <c r="S44" s="26">
        <v>3.7999999999999998</v>
      </c>
      <c r="T44" s="8"/>
      <c r="U44" s="26">
        <v>3.7000000000000002</v>
      </c>
      <c r="V44" s="8"/>
      <c r="W44" s="26">
        <v>2.7000000000000002</v>
      </c>
      <c r="X44" s="8"/>
      <c r="Y44" s="26">
        <v>2</v>
      </c>
      <c r="Z44" s="8"/>
      <c r="AA44" s="26">
        <v>4.4000000000000004</v>
      </c>
      <c r="AB44" s="8"/>
    </row>
    <row r="45" ht="12" customHeight="1">
      <c r="A45" s="8" t="s">
        <v>151</v>
      </c>
      <c r="B45" s="8" t="s">
        <v>305</v>
      </c>
      <c r="C45" s="26">
        <v>11.800000000000001</v>
      </c>
      <c r="D45" s="8"/>
      <c r="E45" s="26">
        <v>11.6</v>
      </c>
      <c r="F45" s="8"/>
      <c r="G45" s="26">
        <v>6.9000000000000004</v>
      </c>
      <c r="H45" s="8"/>
      <c r="I45" s="26">
        <v>7.2000000000000002</v>
      </c>
      <c r="J45" s="8"/>
      <c r="K45" s="26">
        <v>6.5999999999999996</v>
      </c>
      <c r="L45" s="8"/>
      <c r="M45" s="26">
        <v>2.8999999999999999</v>
      </c>
      <c r="N45" s="8"/>
      <c r="O45" s="26">
        <v>3.7999999999999998</v>
      </c>
      <c r="P45" s="8"/>
      <c r="Q45" s="26">
        <v>0.10000000000000001</v>
      </c>
      <c r="R45" s="8"/>
      <c r="S45" s="26">
        <v>-2.1000000000000001</v>
      </c>
      <c r="T45" s="8"/>
      <c r="U45" s="26">
        <v>-0.40000000000000002</v>
      </c>
      <c r="V45" s="8"/>
      <c r="W45" s="26">
        <v>0.90000000000000002</v>
      </c>
      <c r="X45" s="8"/>
      <c r="Y45" s="26">
        <v>7.2999999999999998</v>
      </c>
      <c r="Z45" s="8"/>
      <c r="AA45" s="26">
        <v>8.4000000000000004</v>
      </c>
      <c r="AB45" s="8"/>
    </row>
    <row r="46" ht="12" customHeight="1">
      <c r="A46" s="8" t="s">
        <v>153</v>
      </c>
      <c r="B46" s="8" t="s">
        <v>306</v>
      </c>
      <c r="C46" s="26">
        <v>-15.5</v>
      </c>
      <c r="D46" s="8"/>
      <c r="E46" s="26">
        <v>-10.4</v>
      </c>
      <c r="F46" s="8"/>
      <c r="G46" s="26">
        <v>-25.100000000000001</v>
      </c>
      <c r="H46" s="8"/>
      <c r="I46" s="26">
        <v>-14.5</v>
      </c>
      <c r="J46" s="8"/>
      <c r="K46" s="26">
        <v>-0.69999999999999996</v>
      </c>
      <c r="L46" s="8"/>
      <c r="M46" s="26">
        <v>-4.7999999999999998</v>
      </c>
      <c r="N46" s="8"/>
      <c r="O46" s="26">
        <v>14.4</v>
      </c>
      <c r="P46" s="8"/>
      <c r="Q46" s="26">
        <v>3.2000000000000002</v>
      </c>
      <c r="R46" s="8"/>
      <c r="S46" s="26">
        <v>-10.800000000000001</v>
      </c>
      <c r="T46" s="8"/>
      <c r="U46" s="26">
        <v>-13.300000000000001</v>
      </c>
      <c r="V46" s="8"/>
      <c r="W46" s="26">
        <v>-25.600000000000001</v>
      </c>
      <c r="X46" s="8"/>
      <c r="Y46" s="26">
        <v>-15.300000000000001</v>
      </c>
      <c r="Z46" s="8"/>
      <c r="AA46" s="26">
        <v>-5.5</v>
      </c>
      <c r="AB46" s="8"/>
    </row>
    <row r="47" ht="12" customHeight="1">
      <c r="A47" s="8" t="s">
        <v>155</v>
      </c>
      <c r="B47" s="8" t="s">
        <v>307</v>
      </c>
      <c r="C47" s="26">
        <v>1.8</v>
      </c>
      <c r="D47" s="8"/>
      <c r="E47" s="26">
        <v>1.6000000000000001</v>
      </c>
      <c r="F47" s="8"/>
      <c r="G47" s="26">
        <v>3.7999999999999998</v>
      </c>
      <c r="H47" s="8"/>
      <c r="I47" s="26">
        <v>2.7999999999999998</v>
      </c>
      <c r="J47" s="8"/>
      <c r="K47" s="26">
        <v>4</v>
      </c>
      <c r="L47" s="8"/>
      <c r="M47" s="26">
        <v>4.4000000000000004</v>
      </c>
      <c r="N47" s="8"/>
      <c r="O47" s="26">
        <v>3.7000000000000002</v>
      </c>
      <c r="P47" s="8"/>
      <c r="Q47" s="26">
        <v>3.7999999999999998</v>
      </c>
      <c r="R47" s="8"/>
      <c r="S47" s="26">
        <v>4.7999999999999998</v>
      </c>
      <c r="T47" s="8"/>
      <c r="U47" s="26">
        <v>5.9000000000000004</v>
      </c>
      <c r="V47" s="8"/>
      <c r="W47" s="26">
        <v>6.9000000000000004</v>
      </c>
      <c r="X47" s="8"/>
      <c r="Y47" s="26">
        <v>6.4000000000000004</v>
      </c>
      <c r="Z47" s="8"/>
      <c r="AA47" s="26">
        <v>7</v>
      </c>
      <c r="AB47" s="8"/>
    </row>
    <row r="48" ht="12" customHeight="1">
      <c r="A48" s="11" t="s">
        <v>157</v>
      </c>
      <c r="B48" s="8" t="s">
        <v>308</v>
      </c>
      <c r="C48" s="26">
        <v>5.4000000000000004</v>
      </c>
      <c r="D48" s="8"/>
      <c r="E48" s="26">
        <v>7.0999999999999996</v>
      </c>
      <c r="F48" s="8"/>
      <c r="G48" s="26">
        <v>7.0999999999999996</v>
      </c>
      <c r="H48" s="8"/>
      <c r="I48" s="26">
        <v>6.2000000000000002</v>
      </c>
      <c r="J48" s="8"/>
      <c r="K48" s="26">
        <v>4.2999999999999998</v>
      </c>
      <c r="L48" s="8"/>
      <c r="M48" s="26">
        <v>5.5</v>
      </c>
      <c r="N48" s="8"/>
      <c r="O48" s="26">
        <v>2.7000000000000002</v>
      </c>
      <c r="P48" s="8"/>
      <c r="Q48" s="26">
        <v>2.2000000000000002</v>
      </c>
      <c r="R48" s="8"/>
      <c r="S48" s="26">
        <v>2.7999999999999998</v>
      </c>
      <c r="T48" s="8"/>
      <c r="U48" s="26">
        <v>0.20000000000000001</v>
      </c>
      <c r="V48" s="8"/>
      <c r="W48" s="26">
        <v>3</v>
      </c>
      <c r="X48" s="8"/>
      <c r="Y48" s="26">
        <v>3.2000000000000002</v>
      </c>
      <c r="Z48" s="8"/>
      <c r="AA48" s="26">
        <v>2.2000000000000002</v>
      </c>
      <c r="AB48" s="8"/>
    </row>
    <row r="49" ht="12" customHeight="1">
      <c r="A49" s="8" t="s">
        <v>159</v>
      </c>
      <c r="B49" s="8" t="s">
        <v>309</v>
      </c>
      <c r="C49" s="26">
        <v>-6.7999999999999998</v>
      </c>
      <c r="D49" s="8"/>
      <c r="E49" s="26">
        <v>-4.0999999999999996</v>
      </c>
      <c r="F49" s="8"/>
      <c r="G49" s="26">
        <v>-8.3000000000000007</v>
      </c>
      <c r="H49" s="8"/>
      <c r="I49" s="26">
        <v>-9.9000000000000004</v>
      </c>
      <c r="J49" s="8"/>
      <c r="K49" s="26">
        <v>-9.1999999999999993</v>
      </c>
      <c r="L49" s="8"/>
      <c r="M49" s="26">
        <v>-12.9</v>
      </c>
      <c r="N49" s="8"/>
      <c r="O49" s="26">
        <v>-7.5999999999999996</v>
      </c>
      <c r="P49" s="8"/>
      <c r="Q49" s="26">
        <v>-7.2999999999999998</v>
      </c>
      <c r="R49" s="8"/>
      <c r="S49" s="26">
        <v>-7.7999999999999998</v>
      </c>
      <c r="T49" s="8"/>
      <c r="U49" s="26">
        <v>-6.5999999999999996</v>
      </c>
      <c r="V49" s="8"/>
      <c r="W49" s="26">
        <v>-11</v>
      </c>
      <c r="X49" s="8"/>
      <c r="Y49" s="26">
        <v>-11.9</v>
      </c>
      <c r="Z49" s="8"/>
      <c r="AA49" s="26">
        <v>-11</v>
      </c>
      <c r="AB49" s="8"/>
    </row>
    <row r="50" ht="12" customHeight="1">
      <c r="A50" s="8" t="s">
        <v>161</v>
      </c>
      <c r="B50" s="8" t="s">
        <v>310</v>
      </c>
      <c r="C50" s="26">
        <v>8.0999999999999996</v>
      </c>
      <c r="D50" s="8"/>
      <c r="E50" s="26">
        <v>7</v>
      </c>
      <c r="F50" s="8"/>
      <c r="G50" s="26">
        <v>2</v>
      </c>
      <c r="H50" s="8"/>
      <c r="I50" s="26">
        <v>1.3</v>
      </c>
      <c r="J50" s="8"/>
      <c r="K50" s="26">
        <v>-4</v>
      </c>
      <c r="L50" s="8"/>
      <c r="M50" s="26">
        <v>2.3999999999999999</v>
      </c>
      <c r="N50" s="8"/>
      <c r="O50" s="26">
        <v>2.5</v>
      </c>
      <c r="P50" s="8"/>
      <c r="Q50" s="26">
        <v>-4.2999999999999998</v>
      </c>
      <c r="R50" s="8"/>
      <c r="S50" s="26">
        <v>-1.3</v>
      </c>
      <c r="T50" s="8"/>
      <c r="U50" s="26">
        <v>-6.5</v>
      </c>
      <c r="V50" s="8"/>
      <c r="W50" s="26">
        <v>-4</v>
      </c>
      <c r="X50" s="8"/>
      <c r="Y50" s="26">
        <v>2.2000000000000002</v>
      </c>
      <c r="Z50" s="8"/>
      <c r="AA50" s="26">
        <v>2.8999999999999999</v>
      </c>
      <c r="AB50" s="8"/>
    </row>
    <row r="51" ht="12" customHeight="1">
      <c r="A51" s="8" t="s">
        <v>163</v>
      </c>
      <c r="B51" s="8" t="s">
        <v>311</v>
      </c>
      <c r="C51" s="26">
        <v>7</v>
      </c>
      <c r="D51" s="8"/>
      <c r="E51" s="26">
        <v>8.1999999999999993</v>
      </c>
      <c r="F51" s="8"/>
      <c r="G51" s="26">
        <v>10.199999999999999</v>
      </c>
      <c r="H51" s="8"/>
      <c r="I51" s="26">
        <v>7.0999999999999996</v>
      </c>
      <c r="J51" s="8"/>
      <c r="K51" s="26">
        <v>4.5</v>
      </c>
      <c r="L51" s="8"/>
      <c r="M51" s="26">
        <v>4.5999999999999996</v>
      </c>
      <c r="N51" s="8"/>
      <c r="O51" s="26">
        <v>-2.1000000000000001</v>
      </c>
      <c r="P51" s="8"/>
      <c r="Q51" s="26">
        <v>0.20000000000000001</v>
      </c>
      <c r="R51" s="8"/>
      <c r="S51" s="26">
        <v>1.1000000000000001</v>
      </c>
      <c r="T51" s="8"/>
      <c r="U51" s="26">
        <v>-0.90000000000000002</v>
      </c>
      <c r="V51" s="8"/>
      <c r="W51" s="26">
        <v>-0.20000000000000001</v>
      </c>
      <c r="X51" s="8"/>
      <c r="Y51" s="26">
        <v>-0.69999999999999996</v>
      </c>
      <c r="Z51" s="8"/>
      <c r="AA51" s="26">
        <v>-1.3999999999999999</v>
      </c>
      <c r="AB51" s="8"/>
    </row>
    <row r="52" ht="12" customHeight="1">
      <c r="A52" s="8" t="s">
        <v>165</v>
      </c>
      <c r="B52" s="8" t="s">
        <v>312</v>
      </c>
      <c r="C52" s="26">
        <v>2.2000000000000002</v>
      </c>
      <c r="D52" s="8"/>
      <c r="E52" s="26">
        <v>3.6000000000000001</v>
      </c>
      <c r="F52" s="8"/>
      <c r="G52" s="26">
        <v>4.2000000000000002</v>
      </c>
      <c r="H52" s="8"/>
      <c r="I52" s="26">
        <v>7.7999999999999998</v>
      </c>
      <c r="J52" s="8"/>
      <c r="K52" s="26">
        <v>7.5</v>
      </c>
      <c r="L52" s="8"/>
      <c r="M52" s="26">
        <v>8.0999999999999996</v>
      </c>
      <c r="N52" s="8"/>
      <c r="O52" s="26">
        <v>8.6999999999999993</v>
      </c>
      <c r="P52" s="8"/>
      <c r="Q52" s="26">
        <v>7.0999999999999996</v>
      </c>
      <c r="R52" s="8"/>
      <c r="S52" s="26">
        <v>5.4000000000000004</v>
      </c>
      <c r="T52" s="8"/>
      <c r="U52" s="26">
        <v>3.7999999999999998</v>
      </c>
      <c r="V52" s="8"/>
      <c r="W52" s="26">
        <v>7.4000000000000004</v>
      </c>
      <c r="X52" s="8"/>
      <c r="Y52" s="26">
        <v>7.7999999999999998</v>
      </c>
      <c r="Z52" s="8"/>
      <c r="AA52" s="26">
        <v>6.7999999999999998</v>
      </c>
      <c r="AB52" s="8"/>
    </row>
    <row r="53" ht="12" customHeight="1">
      <c r="A53" s="8" t="s">
        <v>167</v>
      </c>
      <c r="B53" s="8" t="s">
        <v>313</v>
      </c>
      <c r="C53" s="26">
        <v>5.9000000000000004</v>
      </c>
      <c r="D53" s="8"/>
      <c r="E53" s="26">
        <v>9.5999999999999996</v>
      </c>
      <c r="F53" s="8"/>
      <c r="G53" s="26">
        <v>7.7000000000000002</v>
      </c>
      <c r="H53" s="8"/>
      <c r="I53" s="26">
        <v>9.5999999999999996</v>
      </c>
      <c r="J53" s="8"/>
      <c r="K53" s="26">
        <v>6.5999999999999996</v>
      </c>
      <c r="L53" s="8"/>
      <c r="M53" s="26">
        <v>6</v>
      </c>
      <c r="N53" s="8"/>
      <c r="O53" s="26">
        <v>5.9000000000000004</v>
      </c>
      <c r="P53" s="8"/>
      <c r="Q53" s="26">
        <v>3.6000000000000001</v>
      </c>
      <c r="R53" s="8"/>
      <c r="S53" s="26">
        <v>4.5</v>
      </c>
      <c r="T53" s="8"/>
      <c r="U53" s="26">
        <v>3.7999999999999998</v>
      </c>
      <c r="V53" s="8"/>
      <c r="W53" s="26">
        <v>1.5</v>
      </c>
      <c r="X53" s="8"/>
      <c r="Y53" s="26">
        <v>3.2000000000000002</v>
      </c>
      <c r="Z53" s="8"/>
      <c r="AA53" s="26">
        <v>3.1000000000000001</v>
      </c>
      <c r="AB53" s="8"/>
    </row>
    <row r="54" ht="12" customHeight="1">
      <c r="A54" s="8" t="s">
        <v>169</v>
      </c>
      <c r="B54" s="8" t="s">
        <v>314</v>
      </c>
      <c r="C54" s="26">
        <v>18.699999999999999</v>
      </c>
      <c r="D54" s="8"/>
      <c r="E54" s="26">
        <v>19</v>
      </c>
      <c r="F54" s="8"/>
      <c r="G54" s="26">
        <v>14.4</v>
      </c>
      <c r="H54" s="8"/>
      <c r="I54" s="26">
        <v>7.0999999999999996</v>
      </c>
      <c r="J54" s="8"/>
      <c r="K54" s="26">
        <v>2.8999999999999999</v>
      </c>
      <c r="L54" s="8"/>
      <c r="M54" s="26">
        <v>7.2999999999999998</v>
      </c>
      <c r="N54" s="8"/>
      <c r="O54" s="26">
        <v>3.1000000000000001</v>
      </c>
      <c r="P54" s="8"/>
      <c r="Q54" s="26">
        <v>0.90000000000000002</v>
      </c>
      <c r="R54" s="8"/>
      <c r="S54" s="26">
        <v>4</v>
      </c>
      <c r="T54" s="8"/>
      <c r="U54" s="26">
        <v>-0.29999999999999999</v>
      </c>
      <c r="V54" s="8"/>
      <c r="W54" s="26">
        <v>8.5999999999999996</v>
      </c>
      <c r="X54" s="8"/>
      <c r="Y54" s="26">
        <v>9.3000000000000007</v>
      </c>
      <c r="Z54" s="8"/>
      <c r="AA54" s="26">
        <v>7.4000000000000004</v>
      </c>
      <c r="AB54" s="8"/>
    </row>
    <row r="55" ht="12" customHeight="1">
      <c r="A55" s="11" t="s">
        <v>171</v>
      </c>
      <c r="B55" s="8" t="s">
        <v>315</v>
      </c>
      <c r="C55" s="26">
        <v>2.8999999999999999</v>
      </c>
      <c r="D55" s="8"/>
      <c r="E55" s="26">
        <v>3.7000000000000002</v>
      </c>
      <c r="F55" s="8"/>
      <c r="G55" s="26">
        <v>3.7000000000000002</v>
      </c>
      <c r="H55" s="8"/>
      <c r="I55" s="26">
        <v>3.2999999999999998</v>
      </c>
      <c r="J55" s="8"/>
      <c r="K55" s="26">
        <v>3.2999999999999998</v>
      </c>
      <c r="L55" s="8"/>
      <c r="M55" s="26">
        <v>3.7000000000000002</v>
      </c>
      <c r="N55" s="8"/>
      <c r="O55" s="26">
        <v>3.7000000000000002</v>
      </c>
      <c r="P55" s="8"/>
      <c r="Q55" s="26">
        <v>-5.7000000000000002</v>
      </c>
      <c r="R55" s="8"/>
      <c r="S55" s="26">
        <v>-5.7000000000000002</v>
      </c>
      <c r="T55" s="8"/>
      <c r="U55" s="26">
        <v>-2</v>
      </c>
      <c r="V55" s="8"/>
      <c r="W55" s="26">
        <v>-2</v>
      </c>
      <c r="X55" s="8"/>
      <c r="Y55" s="26">
        <v>6.9000000000000004</v>
      </c>
      <c r="Z55" s="8"/>
      <c r="AA55" s="26">
        <v>6.9000000000000004</v>
      </c>
      <c r="AB55" s="8"/>
    </row>
    <row r="56" ht="12" customHeight="1">
      <c r="A56" s="8" t="s">
        <v>173</v>
      </c>
      <c r="B56" s="8" t="s">
        <v>316</v>
      </c>
      <c r="C56" s="26">
        <v>3.7999999999999998</v>
      </c>
      <c r="D56" s="8"/>
      <c r="E56" s="26">
        <v>3.7999999999999998</v>
      </c>
      <c r="F56" s="8"/>
      <c r="G56" s="26">
        <v>3.7999999999999998</v>
      </c>
      <c r="H56" s="8"/>
      <c r="I56" s="26">
        <v>3.2999999999999998</v>
      </c>
      <c r="J56" s="8"/>
      <c r="K56" s="26">
        <v>3.2999999999999998</v>
      </c>
      <c r="L56" s="8"/>
      <c r="M56" s="26">
        <v>3.2999999999999998</v>
      </c>
      <c r="N56" s="8"/>
      <c r="O56" s="26">
        <v>3.2999999999999998</v>
      </c>
      <c r="P56" s="8"/>
      <c r="Q56" s="26">
        <v>-15</v>
      </c>
      <c r="R56" s="8"/>
      <c r="S56" s="26">
        <v>-15</v>
      </c>
      <c r="T56" s="8"/>
      <c r="U56" s="26">
        <v>-15</v>
      </c>
      <c r="V56" s="8"/>
      <c r="W56" s="26">
        <v>-15</v>
      </c>
      <c r="X56" s="8"/>
      <c r="Y56" s="26">
        <v>2.5</v>
      </c>
      <c r="Z56" s="8"/>
      <c r="AA56" s="26">
        <v>2.5</v>
      </c>
      <c r="AB56" s="8"/>
    </row>
    <row r="57" ht="12" customHeight="1">
      <c r="A57" s="8" t="s">
        <v>175</v>
      </c>
      <c r="B57" s="8" t="s">
        <v>317</v>
      </c>
      <c r="C57" s="26">
        <v>2.7999999999999998</v>
      </c>
      <c r="D57" s="8"/>
      <c r="E57" s="26">
        <v>0.10000000000000001</v>
      </c>
      <c r="F57" s="8"/>
      <c r="G57" s="26">
        <v>0.10000000000000001</v>
      </c>
      <c r="H57" s="8"/>
      <c r="I57" s="26">
        <v>0.10000000000000001</v>
      </c>
      <c r="J57" s="8"/>
      <c r="K57" s="26">
        <v>0.10000000000000001</v>
      </c>
      <c r="L57" s="8"/>
      <c r="M57" s="26">
        <v>2.3999999999999999</v>
      </c>
      <c r="N57" s="8"/>
      <c r="O57" s="26">
        <v>2.3999999999999999</v>
      </c>
      <c r="P57" s="8"/>
      <c r="Q57" s="26">
        <v>2.3999999999999999</v>
      </c>
      <c r="R57" s="8"/>
      <c r="S57" s="26">
        <v>2.3999999999999999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</row>
    <row r="58" ht="12" customHeight="1">
      <c r="A58" s="8" t="s">
        <v>177</v>
      </c>
      <c r="B58" s="8" t="s">
        <v>318</v>
      </c>
      <c r="C58" s="26">
        <v>1.3999999999999999</v>
      </c>
      <c r="D58" s="8"/>
      <c r="E58" s="26">
        <v>5.7000000000000002</v>
      </c>
      <c r="F58" s="8"/>
      <c r="G58" s="26">
        <v>5.7000000000000002</v>
      </c>
      <c r="H58" s="8"/>
      <c r="I58" s="26">
        <v>5.7000000000000002</v>
      </c>
      <c r="J58" s="8"/>
      <c r="K58" s="26">
        <v>5.7000000000000002</v>
      </c>
      <c r="L58" s="8"/>
      <c r="M58" s="26">
        <v>5.5</v>
      </c>
      <c r="N58" s="8"/>
      <c r="O58" s="26">
        <v>5.5</v>
      </c>
      <c r="P58" s="8"/>
      <c r="Q58" s="26">
        <v>5.5</v>
      </c>
      <c r="R58" s="8"/>
      <c r="S58" s="26">
        <v>5.5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</row>
    <row r="59" ht="12" customHeight="1">
      <c r="A59" s="8" t="s">
        <v>179</v>
      </c>
      <c r="B59" s="8" t="s">
        <v>319</v>
      </c>
      <c r="C59" s="26">
        <v>0.69999999999999996</v>
      </c>
      <c r="D59" s="8"/>
      <c r="E59" s="26">
        <v>5.7000000000000002</v>
      </c>
      <c r="F59" s="8"/>
      <c r="G59" s="26">
        <v>5.7000000000000002</v>
      </c>
      <c r="H59" s="8"/>
      <c r="I59" s="26">
        <v>5.7000000000000002</v>
      </c>
      <c r="J59" s="8"/>
      <c r="K59" s="26">
        <v>5.7000000000000002</v>
      </c>
      <c r="L59" s="8"/>
      <c r="M59" s="26">
        <v>5.7999999999999998</v>
      </c>
      <c r="N59" s="8"/>
      <c r="O59" s="26">
        <v>5.7999999999999998</v>
      </c>
      <c r="P59" s="8"/>
      <c r="Q59" s="26">
        <v>5.7999999999999998</v>
      </c>
      <c r="R59" s="8"/>
      <c r="S59" s="26">
        <v>5.7999999999999998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</row>
    <row r="60" ht="12" customHeight="1">
      <c r="A60" s="11" t="s">
        <v>181</v>
      </c>
      <c r="B60" s="8" t="s">
        <v>320</v>
      </c>
      <c r="C60" s="26">
        <v>4.7999999999999998</v>
      </c>
      <c r="D60" s="8"/>
      <c r="E60" s="26">
        <v>5.7000000000000002</v>
      </c>
      <c r="F60" s="8"/>
      <c r="G60" s="26">
        <v>7.0999999999999996</v>
      </c>
      <c r="H60" s="8"/>
      <c r="I60" s="26">
        <v>8.0999999999999996</v>
      </c>
      <c r="J60" s="8"/>
      <c r="K60" s="26">
        <v>7.9000000000000004</v>
      </c>
      <c r="L60" s="8"/>
      <c r="M60" s="26">
        <v>8.0999999999999996</v>
      </c>
      <c r="N60" s="8"/>
      <c r="O60" s="26">
        <v>7.4000000000000004</v>
      </c>
      <c r="P60" s="8"/>
      <c r="Q60" s="26">
        <v>6.5999999999999996</v>
      </c>
      <c r="R60" s="8"/>
      <c r="S60" s="26">
        <v>6.2000000000000002</v>
      </c>
      <c r="T60" s="8"/>
      <c r="U60" s="26">
        <v>4.7999999999999998</v>
      </c>
      <c r="V60" s="8"/>
      <c r="W60" s="26">
        <v>4</v>
      </c>
      <c r="X60" s="8"/>
      <c r="Y60" s="26">
        <v>3.2999999999999998</v>
      </c>
      <c r="Z60" s="8"/>
      <c r="AA60" s="26">
        <v>2.3999999999999999</v>
      </c>
      <c r="AB60" s="8"/>
    </row>
    <row r="61" ht="12" customHeight="1">
      <c r="A61" s="8" t="s">
        <v>183</v>
      </c>
      <c r="B61" s="8" t="s">
        <v>321</v>
      </c>
      <c r="C61" s="26">
        <v>7.5999999999999996</v>
      </c>
      <c r="D61" s="8"/>
      <c r="E61" s="26">
        <v>8</v>
      </c>
      <c r="F61" s="8"/>
      <c r="G61" s="26">
        <v>8.4000000000000004</v>
      </c>
      <c r="H61" s="8"/>
      <c r="I61" s="26">
        <v>6.9000000000000004</v>
      </c>
      <c r="J61" s="8"/>
      <c r="K61" s="26">
        <v>3.2000000000000002</v>
      </c>
      <c r="L61" s="8"/>
      <c r="M61" s="26">
        <v>1.3</v>
      </c>
      <c r="N61" s="8"/>
      <c r="O61" s="26">
        <v>-1.3</v>
      </c>
      <c r="P61" s="8"/>
      <c r="Q61" s="26">
        <v>-1.5</v>
      </c>
      <c r="R61" s="8"/>
      <c r="S61" s="26">
        <v>-0.40000000000000002</v>
      </c>
      <c r="T61" s="8"/>
      <c r="U61" s="26">
        <v>-0.40000000000000002</v>
      </c>
      <c r="V61" s="8"/>
      <c r="W61" s="26">
        <v>0.90000000000000002</v>
      </c>
      <c r="X61" s="8"/>
      <c r="Y61" s="26">
        <v>1.7</v>
      </c>
      <c r="Z61" s="8"/>
      <c r="AA61" s="26">
        <v>1.6000000000000001</v>
      </c>
      <c r="AB61" s="8"/>
    </row>
    <row r="62" ht="12" customHeight="1">
      <c r="A62" s="8" t="s">
        <v>185</v>
      </c>
      <c r="B62" s="8" t="s">
        <v>322</v>
      </c>
      <c r="C62" s="26">
        <v>5.9000000000000004</v>
      </c>
      <c r="D62" s="8"/>
      <c r="E62" s="26">
        <v>7.7999999999999998</v>
      </c>
      <c r="F62" s="8"/>
      <c r="G62" s="26">
        <v>2.7000000000000002</v>
      </c>
      <c r="H62" s="8"/>
      <c r="I62" s="26">
        <v>1.2</v>
      </c>
      <c r="J62" s="8"/>
      <c r="K62" s="26">
        <v>0.10000000000000001</v>
      </c>
      <c r="L62" s="8"/>
      <c r="M62" s="26">
        <v>0.69999999999999996</v>
      </c>
      <c r="N62" s="8"/>
      <c r="O62" s="26">
        <v>4</v>
      </c>
      <c r="P62" s="8"/>
      <c r="Q62" s="26">
        <v>4.2000000000000002</v>
      </c>
      <c r="R62" s="8"/>
      <c r="S62" s="26">
        <v>2.1000000000000001</v>
      </c>
      <c r="T62" s="8"/>
      <c r="U62" s="26">
        <v>2.6000000000000001</v>
      </c>
      <c r="V62" s="8"/>
      <c r="W62" s="26">
        <v>4.7000000000000002</v>
      </c>
      <c r="X62" s="8"/>
      <c r="Y62" s="26">
        <v>5.5</v>
      </c>
      <c r="Z62" s="8"/>
      <c r="AA62" s="26">
        <v>8.0999999999999996</v>
      </c>
      <c r="AB62" s="8"/>
    </row>
    <row r="63" ht="12" customHeight="1">
      <c r="A63" s="8" t="s">
        <v>187</v>
      </c>
      <c r="B63" s="8" t="s">
        <v>323</v>
      </c>
      <c r="C63" s="26">
        <v>2.8999999999999999</v>
      </c>
      <c r="D63" s="8"/>
      <c r="E63" s="26">
        <v>4.2000000000000002</v>
      </c>
      <c r="F63" s="8"/>
      <c r="G63" s="26">
        <v>7.5</v>
      </c>
      <c r="H63" s="8"/>
      <c r="I63" s="26">
        <v>11.199999999999999</v>
      </c>
      <c r="J63" s="8"/>
      <c r="K63" s="26">
        <v>13.699999999999999</v>
      </c>
      <c r="L63" s="8"/>
      <c r="M63" s="26">
        <v>16</v>
      </c>
      <c r="N63" s="8"/>
      <c r="O63" s="26">
        <v>16.100000000000001</v>
      </c>
      <c r="P63" s="8"/>
      <c r="Q63" s="26">
        <v>14.6</v>
      </c>
      <c r="R63" s="8"/>
      <c r="S63" s="26">
        <v>12.699999999999999</v>
      </c>
      <c r="T63" s="8"/>
      <c r="U63" s="26">
        <v>9.5</v>
      </c>
      <c r="V63" s="8"/>
      <c r="W63" s="26">
        <v>6.7000000000000002</v>
      </c>
      <c r="X63" s="8"/>
      <c r="Y63" s="26">
        <v>4.5</v>
      </c>
      <c r="Z63" s="8"/>
      <c r="AA63" s="26">
        <v>2.5</v>
      </c>
      <c r="AB63" s="8"/>
    </row>
    <row r="64" ht="12" customHeight="1">
      <c r="A64" s="8" t="s">
        <v>189</v>
      </c>
      <c r="B64" s="8" t="s">
        <v>324</v>
      </c>
      <c r="C64" s="26">
        <v>1.2</v>
      </c>
      <c r="D64" s="8"/>
      <c r="E64" s="26">
        <v>1</v>
      </c>
      <c r="F64" s="8"/>
      <c r="G64" s="26">
        <v>2.7000000000000002</v>
      </c>
      <c r="H64" s="8"/>
      <c r="I64" s="26">
        <v>-1.8999999999999999</v>
      </c>
      <c r="J64" s="8"/>
      <c r="K64" s="26">
        <v>-0.29999999999999999</v>
      </c>
      <c r="L64" s="8"/>
      <c r="M64" s="26">
        <v>0</v>
      </c>
      <c r="N64" s="8"/>
      <c r="O64" s="26">
        <v>0</v>
      </c>
      <c r="P64" s="8"/>
      <c r="Q64" s="26">
        <v>-2.1000000000000001</v>
      </c>
      <c r="R64" s="8"/>
      <c r="S64" s="26">
        <v>-2.5</v>
      </c>
      <c r="T64" s="8"/>
      <c r="U64" s="26">
        <v>-2.5</v>
      </c>
      <c r="V64" s="8"/>
      <c r="W64" s="26">
        <v>-3.2000000000000002</v>
      </c>
      <c r="X64" s="8"/>
      <c r="Y64" s="26">
        <v>-1.1000000000000001</v>
      </c>
      <c r="Z64" s="8"/>
      <c r="AA64" s="26">
        <v>-0.69999999999999996</v>
      </c>
      <c r="AB64" s="8"/>
    </row>
    <row r="65" ht="12" customHeight="1">
      <c r="A65" s="8" t="s">
        <v>191</v>
      </c>
      <c r="B65" s="8" t="s">
        <v>325</v>
      </c>
      <c r="C65" s="26">
        <v>5</v>
      </c>
      <c r="D65" s="8"/>
      <c r="E65" s="26">
        <v>5.0999999999999996</v>
      </c>
      <c r="F65" s="8"/>
      <c r="G65" s="26">
        <v>3.5</v>
      </c>
      <c r="H65" s="8"/>
      <c r="I65" s="26">
        <v>3.3999999999999999</v>
      </c>
      <c r="J65" s="8"/>
      <c r="K65" s="26">
        <v>3.6000000000000001</v>
      </c>
      <c r="L65" s="8"/>
      <c r="M65" s="26">
        <v>2.7999999999999998</v>
      </c>
      <c r="N65" s="8"/>
      <c r="O65" s="26">
        <v>3.3999999999999999</v>
      </c>
      <c r="P65" s="8"/>
      <c r="Q65" s="26">
        <v>2.7000000000000002</v>
      </c>
      <c r="R65" s="8"/>
      <c r="S65" s="26">
        <v>2.8999999999999999</v>
      </c>
      <c r="T65" s="8"/>
      <c r="U65" s="26">
        <v>2.8999999999999999</v>
      </c>
      <c r="V65" s="8"/>
      <c r="W65" s="26">
        <v>2.7000000000000002</v>
      </c>
      <c r="X65" s="8"/>
      <c r="Y65" s="26">
        <v>2.7000000000000002</v>
      </c>
      <c r="Z65" s="8"/>
      <c r="AA65" s="26">
        <v>2.2999999999999998</v>
      </c>
      <c r="AB65" s="8"/>
    </row>
    <row r="66" ht="12" customHeight="1">
      <c r="A66" s="11" t="s">
        <v>193</v>
      </c>
      <c r="B66" s="8" t="s">
        <v>326</v>
      </c>
      <c r="C66" s="26">
        <v>44.799999999999997</v>
      </c>
      <c r="D66" s="8"/>
      <c r="E66" s="26">
        <v>38.200000000000003</v>
      </c>
      <c r="F66" s="8"/>
      <c r="G66" s="26">
        <v>30.100000000000001</v>
      </c>
      <c r="H66" s="8"/>
      <c r="I66" s="26">
        <v>28.199999999999999</v>
      </c>
      <c r="J66" s="8"/>
      <c r="K66" s="26">
        <v>31.399999999999999</v>
      </c>
      <c r="L66" s="8"/>
      <c r="M66" s="26">
        <v>28.399999999999999</v>
      </c>
      <c r="N66" s="8"/>
      <c r="O66" s="26">
        <v>26.399999999999999</v>
      </c>
      <c r="P66" s="8"/>
      <c r="Q66" s="26">
        <v>18.100000000000001</v>
      </c>
      <c r="R66" s="8"/>
      <c r="S66" s="26">
        <v>7.2999999999999998</v>
      </c>
      <c r="T66" s="8"/>
      <c r="U66" s="26">
        <v>0.80000000000000004</v>
      </c>
      <c r="V66" s="8"/>
      <c r="W66" s="26">
        <v>-7.2000000000000002</v>
      </c>
      <c r="X66" s="8"/>
      <c r="Y66" s="26">
        <v>-13.699999999999999</v>
      </c>
      <c r="Z66" s="8"/>
      <c r="AA66" s="26">
        <v>-16.5</v>
      </c>
      <c r="AB66" s="8"/>
    </row>
    <row r="67" ht="12" customHeight="1">
      <c r="A67" s="8" t="s">
        <v>195</v>
      </c>
      <c r="B67" s="8" t="s">
        <v>327</v>
      </c>
      <c r="C67" s="26">
        <v>44.799999999999997</v>
      </c>
      <c r="D67" s="8"/>
      <c r="E67" s="26">
        <v>38.200000000000003</v>
      </c>
      <c r="F67" s="8"/>
      <c r="G67" s="26">
        <v>30.100000000000001</v>
      </c>
      <c r="H67" s="8"/>
      <c r="I67" s="26">
        <v>28.199999999999999</v>
      </c>
      <c r="J67" s="8"/>
      <c r="K67" s="26">
        <v>31.399999999999999</v>
      </c>
      <c r="L67" s="8"/>
      <c r="M67" s="26">
        <v>28.399999999999999</v>
      </c>
      <c r="N67" s="8"/>
      <c r="O67" s="26">
        <v>26.399999999999999</v>
      </c>
      <c r="P67" s="8"/>
      <c r="Q67" s="26">
        <v>18.100000000000001</v>
      </c>
      <c r="R67" s="8"/>
      <c r="S67" s="26">
        <v>7.2999999999999998</v>
      </c>
      <c r="T67" s="8"/>
      <c r="U67" s="26">
        <v>0.80000000000000004</v>
      </c>
      <c r="V67" s="8"/>
      <c r="W67" s="26">
        <v>-7.2000000000000002</v>
      </c>
      <c r="X67" s="8"/>
      <c r="Y67" s="26">
        <v>-13.699999999999999</v>
      </c>
      <c r="Z67" s="8"/>
      <c r="AA67" s="26">
        <v>-16.5</v>
      </c>
      <c r="AB67" s="8"/>
    </row>
    <row r="68" ht="12" customHeight="1">
      <c r="A68" s="13" t="s">
        <v>69</v>
      </c>
      <c r="B68" s="10" t="s">
        <v>44</v>
      </c>
      <c r="C68" s="27">
        <v>8.0999999999999996</v>
      </c>
      <c r="D68" s="10"/>
      <c r="E68" s="27">
        <v>7.5</v>
      </c>
      <c r="F68" s="10"/>
      <c r="G68" s="27">
        <v>7.0999999999999996</v>
      </c>
      <c r="H68" s="10"/>
      <c r="I68" s="27">
        <v>7.4000000000000004</v>
      </c>
      <c r="J68" s="10"/>
      <c r="K68" s="27">
        <v>7.0999999999999996</v>
      </c>
      <c r="L68" s="10"/>
      <c r="M68" s="27">
        <v>6.2999999999999998</v>
      </c>
      <c r="N68" s="10"/>
      <c r="O68" s="27">
        <v>5.5</v>
      </c>
      <c r="P68" s="10"/>
      <c r="Q68" s="27">
        <v>3.8999999999999999</v>
      </c>
      <c r="R68" s="10"/>
      <c r="S68" s="27">
        <v>3.1000000000000001</v>
      </c>
      <c r="T68" s="10"/>
      <c r="U68" s="27">
        <v>3</v>
      </c>
      <c r="V68" s="10"/>
      <c r="W68" s="27">
        <v>2.6000000000000001</v>
      </c>
      <c r="X68" s="10"/>
      <c r="Y68" s="27">
        <v>2.3999999999999999</v>
      </c>
      <c r="Z68" s="10"/>
      <c r="AA68" s="27">
        <v>2.2000000000000002</v>
      </c>
      <c r="AB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330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331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332</v>
      </c>
      <c r="C8" s="19">
        <v>1238</v>
      </c>
      <c r="D8" s="19"/>
      <c r="E8" s="19">
        <v>1291</v>
      </c>
      <c r="F8" s="19"/>
      <c r="G8" s="19">
        <v>1315</v>
      </c>
      <c r="H8" s="19"/>
      <c r="I8" s="19">
        <v>1323</v>
      </c>
      <c r="J8" s="19"/>
      <c r="K8" s="19">
        <v>1304</v>
      </c>
      <c r="L8" s="19"/>
      <c r="M8" s="19">
        <v>1306</v>
      </c>
      <c r="N8" s="19"/>
      <c r="O8" s="19">
        <v>1301</v>
      </c>
      <c r="P8" s="19"/>
      <c r="Q8" s="19">
        <v>1323</v>
      </c>
      <c r="R8" s="19"/>
      <c r="S8" s="19">
        <v>1316</v>
      </c>
      <c r="T8" s="19"/>
      <c r="U8" s="19">
        <v>1343</v>
      </c>
      <c r="V8" s="19"/>
      <c r="W8" s="19">
        <v>1366</v>
      </c>
      <c r="X8" s="19"/>
      <c r="Y8" s="19">
        <v>1392</v>
      </c>
      <c r="Z8" s="19"/>
      <c r="AA8" s="19">
        <v>1379</v>
      </c>
      <c r="AB8" s="18"/>
      <c r="AC8" s="18"/>
      <c r="AE8" s="18"/>
      <c r="AG8" s="18"/>
    </row>
    <row r="9" ht="12" customHeight="1">
      <c r="A9" s="8" t="s">
        <v>79</v>
      </c>
      <c r="B9" s="8" t="s">
        <v>333</v>
      </c>
      <c r="C9" s="24">
        <v>1399</v>
      </c>
      <c r="D9" s="8"/>
      <c r="E9" s="24">
        <v>1534</v>
      </c>
      <c r="F9" s="8"/>
      <c r="G9" s="24">
        <v>1518</v>
      </c>
      <c r="H9" s="8"/>
      <c r="I9" s="24">
        <v>1534</v>
      </c>
      <c r="J9" s="8"/>
      <c r="K9" s="24">
        <v>1450</v>
      </c>
      <c r="L9" s="8"/>
      <c r="M9" s="24">
        <v>1404</v>
      </c>
      <c r="N9" s="8"/>
      <c r="O9" s="24">
        <v>1297</v>
      </c>
      <c r="P9" s="8"/>
      <c r="Q9" s="24">
        <v>1368</v>
      </c>
      <c r="R9" s="8"/>
      <c r="S9" s="24">
        <v>1309</v>
      </c>
      <c r="T9" s="8"/>
      <c r="U9" s="24">
        <v>1333</v>
      </c>
      <c r="V9" s="8"/>
      <c r="W9" s="24">
        <v>1364</v>
      </c>
      <c r="X9" s="8"/>
      <c r="Y9" s="24">
        <v>1472</v>
      </c>
      <c r="Z9" s="8"/>
      <c r="AA9" s="24">
        <v>1364</v>
      </c>
      <c r="AB9" s="8"/>
      <c r="AC9" s="8"/>
      <c r="AE9" s="8"/>
      <c r="AG9" s="8"/>
    </row>
    <row r="10" ht="12" customHeight="1">
      <c r="A10" s="8" t="s">
        <v>81</v>
      </c>
      <c r="B10" s="8" t="s">
        <v>334</v>
      </c>
      <c r="C10" s="24">
        <v>1257</v>
      </c>
      <c r="D10" s="8"/>
      <c r="E10" s="24">
        <v>1275</v>
      </c>
      <c r="F10" s="8"/>
      <c r="G10" s="24">
        <v>1293</v>
      </c>
      <c r="H10" s="8"/>
      <c r="I10" s="24">
        <v>1301</v>
      </c>
      <c r="J10" s="8"/>
      <c r="K10" s="24">
        <v>1285</v>
      </c>
      <c r="L10" s="8"/>
      <c r="M10" s="24">
        <v>1281</v>
      </c>
      <c r="N10" s="8"/>
      <c r="O10" s="24">
        <v>1287</v>
      </c>
      <c r="P10" s="8"/>
      <c r="Q10" s="24">
        <v>1308</v>
      </c>
      <c r="R10" s="8"/>
      <c r="S10" s="24">
        <v>1316</v>
      </c>
      <c r="T10" s="8"/>
      <c r="U10" s="24">
        <v>1335</v>
      </c>
      <c r="V10" s="8"/>
      <c r="W10" s="24">
        <v>1352</v>
      </c>
      <c r="X10" s="8"/>
      <c r="Y10" s="24">
        <v>1400</v>
      </c>
      <c r="Z10" s="8"/>
      <c r="AA10" s="24">
        <v>1410</v>
      </c>
      <c r="AB10" s="8"/>
      <c r="AC10" s="8"/>
      <c r="AE10" s="8"/>
      <c r="AG10" s="8"/>
    </row>
    <row r="11" ht="12" customHeight="1">
      <c r="A11" s="8" t="s">
        <v>83</v>
      </c>
      <c r="B11" s="8" t="s">
        <v>335</v>
      </c>
      <c r="C11" s="24">
        <v>1163</v>
      </c>
      <c r="D11" s="8"/>
      <c r="E11" s="24">
        <v>1215</v>
      </c>
      <c r="F11" s="8"/>
      <c r="G11" s="24">
        <v>1246</v>
      </c>
      <c r="H11" s="8"/>
      <c r="I11" s="24">
        <v>1246</v>
      </c>
      <c r="J11" s="8"/>
      <c r="K11" s="24">
        <v>1234</v>
      </c>
      <c r="L11" s="8"/>
      <c r="M11" s="24">
        <v>1248</v>
      </c>
      <c r="N11" s="8"/>
      <c r="O11" s="24">
        <v>1263</v>
      </c>
      <c r="P11" s="8"/>
      <c r="Q11" s="24">
        <v>1277</v>
      </c>
      <c r="R11" s="8"/>
      <c r="S11" s="24">
        <v>1276</v>
      </c>
      <c r="T11" s="8"/>
      <c r="U11" s="24">
        <v>1314</v>
      </c>
      <c r="V11" s="8"/>
      <c r="W11" s="24">
        <v>1335</v>
      </c>
      <c r="X11" s="8"/>
      <c r="Y11" s="24">
        <v>1341</v>
      </c>
      <c r="Z11" s="8"/>
      <c r="AA11" s="24">
        <v>1336</v>
      </c>
      <c r="AB11" s="8"/>
      <c r="AC11" s="8"/>
      <c r="AE11" s="8"/>
      <c r="AG11" s="8"/>
    </row>
    <row r="12" ht="12" customHeight="1">
      <c r="A12" s="8" t="s">
        <v>85</v>
      </c>
      <c r="B12" s="8" t="s">
        <v>336</v>
      </c>
      <c r="C12" s="24">
        <v>1134</v>
      </c>
      <c r="D12" s="8"/>
      <c r="E12" s="24">
        <v>1161</v>
      </c>
      <c r="F12" s="8"/>
      <c r="G12" s="24">
        <v>1197</v>
      </c>
      <c r="H12" s="8"/>
      <c r="I12" s="24">
        <v>1202</v>
      </c>
      <c r="J12" s="8"/>
      <c r="K12" s="24">
        <v>1205</v>
      </c>
      <c r="L12" s="8"/>
      <c r="M12" s="24">
        <v>1217</v>
      </c>
      <c r="N12" s="8"/>
      <c r="O12" s="24">
        <v>1242</v>
      </c>
      <c r="P12" s="8"/>
      <c r="Q12" s="24">
        <v>1249</v>
      </c>
      <c r="R12" s="8"/>
      <c r="S12" s="24">
        <v>1249</v>
      </c>
      <c r="T12" s="8"/>
      <c r="U12" s="24">
        <v>1283</v>
      </c>
      <c r="V12" s="8"/>
      <c r="W12" s="24">
        <v>1320</v>
      </c>
      <c r="X12" s="8"/>
      <c r="Y12" s="24">
        <v>1310</v>
      </c>
      <c r="Z12" s="8"/>
      <c r="AA12" s="24">
        <v>1319</v>
      </c>
      <c r="AB12" s="8"/>
      <c r="AC12" s="8"/>
      <c r="AE12" s="8"/>
      <c r="AG12" s="8"/>
    </row>
    <row r="13" ht="12" customHeight="1">
      <c r="A13" s="8" t="s">
        <v>87</v>
      </c>
      <c r="B13" s="8" t="s">
        <v>337</v>
      </c>
      <c r="C13" s="24">
        <v>1333</v>
      </c>
      <c r="D13" s="8"/>
      <c r="E13" s="24">
        <v>1359</v>
      </c>
      <c r="F13" s="8"/>
      <c r="G13" s="24">
        <v>1402</v>
      </c>
      <c r="H13" s="8"/>
      <c r="I13" s="24">
        <v>1427</v>
      </c>
      <c r="J13" s="8"/>
      <c r="K13" s="24">
        <v>1441</v>
      </c>
      <c r="L13" s="8"/>
      <c r="M13" s="24">
        <v>1456</v>
      </c>
      <c r="N13" s="8"/>
      <c r="O13" s="24">
        <v>1472</v>
      </c>
      <c r="P13" s="8"/>
      <c r="Q13" s="24">
        <v>1480</v>
      </c>
      <c r="R13" s="8"/>
      <c r="S13" s="24">
        <v>1488</v>
      </c>
      <c r="T13" s="8"/>
      <c r="U13" s="24">
        <v>1491</v>
      </c>
      <c r="V13" s="8"/>
      <c r="W13" s="24">
        <v>1504</v>
      </c>
      <c r="X13" s="8"/>
      <c r="Y13" s="24">
        <v>1516</v>
      </c>
      <c r="Z13" s="8"/>
      <c r="AA13" s="24">
        <v>1523</v>
      </c>
      <c r="AB13" s="8"/>
      <c r="AC13" s="8"/>
      <c r="AE13" s="8"/>
      <c r="AG13" s="8"/>
    </row>
    <row r="14" ht="12" customHeight="1">
      <c r="A14" s="11" t="s">
        <v>89</v>
      </c>
      <c r="B14" s="8" t="s">
        <v>338</v>
      </c>
      <c r="C14" s="24">
        <v>1312</v>
      </c>
      <c r="D14" s="8"/>
      <c r="E14" s="24">
        <v>1358</v>
      </c>
      <c r="F14" s="8"/>
      <c r="G14" s="24">
        <v>1374</v>
      </c>
      <c r="H14" s="8"/>
      <c r="I14" s="24">
        <v>1390</v>
      </c>
      <c r="J14" s="8"/>
      <c r="K14" s="24">
        <v>1400</v>
      </c>
      <c r="L14" s="8"/>
      <c r="M14" s="24">
        <v>1441</v>
      </c>
      <c r="N14" s="8"/>
      <c r="O14" s="24">
        <v>1452</v>
      </c>
      <c r="P14" s="8"/>
      <c r="Q14" s="24">
        <v>1461</v>
      </c>
      <c r="R14" s="8"/>
      <c r="S14" s="24">
        <v>1458</v>
      </c>
      <c r="T14" s="8"/>
      <c r="U14" s="24">
        <v>1485</v>
      </c>
      <c r="V14" s="8"/>
      <c r="W14" s="24">
        <v>1481</v>
      </c>
      <c r="X14" s="8"/>
      <c r="Y14" s="24">
        <v>1486</v>
      </c>
      <c r="Z14" s="8"/>
      <c r="AA14" s="24">
        <v>1483</v>
      </c>
      <c r="AB14" s="8"/>
      <c r="AC14" s="8"/>
      <c r="AE14" s="8"/>
      <c r="AG14" s="8"/>
    </row>
    <row r="15" ht="12" customHeight="1">
      <c r="A15" s="8" t="s">
        <v>91</v>
      </c>
      <c r="B15" s="8" t="s">
        <v>339</v>
      </c>
      <c r="C15" s="24">
        <v>1140</v>
      </c>
      <c r="D15" s="8"/>
      <c r="E15" s="24">
        <v>1159</v>
      </c>
      <c r="F15" s="8"/>
      <c r="G15" s="24">
        <v>1179</v>
      </c>
      <c r="H15" s="8"/>
      <c r="I15" s="24">
        <v>1195</v>
      </c>
      <c r="J15" s="8"/>
      <c r="K15" s="24">
        <v>1193</v>
      </c>
      <c r="L15" s="8"/>
      <c r="M15" s="24">
        <v>1207</v>
      </c>
      <c r="N15" s="8"/>
      <c r="O15" s="24">
        <v>1220</v>
      </c>
      <c r="P15" s="8"/>
      <c r="Q15" s="24">
        <v>1229</v>
      </c>
      <c r="R15" s="8"/>
      <c r="S15" s="24">
        <v>1222</v>
      </c>
      <c r="T15" s="8"/>
      <c r="U15" s="24">
        <v>1233</v>
      </c>
      <c r="V15" s="8"/>
      <c r="W15" s="24">
        <v>1227</v>
      </c>
      <c r="X15" s="8"/>
      <c r="Y15" s="24">
        <v>1233</v>
      </c>
      <c r="Z15" s="8"/>
      <c r="AA15" s="24">
        <v>1220</v>
      </c>
      <c r="AB15" s="8"/>
      <c r="AC15" s="8"/>
      <c r="AE15" s="8"/>
      <c r="AG15" s="8"/>
    </row>
    <row r="16" ht="12" customHeight="1">
      <c r="A16" s="8" t="s">
        <v>93</v>
      </c>
      <c r="B16" s="8" t="s">
        <v>340</v>
      </c>
      <c r="C16" s="24">
        <v>1965</v>
      </c>
      <c r="D16" s="8"/>
      <c r="E16" s="24">
        <v>2115</v>
      </c>
      <c r="F16" s="8"/>
      <c r="G16" s="24">
        <v>2116</v>
      </c>
      <c r="H16" s="8"/>
      <c r="I16" s="24">
        <v>2129</v>
      </c>
      <c r="J16" s="8"/>
      <c r="K16" s="24">
        <v>2189</v>
      </c>
      <c r="L16" s="8"/>
      <c r="M16" s="24">
        <v>2334</v>
      </c>
      <c r="N16" s="8"/>
      <c r="O16" s="24">
        <v>2335</v>
      </c>
      <c r="P16" s="8"/>
      <c r="Q16" s="24">
        <v>2344</v>
      </c>
      <c r="R16" s="8"/>
      <c r="S16" s="24">
        <v>2361</v>
      </c>
      <c r="T16" s="8"/>
      <c r="U16" s="24">
        <v>2453</v>
      </c>
      <c r="V16" s="8"/>
      <c r="W16" s="24">
        <v>2459</v>
      </c>
      <c r="X16" s="8"/>
      <c r="Y16" s="24">
        <v>2458</v>
      </c>
      <c r="Z16" s="8"/>
      <c r="AA16" s="24">
        <v>2496</v>
      </c>
      <c r="AB16" s="8"/>
      <c r="AC16" s="8"/>
      <c r="AE16" s="8"/>
      <c r="AG16" s="8"/>
    </row>
    <row r="17" ht="12" customHeight="1">
      <c r="A17" s="11" t="s">
        <v>95</v>
      </c>
      <c r="B17" s="8" t="s">
        <v>341</v>
      </c>
      <c r="C17" s="24">
        <v>1051</v>
      </c>
      <c r="D17" s="8"/>
      <c r="E17" s="24">
        <v>1049</v>
      </c>
      <c r="F17" s="8"/>
      <c r="G17" s="24">
        <v>1082</v>
      </c>
      <c r="H17" s="8"/>
      <c r="I17" s="24">
        <v>1086</v>
      </c>
      <c r="J17" s="8"/>
      <c r="K17" s="24">
        <v>1100</v>
      </c>
      <c r="L17" s="8"/>
      <c r="M17" s="24">
        <v>1098</v>
      </c>
      <c r="N17" s="8"/>
      <c r="O17" s="24">
        <v>1107</v>
      </c>
      <c r="P17" s="8"/>
      <c r="Q17" s="24">
        <v>1104</v>
      </c>
      <c r="R17" s="8"/>
      <c r="S17" s="24">
        <v>1093</v>
      </c>
      <c r="T17" s="8"/>
      <c r="U17" s="24">
        <v>1095</v>
      </c>
      <c r="V17" s="8"/>
      <c r="W17" s="24">
        <v>1097</v>
      </c>
      <c r="X17" s="8"/>
      <c r="Y17" s="24">
        <v>1102</v>
      </c>
      <c r="Z17" s="8"/>
      <c r="AA17" s="24">
        <v>1111</v>
      </c>
      <c r="AB17" s="8"/>
      <c r="AC17" s="8"/>
      <c r="AE17" s="8"/>
      <c r="AG17" s="8"/>
    </row>
    <row r="18" ht="12" customHeight="1">
      <c r="A18" s="8" t="s">
        <v>97</v>
      </c>
      <c r="B18" s="8" t="s">
        <v>342</v>
      </c>
      <c r="C18" s="24">
        <v>1059</v>
      </c>
      <c r="D18" s="8"/>
      <c r="E18" s="24">
        <v>1056</v>
      </c>
      <c r="F18" s="8"/>
      <c r="G18" s="24">
        <v>1090</v>
      </c>
      <c r="H18" s="8"/>
      <c r="I18" s="24">
        <v>1096</v>
      </c>
      <c r="J18" s="8"/>
      <c r="K18" s="24">
        <v>1112</v>
      </c>
      <c r="L18" s="8"/>
      <c r="M18" s="24">
        <v>1111</v>
      </c>
      <c r="N18" s="8"/>
      <c r="O18" s="24">
        <v>1118</v>
      </c>
      <c r="P18" s="8"/>
      <c r="Q18" s="24">
        <v>1116</v>
      </c>
      <c r="R18" s="8"/>
      <c r="S18" s="24">
        <v>1107</v>
      </c>
      <c r="T18" s="8"/>
      <c r="U18" s="24">
        <v>1105</v>
      </c>
      <c r="V18" s="8"/>
      <c r="W18" s="24">
        <v>1113</v>
      </c>
      <c r="X18" s="8"/>
      <c r="Y18" s="24">
        <v>1116</v>
      </c>
      <c r="Z18" s="8"/>
      <c r="AA18" s="24">
        <v>1128</v>
      </c>
      <c r="AB18" s="8"/>
      <c r="AC18" s="8"/>
      <c r="AE18" s="8"/>
      <c r="AG18" s="8"/>
    </row>
    <row r="19" ht="12" customHeight="1">
      <c r="A19" s="8" t="s">
        <v>99</v>
      </c>
      <c r="B19" s="8" t="s">
        <v>343</v>
      </c>
      <c r="C19" s="24">
        <v>1023</v>
      </c>
      <c r="D19" s="8"/>
      <c r="E19" s="24">
        <v>1027</v>
      </c>
      <c r="F19" s="8"/>
      <c r="G19" s="24">
        <v>1052</v>
      </c>
      <c r="H19" s="8"/>
      <c r="I19" s="24">
        <v>1042</v>
      </c>
      <c r="J19" s="8"/>
      <c r="K19" s="24">
        <v>1046</v>
      </c>
      <c r="L19" s="8"/>
      <c r="M19" s="24">
        <v>1041</v>
      </c>
      <c r="N19" s="8"/>
      <c r="O19" s="24">
        <v>1065</v>
      </c>
      <c r="P19" s="8"/>
      <c r="Q19" s="24">
        <v>1048</v>
      </c>
      <c r="R19" s="8"/>
      <c r="S19" s="24">
        <v>1028</v>
      </c>
      <c r="T19" s="8"/>
      <c r="U19" s="24">
        <v>1048</v>
      </c>
      <c r="V19" s="8"/>
      <c r="W19" s="24">
        <v>1021</v>
      </c>
      <c r="X19" s="8"/>
      <c r="Y19" s="24">
        <v>1038</v>
      </c>
      <c r="Z19" s="8"/>
      <c r="AA19" s="24">
        <v>1035</v>
      </c>
      <c r="AB19" s="8"/>
      <c r="AC19" s="8"/>
      <c r="AE19" s="8"/>
      <c r="AG19" s="8"/>
    </row>
    <row r="20" ht="12" customHeight="1">
      <c r="A20" s="11" t="s">
        <v>101</v>
      </c>
      <c r="B20" s="8" t="s">
        <v>344</v>
      </c>
      <c r="C20" s="24">
        <v>1323</v>
      </c>
      <c r="D20" s="8"/>
      <c r="E20" s="24">
        <v>1336</v>
      </c>
      <c r="F20" s="8"/>
      <c r="G20" s="24">
        <v>1354</v>
      </c>
      <c r="H20" s="8"/>
      <c r="I20" s="24">
        <v>1400</v>
      </c>
      <c r="J20" s="8"/>
      <c r="K20" s="24">
        <v>1411</v>
      </c>
      <c r="L20" s="8"/>
      <c r="M20" s="24">
        <v>1419</v>
      </c>
      <c r="N20" s="8"/>
      <c r="O20" s="24">
        <v>1437</v>
      </c>
      <c r="P20" s="8"/>
      <c r="Q20" s="24">
        <v>1507</v>
      </c>
      <c r="R20" s="8"/>
      <c r="S20" s="24">
        <v>1514</v>
      </c>
      <c r="T20" s="8"/>
      <c r="U20" s="24">
        <v>1526</v>
      </c>
      <c r="V20" s="8"/>
      <c r="W20" s="24">
        <v>1547</v>
      </c>
      <c r="X20" s="8"/>
      <c r="Y20" s="24">
        <v>1608</v>
      </c>
      <c r="Z20" s="8"/>
      <c r="AA20" s="24">
        <v>1616</v>
      </c>
      <c r="AB20" s="8"/>
      <c r="AC20" s="8"/>
      <c r="AE20" s="8"/>
      <c r="AG20" s="8"/>
    </row>
    <row r="21" ht="12" customHeight="1">
      <c r="A21" s="8" t="s">
        <v>103</v>
      </c>
      <c r="B21" s="8" t="s">
        <v>345</v>
      </c>
      <c r="C21" s="24">
        <v>1302</v>
      </c>
      <c r="D21" s="8"/>
      <c r="E21" s="24">
        <v>1320</v>
      </c>
      <c r="F21" s="8"/>
      <c r="G21" s="24">
        <v>1338</v>
      </c>
      <c r="H21" s="8"/>
      <c r="I21" s="24">
        <v>1356</v>
      </c>
      <c r="J21" s="8"/>
      <c r="K21" s="24">
        <v>1372</v>
      </c>
      <c r="L21" s="8"/>
      <c r="M21" s="24">
        <v>1390</v>
      </c>
      <c r="N21" s="8"/>
      <c r="O21" s="24">
        <v>1408</v>
      </c>
      <c r="P21" s="8"/>
      <c r="Q21" s="24">
        <v>1422</v>
      </c>
      <c r="R21" s="8"/>
      <c r="S21" s="24">
        <v>1434</v>
      </c>
      <c r="T21" s="8"/>
      <c r="U21" s="24">
        <v>1445</v>
      </c>
      <c r="V21" s="8"/>
      <c r="W21" s="24">
        <v>1456</v>
      </c>
      <c r="X21" s="8"/>
      <c r="Y21" s="24">
        <v>1460</v>
      </c>
      <c r="Z21" s="8"/>
      <c r="AA21" s="24">
        <v>1462</v>
      </c>
      <c r="AB21" s="8"/>
      <c r="AC21" s="8"/>
      <c r="AE21" s="8"/>
      <c r="AG21" s="8"/>
    </row>
    <row r="22" ht="12" customHeight="1">
      <c r="A22" s="8" t="s">
        <v>105</v>
      </c>
      <c r="B22" s="8" t="s">
        <v>346</v>
      </c>
      <c r="C22" s="24">
        <v>1302</v>
      </c>
      <c r="D22" s="8"/>
      <c r="E22" s="24">
        <v>1320</v>
      </c>
      <c r="F22" s="8"/>
      <c r="G22" s="24">
        <v>1338</v>
      </c>
      <c r="H22" s="8"/>
      <c r="I22" s="24">
        <v>1356</v>
      </c>
      <c r="J22" s="8"/>
      <c r="K22" s="24">
        <v>1372</v>
      </c>
      <c r="L22" s="8"/>
      <c r="M22" s="24">
        <v>1390</v>
      </c>
      <c r="N22" s="8"/>
      <c r="O22" s="24">
        <v>1408</v>
      </c>
      <c r="P22" s="8"/>
      <c r="Q22" s="24">
        <v>1422</v>
      </c>
      <c r="R22" s="8"/>
      <c r="S22" s="24">
        <v>1434</v>
      </c>
      <c r="T22" s="8"/>
      <c r="U22" s="24">
        <v>1445</v>
      </c>
      <c r="V22" s="8"/>
      <c r="W22" s="24">
        <v>1456</v>
      </c>
      <c r="X22" s="8"/>
      <c r="Y22" s="24">
        <v>1460</v>
      </c>
      <c r="Z22" s="8"/>
      <c r="AA22" s="24">
        <v>1462</v>
      </c>
      <c r="AB22" s="8"/>
      <c r="AC22" s="8"/>
      <c r="AE22" s="8"/>
      <c r="AG22" s="8"/>
    </row>
    <row r="23" ht="12" customHeight="1">
      <c r="A23" s="8" t="s">
        <v>107</v>
      </c>
      <c r="B23" s="8" t="s">
        <v>347</v>
      </c>
      <c r="C23" s="24">
        <v>1372</v>
      </c>
      <c r="D23" s="8"/>
      <c r="E23" s="24">
        <v>1370</v>
      </c>
      <c r="F23" s="8"/>
      <c r="G23" s="24">
        <v>1397</v>
      </c>
      <c r="H23" s="8"/>
      <c r="I23" s="24">
        <v>1407</v>
      </c>
      <c r="J23" s="8"/>
      <c r="K23" s="24">
        <v>1407</v>
      </c>
      <c r="L23" s="8"/>
      <c r="M23" s="24">
        <v>1408</v>
      </c>
      <c r="N23" s="8"/>
      <c r="O23" s="24">
        <v>1430</v>
      </c>
      <c r="P23" s="8"/>
      <c r="Q23" s="24">
        <v>1444</v>
      </c>
      <c r="R23" s="8"/>
      <c r="S23" s="24">
        <v>1441</v>
      </c>
      <c r="T23" s="8"/>
      <c r="U23" s="24">
        <v>1449</v>
      </c>
      <c r="V23" s="8"/>
      <c r="W23" s="24">
        <v>1454</v>
      </c>
      <c r="X23" s="8"/>
      <c r="Y23" s="24">
        <v>1464</v>
      </c>
      <c r="Z23" s="8"/>
      <c r="AA23" s="24">
        <v>1476</v>
      </c>
      <c r="AB23" s="8"/>
      <c r="AC23" s="8"/>
      <c r="AE23" s="8"/>
      <c r="AG23" s="8"/>
    </row>
    <row r="24" ht="12" customHeight="1">
      <c r="A24" s="8" t="s">
        <v>109</v>
      </c>
      <c r="B24" s="8" t="s">
        <v>348</v>
      </c>
      <c r="C24" s="24">
        <v>1529</v>
      </c>
      <c r="D24" s="8"/>
      <c r="E24" s="24">
        <v>1529</v>
      </c>
      <c r="F24" s="8"/>
      <c r="G24" s="24">
        <v>1530</v>
      </c>
      <c r="H24" s="8"/>
      <c r="I24" s="24">
        <v>1677</v>
      </c>
      <c r="J24" s="8"/>
      <c r="K24" s="24">
        <v>1677</v>
      </c>
      <c r="L24" s="8"/>
      <c r="M24" s="24">
        <v>1677</v>
      </c>
      <c r="N24" s="8"/>
      <c r="O24" s="24">
        <v>1678</v>
      </c>
      <c r="P24" s="8"/>
      <c r="Q24" s="24">
        <v>1884</v>
      </c>
      <c r="R24" s="8"/>
      <c r="S24" s="24">
        <v>1885</v>
      </c>
      <c r="T24" s="8"/>
      <c r="U24" s="24">
        <v>1885</v>
      </c>
      <c r="V24" s="8"/>
      <c r="W24" s="24">
        <v>1885</v>
      </c>
      <c r="X24" s="8"/>
      <c r="Y24" s="24">
        <v>2045</v>
      </c>
      <c r="Z24" s="8"/>
      <c r="AA24" s="24">
        <v>2045</v>
      </c>
      <c r="AB24" s="8"/>
      <c r="AC24" s="8"/>
      <c r="AE24" s="8"/>
      <c r="AG24" s="8"/>
    </row>
    <row r="25" ht="12" customHeight="1">
      <c r="A25" s="8" t="s">
        <v>111</v>
      </c>
      <c r="B25" s="8" t="s">
        <v>349</v>
      </c>
      <c r="C25" s="24">
        <v>1548</v>
      </c>
      <c r="D25" s="8"/>
      <c r="E25" s="24">
        <v>1548</v>
      </c>
      <c r="F25" s="8"/>
      <c r="G25" s="24">
        <v>1548</v>
      </c>
      <c r="H25" s="8"/>
      <c r="I25" s="24">
        <v>1698</v>
      </c>
      <c r="J25" s="8"/>
      <c r="K25" s="24">
        <v>1698</v>
      </c>
      <c r="L25" s="8"/>
      <c r="M25" s="24">
        <v>1698</v>
      </c>
      <c r="N25" s="8"/>
      <c r="O25" s="24">
        <v>1698</v>
      </c>
      <c r="P25" s="8"/>
      <c r="Q25" s="24">
        <v>1911</v>
      </c>
      <c r="R25" s="8"/>
      <c r="S25" s="24">
        <v>1911</v>
      </c>
      <c r="T25" s="8"/>
      <c r="U25" s="24">
        <v>1911</v>
      </c>
      <c r="V25" s="8"/>
      <c r="W25" s="24">
        <v>1911</v>
      </c>
      <c r="X25" s="8"/>
      <c r="Y25" s="24">
        <v>2079</v>
      </c>
      <c r="Z25" s="8"/>
      <c r="AA25" s="24">
        <v>2079</v>
      </c>
      <c r="AB25" s="8"/>
      <c r="AC25" s="8"/>
      <c r="AE25" s="8"/>
      <c r="AG25" s="8"/>
    </row>
    <row r="26" ht="12" customHeight="1">
      <c r="A26" s="8" t="s">
        <v>113</v>
      </c>
      <c r="B26" s="8" t="s">
        <v>350</v>
      </c>
      <c r="C26" s="24">
        <v>1115</v>
      </c>
      <c r="D26" s="8"/>
      <c r="E26" s="24">
        <v>1139</v>
      </c>
      <c r="F26" s="8"/>
      <c r="G26" s="24">
        <v>1171</v>
      </c>
      <c r="H26" s="8"/>
      <c r="I26" s="24">
        <v>1158</v>
      </c>
      <c r="J26" s="8"/>
      <c r="K26" s="24">
        <v>1180</v>
      </c>
      <c r="L26" s="8"/>
      <c r="M26" s="24">
        <v>1187</v>
      </c>
      <c r="N26" s="8"/>
      <c r="O26" s="24">
        <v>1220</v>
      </c>
      <c r="P26" s="8"/>
      <c r="Q26" s="24">
        <v>1230</v>
      </c>
      <c r="R26" s="8"/>
      <c r="S26" s="24">
        <v>1240</v>
      </c>
      <c r="T26" s="8"/>
      <c r="U26" s="24">
        <v>1269</v>
      </c>
      <c r="V26" s="8"/>
      <c r="W26" s="24">
        <v>1330</v>
      </c>
      <c r="X26" s="8"/>
      <c r="Y26" s="24">
        <v>1369</v>
      </c>
      <c r="Z26" s="8"/>
      <c r="AA26" s="24">
        <v>1390</v>
      </c>
      <c r="AB26" s="8"/>
      <c r="AC26" s="8"/>
      <c r="AE26" s="8"/>
      <c r="AG26" s="8"/>
    </row>
    <row r="27" ht="12" customHeight="1">
      <c r="A27" s="8" t="s">
        <v>115</v>
      </c>
      <c r="B27" s="8" t="s">
        <v>351</v>
      </c>
      <c r="C27" s="24">
        <v>1099</v>
      </c>
      <c r="D27" s="8"/>
      <c r="E27" s="24">
        <v>1122</v>
      </c>
      <c r="F27" s="8"/>
      <c r="G27" s="24">
        <v>1152</v>
      </c>
      <c r="H27" s="8"/>
      <c r="I27" s="24">
        <v>1132</v>
      </c>
      <c r="J27" s="8"/>
      <c r="K27" s="24">
        <v>1153</v>
      </c>
      <c r="L27" s="8"/>
      <c r="M27" s="24">
        <v>1160</v>
      </c>
      <c r="N27" s="8"/>
      <c r="O27" s="24">
        <v>1195</v>
      </c>
      <c r="P27" s="8"/>
      <c r="Q27" s="24">
        <v>1201</v>
      </c>
      <c r="R27" s="8"/>
      <c r="S27" s="24">
        <v>1208</v>
      </c>
      <c r="T27" s="8"/>
      <c r="U27" s="24">
        <v>1234</v>
      </c>
      <c r="V27" s="8"/>
      <c r="W27" s="24">
        <v>1296</v>
      </c>
      <c r="X27" s="8"/>
      <c r="Y27" s="24">
        <v>1337</v>
      </c>
      <c r="Z27" s="8"/>
      <c r="AA27" s="24">
        <v>1354</v>
      </c>
      <c r="AB27" s="8"/>
      <c r="AC27" s="8"/>
      <c r="AE27" s="8"/>
      <c r="AG27" s="8"/>
    </row>
    <row r="28" ht="12" customHeight="1">
      <c r="A28" s="11" t="s">
        <v>117</v>
      </c>
      <c r="B28" s="8" t="s">
        <v>352</v>
      </c>
      <c r="C28" s="24">
        <v>1182</v>
      </c>
      <c r="D28" s="8"/>
      <c r="E28" s="24">
        <v>1179</v>
      </c>
      <c r="F28" s="8"/>
      <c r="G28" s="24">
        <v>1207</v>
      </c>
      <c r="H28" s="8"/>
      <c r="I28" s="24">
        <v>1190</v>
      </c>
      <c r="J28" s="8"/>
      <c r="K28" s="24">
        <v>1201</v>
      </c>
      <c r="L28" s="8"/>
      <c r="M28" s="24">
        <v>1189</v>
      </c>
      <c r="N28" s="8"/>
      <c r="O28" s="24">
        <v>1193</v>
      </c>
      <c r="P28" s="8"/>
      <c r="Q28" s="24">
        <v>1193</v>
      </c>
      <c r="R28" s="8"/>
      <c r="S28" s="24">
        <v>1191</v>
      </c>
      <c r="T28" s="8"/>
      <c r="U28" s="24">
        <v>1185</v>
      </c>
      <c r="V28" s="8"/>
      <c r="W28" s="24">
        <v>1189</v>
      </c>
      <c r="X28" s="8"/>
      <c r="Y28" s="24">
        <v>1177</v>
      </c>
      <c r="Z28" s="8"/>
      <c r="AA28" s="24">
        <v>1185</v>
      </c>
      <c r="AB28" s="8"/>
      <c r="AC28" s="8"/>
      <c r="AE28" s="8"/>
      <c r="AG28" s="8"/>
    </row>
    <row r="29" ht="12" customHeight="1">
      <c r="A29" s="8" t="s">
        <v>119</v>
      </c>
      <c r="B29" s="8" t="s">
        <v>353</v>
      </c>
      <c r="C29" s="24">
        <v>1292</v>
      </c>
      <c r="D29" s="8"/>
      <c r="E29" s="24">
        <v>1263</v>
      </c>
      <c r="F29" s="8"/>
      <c r="G29" s="24">
        <v>1288</v>
      </c>
      <c r="H29" s="8"/>
      <c r="I29" s="24">
        <v>1246</v>
      </c>
      <c r="J29" s="8"/>
      <c r="K29" s="24">
        <v>1272</v>
      </c>
      <c r="L29" s="8"/>
      <c r="M29" s="24">
        <v>1213</v>
      </c>
      <c r="N29" s="8"/>
      <c r="O29" s="24">
        <v>1218</v>
      </c>
      <c r="P29" s="8"/>
      <c r="Q29" s="24">
        <v>1225</v>
      </c>
      <c r="R29" s="8"/>
      <c r="S29" s="24">
        <v>1253</v>
      </c>
      <c r="T29" s="8"/>
      <c r="U29" s="24">
        <v>1240</v>
      </c>
      <c r="V29" s="8"/>
      <c r="W29" s="24">
        <v>1220</v>
      </c>
      <c r="X29" s="8"/>
      <c r="Y29" s="24">
        <v>1193</v>
      </c>
      <c r="Z29" s="8"/>
      <c r="AA29" s="24">
        <v>1245</v>
      </c>
      <c r="AB29" s="8"/>
      <c r="AC29" s="8"/>
      <c r="AE29" s="8"/>
      <c r="AG29" s="8"/>
    </row>
    <row r="30" ht="12" customHeight="1">
      <c r="A30" s="8" t="s">
        <v>121</v>
      </c>
      <c r="B30" s="8" t="s">
        <v>354</v>
      </c>
      <c r="C30" s="24">
        <v>1093</v>
      </c>
      <c r="D30" s="8"/>
      <c r="E30" s="24">
        <v>1120</v>
      </c>
      <c r="F30" s="8"/>
      <c r="G30" s="24">
        <v>1116</v>
      </c>
      <c r="H30" s="8"/>
      <c r="I30" s="24">
        <v>1091</v>
      </c>
      <c r="J30" s="8"/>
      <c r="K30" s="24">
        <v>1130</v>
      </c>
      <c r="L30" s="8"/>
      <c r="M30" s="24">
        <v>1125</v>
      </c>
      <c r="N30" s="8"/>
      <c r="O30" s="24">
        <v>1195</v>
      </c>
      <c r="P30" s="8"/>
      <c r="Q30" s="24">
        <v>1180</v>
      </c>
      <c r="R30" s="8"/>
      <c r="S30" s="24">
        <v>1102</v>
      </c>
      <c r="T30" s="8"/>
      <c r="U30" s="24">
        <v>1149</v>
      </c>
      <c r="V30" s="8"/>
      <c r="W30" s="24">
        <v>1192</v>
      </c>
      <c r="X30" s="8"/>
      <c r="Y30" s="24">
        <v>1179</v>
      </c>
      <c r="Z30" s="8"/>
      <c r="AA30" s="24">
        <v>1155</v>
      </c>
      <c r="AB30" s="8"/>
      <c r="AC30" s="8"/>
      <c r="AE30" s="8"/>
      <c r="AG30" s="8"/>
    </row>
    <row r="31" ht="12" customHeight="1">
      <c r="A31" s="8" t="s">
        <v>123</v>
      </c>
      <c r="B31" s="8" t="s">
        <v>355</v>
      </c>
      <c r="C31" s="24">
        <v>1102</v>
      </c>
      <c r="D31" s="8"/>
      <c r="E31" s="24">
        <v>1090</v>
      </c>
      <c r="F31" s="8"/>
      <c r="G31" s="24">
        <v>1128</v>
      </c>
      <c r="H31" s="8"/>
      <c r="I31" s="24">
        <v>1115</v>
      </c>
      <c r="J31" s="8"/>
      <c r="K31" s="24">
        <v>1108</v>
      </c>
      <c r="L31" s="8"/>
      <c r="M31" s="24">
        <v>1095</v>
      </c>
      <c r="N31" s="8"/>
      <c r="O31" s="24">
        <v>1094</v>
      </c>
      <c r="P31" s="8"/>
      <c r="Q31" s="24">
        <v>1083</v>
      </c>
      <c r="R31" s="8"/>
      <c r="S31" s="24">
        <v>1085</v>
      </c>
      <c r="T31" s="8"/>
      <c r="U31" s="24">
        <v>1069</v>
      </c>
      <c r="V31" s="8"/>
      <c r="W31" s="24">
        <v>1078</v>
      </c>
      <c r="X31" s="8"/>
      <c r="Y31" s="24">
        <v>1072</v>
      </c>
      <c r="Z31" s="8"/>
      <c r="AA31" s="24">
        <v>1072</v>
      </c>
      <c r="AB31" s="8"/>
      <c r="AC31" s="8"/>
      <c r="AE31" s="8"/>
      <c r="AG31" s="8"/>
    </row>
    <row r="32" ht="12" customHeight="1">
      <c r="A32" s="8" t="s">
        <v>125</v>
      </c>
      <c r="B32" s="8" t="s">
        <v>356</v>
      </c>
      <c r="C32" s="24">
        <v>1134</v>
      </c>
      <c r="D32" s="8"/>
      <c r="E32" s="24">
        <v>1088</v>
      </c>
      <c r="F32" s="8"/>
      <c r="G32" s="24">
        <v>1116</v>
      </c>
      <c r="H32" s="8"/>
      <c r="I32" s="24">
        <v>1101</v>
      </c>
      <c r="J32" s="8"/>
      <c r="K32" s="24">
        <v>1172</v>
      </c>
      <c r="L32" s="8"/>
      <c r="M32" s="24">
        <v>1176</v>
      </c>
      <c r="N32" s="8"/>
      <c r="O32" s="24">
        <v>1153</v>
      </c>
      <c r="P32" s="8"/>
      <c r="Q32" s="24">
        <v>1124</v>
      </c>
      <c r="R32" s="8"/>
      <c r="S32" s="24">
        <v>1141</v>
      </c>
      <c r="T32" s="8"/>
      <c r="U32" s="24">
        <v>1161</v>
      </c>
      <c r="V32" s="8"/>
      <c r="W32" s="24">
        <v>1146</v>
      </c>
      <c r="X32" s="8"/>
      <c r="Y32" s="24">
        <v>1135</v>
      </c>
      <c r="Z32" s="8"/>
      <c r="AA32" s="24">
        <v>1109</v>
      </c>
      <c r="AB32" s="8"/>
      <c r="AC32" s="8"/>
      <c r="AE32" s="8"/>
      <c r="AG32" s="8"/>
    </row>
    <row r="33" ht="12" customHeight="1">
      <c r="A33" s="8" t="s">
        <v>127</v>
      </c>
      <c r="B33" s="8" t="s">
        <v>357</v>
      </c>
      <c r="C33" s="24">
        <v>1166</v>
      </c>
      <c r="D33" s="8"/>
      <c r="E33" s="24">
        <v>1175</v>
      </c>
      <c r="F33" s="8"/>
      <c r="G33" s="24">
        <v>1221</v>
      </c>
      <c r="H33" s="8"/>
      <c r="I33" s="24">
        <v>1220</v>
      </c>
      <c r="J33" s="8"/>
      <c r="K33" s="24">
        <v>1219</v>
      </c>
      <c r="L33" s="8"/>
      <c r="M33" s="24">
        <v>1232</v>
      </c>
      <c r="N33" s="8"/>
      <c r="O33" s="24">
        <v>1182</v>
      </c>
      <c r="P33" s="8"/>
      <c r="Q33" s="24">
        <v>1172</v>
      </c>
      <c r="R33" s="8"/>
      <c r="S33" s="24">
        <v>1170</v>
      </c>
      <c r="T33" s="8"/>
      <c r="U33" s="24">
        <v>1158</v>
      </c>
      <c r="V33" s="8"/>
      <c r="W33" s="24">
        <v>1166</v>
      </c>
      <c r="X33" s="8"/>
      <c r="Y33" s="24">
        <v>1168</v>
      </c>
      <c r="Z33" s="8"/>
      <c r="AA33" s="24">
        <v>1143</v>
      </c>
      <c r="AB33" s="8"/>
      <c r="AC33" s="8"/>
      <c r="AE33" s="8"/>
      <c r="AG33" s="8"/>
    </row>
    <row r="34" ht="12" customHeight="1">
      <c r="A34" s="8" t="s">
        <v>129</v>
      </c>
      <c r="B34" s="8" t="s">
        <v>358</v>
      </c>
      <c r="C34" s="24">
        <v>1211</v>
      </c>
      <c r="D34" s="8"/>
      <c r="E34" s="24">
        <v>1232</v>
      </c>
      <c r="F34" s="8"/>
      <c r="G34" s="24">
        <v>1260</v>
      </c>
      <c r="H34" s="8"/>
      <c r="I34" s="24">
        <v>1255</v>
      </c>
      <c r="J34" s="8"/>
      <c r="K34" s="24">
        <v>1249</v>
      </c>
      <c r="L34" s="8"/>
      <c r="M34" s="24">
        <v>1258</v>
      </c>
      <c r="N34" s="8"/>
      <c r="O34" s="24">
        <v>1267</v>
      </c>
      <c r="P34" s="8"/>
      <c r="Q34" s="24">
        <v>1289</v>
      </c>
      <c r="R34" s="8"/>
      <c r="S34" s="24">
        <v>1281</v>
      </c>
      <c r="T34" s="8"/>
      <c r="U34" s="24">
        <v>1268</v>
      </c>
      <c r="V34" s="8"/>
      <c r="W34" s="24">
        <v>1287</v>
      </c>
      <c r="X34" s="8"/>
      <c r="Y34" s="24">
        <v>1282</v>
      </c>
      <c r="Z34" s="8"/>
      <c r="AA34" s="24">
        <v>1279</v>
      </c>
      <c r="AB34" s="8"/>
      <c r="AC34" s="8"/>
      <c r="AE34" s="8"/>
      <c r="AG34" s="8"/>
    </row>
    <row r="35" ht="12" customHeight="1">
      <c r="A35" s="11" t="s">
        <v>131</v>
      </c>
      <c r="B35" s="8" t="s">
        <v>359</v>
      </c>
      <c r="C35" s="24">
        <v>1164</v>
      </c>
      <c r="D35" s="8"/>
      <c r="E35" s="24">
        <v>1169</v>
      </c>
      <c r="F35" s="8"/>
      <c r="G35" s="24">
        <v>1185</v>
      </c>
      <c r="H35" s="8"/>
      <c r="I35" s="24">
        <v>1155</v>
      </c>
      <c r="J35" s="8"/>
      <c r="K35" s="24">
        <v>1178</v>
      </c>
      <c r="L35" s="8"/>
      <c r="M35" s="24">
        <v>1200</v>
      </c>
      <c r="N35" s="8"/>
      <c r="O35" s="24">
        <v>1203</v>
      </c>
      <c r="P35" s="8"/>
      <c r="Q35" s="24">
        <v>1269</v>
      </c>
      <c r="R35" s="8"/>
      <c r="S35" s="24">
        <v>1266</v>
      </c>
      <c r="T35" s="8"/>
      <c r="U35" s="24">
        <v>1270</v>
      </c>
      <c r="V35" s="8"/>
      <c r="W35" s="24">
        <v>1272</v>
      </c>
      <c r="X35" s="8"/>
      <c r="Y35" s="24">
        <v>1279</v>
      </c>
      <c r="Z35" s="8"/>
      <c r="AA35" s="24">
        <v>1280</v>
      </c>
      <c r="AB35" s="8"/>
      <c r="AC35" s="8"/>
      <c r="AE35" s="8"/>
      <c r="AG35" s="8"/>
    </row>
    <row r="36" ht="12" customHeight="1">
      <c r="A36" s="8" t="s">
        <v>133</v>
      </c>
      <c r="B36" s="8" t="s">
        <v>360</v>
      </c>
      <c r="C36" s="24">
        <v>1042</v>
      </c>
      <c r="D36" s="8"/>
      <c r="E36" s="24">
        <v>1042</v>
      </c>
      <c r="F36" s="8"/>
      <c r="G36" s="24">
        <v>1055</v>
      </c>
      <c r="H36" s="8"/>
      <c r="I36" s="24">
        <v>918</v>
      </c>
      <c r="J36" s="8"/>
      <c r="K36" s="24">
        <v>918</v>
      </c>
      <c r="L36" s="8"/>
      <c r="M36" s="24">
        <v>914</v>
      </c>
      <c r="N36" s="8"/>
      <c r="O36" s="24">
        <v>921</v>
      </c>
      <c r="P36" s="8"/>
      <c r="Q36" s="24">
        <v>1080</v>
      </c>
      <c r="R36" s="8"/>
      <c r="S36" s="24">
        <v>1029</v>
      </c>
      <c r="T36" s="8"/>
      <c r="U36" s="24">
        <v>1031</v>
      </c>
      <c r="V36" s="8"/>
      <c r="W36" s="24">
        <v>1025</v>
      </c>
      <c r="X36" s="8"/>
      <c r="Y36" s="24">
        <v>1003</v>
      </c>
      <c r="Z36" s="8"/>
      <c r="AA36" s="24">
        <v>984</v>
      </c>
      <c r="AB36" s="8"/>
      <c r="AC36" s="8"/>
      <c r="AE36" s="8"/>
      <c r="AG36" s="8"/>
    </row>
    <row r="37" ht="12" customHeight="1">
      <c r="A37" s="8" t="s">
        <v>135</v>
      </c>
      <c r="B37" s="8" t="s">
        <v>361</v>
      </c>
      <c r="C37" s="24">
        <v>1207</v>
      </c>
      <c r="D37" s="8"/>
      <c r="E37" s="24">
        <v>1213</v>
      </c>
      <c r="F37" s="8"/>
      <c r="G37" s="24">
        <v>1229</v>
      </c>
      <c r="H37" s="8"/>
      <c r="I37" s="24">
        <v>1244</v>
      </c>
      <c r="J37" s="8"/>
      <c r="K37" s="24">
        <v>1273</v>
      </c>
      <c r="L37" s="8"/>
      <c r="M37" s="24">
        <v>1307</v>
      </c>
      <c r="N37" s="8"/>
      <c r="O37" s="24">
        <v>1308</v>
      </c>
      <c r="P37" s="8"/>
      <c r="Q37" s="24">
        <v>1324</v>
      </c>
      <c r="R37" s="8"/>
      <c r="S37" s="24">
        <v>1342</v>
      </c>
      <c r="T37" s="8"/>
      <c r="U37" s="24">
        <v>1348</v>
      </c>
      <c r="V37" s="8"/>
      <c r="W37" s="24">
        <v>1353</v>
      </c>
      <c r="X37" s="8"/>
      <c r="Y37" s="24">
        <v>1377</v>
      </c>
      <c r="Z37" s="8"/>
      <c r="AA37" s="24">
        <v>1390</v>
      </c>
      <c r="AB37" s="8"/>
      <c r="AC37" s="8"/>
      <c r="AE37" s="8"/>
      <c r="AG37" s="8"/>
    </row>
    <row r="38" ht="12" customHeight="1">
      <c r="A38" s="8" t="s">
        <v>137</v>
      </c>
      <c r="B38" s="8" t="s">
        <v>362</v>
      </c>
      <c r="C38" s="24">
        <v>1379</v>
      </c>
      <c r="D38" s="8"/>
      <c r="E38" s="24">
        <v>1404</v>
      </c>
      <c r="F38" s="8"/>
      <c r="G38" s="24">
        <v>1438</v>
      </c>
      <c r="H38" s="8"/>
      <c r="I38" s="24">
        <v>1494</v>
      </c>
      <c r="J38" s="8"/>
      <c r="K38" s="24">
        <v>1572</v>
      </c>
      <c r="L38" s="8"/>
      <c r="M38" s="24">
        <v>1598</v>
      </c>
      <c r="N38" s="8"/>
      <c r="O38" s="24">
        <v>1611</v>
      </c>
      <c r="P38" s="8"/>
      <c r="Q38" s="24">
        <v>1725</v>
      </c>
      <c r="R38" s="8"/>
      <c r="S38" s="24">
        <v>1747</v>
      </c>
      <c r="T38" s="8"/>
      <c r="U38" s="24">
        <v>1748</v>
      </c>
      <c r="V38" s="8"/>
      <c r="W38" s="24">
        <v>1764</v>
      </c>
      <c r="X38" s="8"/>
      <c r="Y38" s="24">
        <v>1790</v>
      </c>
      <c r="Z38" s="8"/>
      <c r="AA38" s="24">
        <v>1808</v>
      </c>
      <c r="AB38" s="8"/>
      <c r="AC38" s="8"/>
      <c r="AE38" s="8"/>
      <c r="AG38" s="8"/>
    </row>
    <row r="39" ht="12" customHeight="1">
      <c r="A39" s="11" t="s">
        <v>139</v>
      </c>
      <c r="B39" s="8" t="s">
        <v>363</v>
      </c>
      <c r="C39" s="24">
        <v>1128</v>
      </c>
      <c r="D39" s="8"/>
      <c r="E39" s="24">
        <v>1109</v>
      </c>
      <c r="F39" s="8"/>
      <c r="G39" s="24">
        <v>1088</v>
      </c>
      <c r="H39" s="8"/>
      <c r="I39" s="24">
        <v>1174</v>
      </c>
      <c r="J39" s="8"/>
      <c r="K39" s="24">
        <v>1174</v>
      </c>
      <c r="L39" s="8"/>
      <c r="M39" s="24">
        <v>1144</v>
      </c>
      <c r="N39" s="8"/>
      <c r="O39" s="24">
        <v>1146</v>
      </c>
      <c r="P39" s="8"/>
      <c r="Q39" s="24">
        <v>1120</v>
      </c>
      <c r="R39" s="8"/>
      <c r="S39" s="24">
        <v>1131</v>
      </c>
      <c r="T39" s="8"/>
      <c r="U39" s="24">
        <v>1143</v>
      </c>
      <c r="V39" s="8"/>
      <c r="W39" s="24">
        <v>1132</v>
      </c>
      <c r="X39" s="8"/>
      <c r="Y39" s="24">
        <v>1136</v>
      </c>
      <c r="Z39" s="8"/>
      <c r="AA39" s="24">
        <v>1161</v>
      </c>
      <c r="AB39" s="8"/>
      <c r="AC39" s="8"/>
      <c r="AE39" s="8"/>
      <c r="AG39" s="8"/>
    </row>
    <row r="40" ht="12" customHeight="1">
      <c r="A40" s="8" t="s">
        <v>141</v>
      </c>
      <c r="B40" s="8" t="s">
        <v>364</v>
      </c>
      <c r="C40" s="24">
        <v>1031</v>
      </c>
      <c r="D40" s="8"/>
      <c r="E40" s="24">
        <v>1039</v>
      </c>
      <c r="F40" s="8"/>
      <c r="G40" s="24">
        <v>1052</v>
      </c>
      <c r="H40" s="8"/>
      <c r="I40" s="24">
        <v>1086</v>
      </c>
      <c r="J40" s="8"/>
      <c r="K40" s="24">
        <v>1069</v>
      </c>
      <c r="L40" s="8"/>
      <c r="M40" s="24">
        <v>1045</v>
      </c>
      <c r="N40" s="8"/>
      <c r="O40" s="24">
        <v>1029</v>
      </c>
      <c r="P40" s="8"/>
      <c r="Q40" s="24">
        <v>1013</v>
      </c>
      <c r="R40" s="8"/>
      <c r="S40" s="24">
        <v>1022</v>
      </c>
      <c r="T40" s="8"/>
      <c r="U40" s="24">
        <v>1026</v>
      </c>
      <c r="V40" s="8"/>
      <c r="W40" s="24">
        <v>1032</v>
      </c>
      <c r="X40" s="8"/>
      <c r="Y40" s="24">
        <v>1031</v>
      </c>
      <c r="Z40" s="8"/>
      <c r="AA40" s="24">
        <v>1036</v>
      </c>
      <c r="AB40" s="8"/>
      <c r="AC40" s="8"/>
      <c r="AE40" s="8"/>
      <c r="AG40" s="8"/>
    </row>
    <row r="41" ht="12" customHeight="1">
      <c r="A41" s="8" t="s">
        <v>143</v>
      </c>
      <c r="B41" s="8" t="s">
        <v>365</v>
      </c>
      <c r="C41" s="24">
        <v>1077</v>
      </c>
      <c r="D41" s="8"/>
      <c r="E41" s="24">
        <v>1058</v>
      </c>
      <c r="F41" s="8"/>
      <c r="G41" s="24">
        <v>1046</v>
      </c>
      <c r="H41" s="8"/>
      <c r="I41" s="24">
        <v>1167</v>
      </c>
      <c r="J41" s="8"/>
      <c r="K41" s="24">
        <v>1173</v>
      </c>
      <c r="L41" s="8"/>
      <c r="M41" s="24">
        <v>1158</v>
      </c>
      <c r="N41" s="8"/>
      <c r="O41" s="24">
        <v>1181</v>
      </c>
      <c r="P41" s="8"/>
      <c r="Q41" s="24">
        <v>1137</v>
      </c>
      <c r="R41" s="8"/>
      <c r="S41" s="24">
        <v>1129</v>
      </c>
      <c r="T41" s="8"/>
      <c r="U41" s="24">
        <v>1164</v>
      </c>
      <c r="V41" s="8"/>
      <c r="W41" s="24">
        <v>1144</v>
      </c>
      <c r="X41" s="8"/>
      <c r="Y41" s="24">
        <v>1149</v>
      </c>
      <c r="Z41" s="8"/>
      <c r="AA41" s="24">
        <v>1168</v>
      </c>
      <c r="AB41" s="8"/>
      <c r="AC41" s="8"/>
      <c r="AE41" s="8"/>
      <c r="AG41" s="8"/>
    </row>
    <row r="42" ht="12" customHeight="1">
      <c r="A42" s="8" t="s">
        <v>145</v>
      </c>
      <c r="B42" s="8" t="s">
        <v>366</v>
      </c>
      <c r="C42" s="24">
        <v>1189</v>
      </c>
      <c r="D42" s="8"/>
      <c r="E42" s="24">
        <v>1159</v>
      </c>
      <c r="F42" s="8"/>
      <c r="G42" s="24">
        <v>1141</v>
      </c>
      <c r="H42" s="8"/>
      <c r="I42" s="24">
        <v>1330</v>
      </c>
      <c r="J42" s="8"/>
      <c r="K42" s="24">
        <v>1331</v>
      </c>
      <c r="L42" s="8"/>
      <c r="M42" s="24">
        <v>1299</v>
      </c>
      <c r="N42" s="8"/>
      <c r="O42" s="24">
        <v>1308</v>
      </c>
      <c r="P42" s="8"/>
      <c r="Q42" s="24">
        <v>1229</v>
      </c>
      <c r="R42" s="8"/>
      <c r="S42" s="24">
        <v>1213</v>
      </c>
      <c r="T42" s="8"/>
      <c r="U42" s="24">
        <v>1269</v>
      </c>
      <c r="V42" s="8"/>
      <c r="W42" s="24">
        <v>1208</v>
      </c>
      <c r="X42" s="8"/>
      <c r="Y42" s="24">
        <v>1210</v>
      </c>
      <c r="Z42" s="8"/>
      <c r="AA42" s="24">
        <v>1240</v>
      </c>
      <c r="AB42" s="8"/>
      <c r="AC42" s="8"/>
      <c r="AE42" s="8"/>
      <c r="AG42" s="8"/>
    </row>
    <row r="43" ht="12" customHeight="1">
      <c r="A43" s="8" t="s">
        <v>147</v>
      </c>
      <c r="B43" s="8" t="s">
        <v>367</v>
      </c>
      <c r="C43" s="24">
        <v>1427</v>
      </c>
      <c r="D43" s="8"/>
      <c r="E43" s="24">
        <v>1368</v>
      </c>
      <c r="F43" s="8"/>
      <c r="G43" s="24">
        <v>1255</v>
      </c>
      <c r="H43" s="8"/>
      <c r="I43" s="24">
        <v>1282</v>
      </c>
      <c r="J43" s="8"/>
      <c r="K43" s="24">
        <v>1283</v>
      </c>
      <c r="L43" s="8"/>
      <c r="M43" s="24">
        <v>1194</v>
      </c>
      <c r="N43" s="8"/>
      <c r="O43" s="24">
        <v>1145</v>
      </c>
      <c r="P43" s="8"/>
      <c r="Q43" s="24">
        <v>1170</v>
      </c>
      <c r="R43" s="8"/>
      <c r="S43" s="24">
        <v>1249</v>
      </c>
      <c r="T43" s="8"/>
      <c r="U43" s="24">
        <v>1197</v>
      </c>
      <c r="V43" s="8"/>
      <c r="W43" s="24">
        <v>1185</v>
      </c>
      <c r="X43" s="8"/>
      <c r="Y43" s="24">
        <v>1201</v>
      </c>
      <c r="Z43" s="8"/>
      <c r="AA43" s="24">
        <v>1270</v>
      </c>
      <c r="AB43" s="8"/>
      <c r="AC43" s="8"/>
      <c r="AE43" s="8"/>
      <c r="AG43" s="8"/>
    </row>
    <row r="44" ht="12" customHeight="1">
      <c r="A44" s="11" t="s">
        <v>149</v>
      </c>
      <c r="B44" s="8" t="s">
        <v>368</v>
      </c>
      <c r="C44" s="24">
        <v>970</v>
      </c>
      <c r="D44" s="8"/>
      <c r="E44" s="24">
        <v>973</v>
      </c>
      <c r="F44" s="8"/>
      <c r="G44" s="24">
        <v>977</v>
      </c>
      <c r="H44" s="8"/>
      <c r="I44" s="24">
        <v>994</v>
      </c>
      <c r="J44" s="8"/>
      <c r="K44" s="24">
        <v>1012</v>
      </c>
      <c r="L44" s="8"/>
      <c r="M44" s="24">
        <v>1021</v>
      </c>
      <c r="N44" s="8"/>
      <c r="O44" s="24">
        <v>1032</v>
      </c>
      <c r="P44" s="8"/>
      <c r="Q44" s="24">
        <v>1037</v>
      </c>
      <c r="R44" s="8"/>
      <c r="S44" s="24">
        <v>1065</v>
      </c>
      <c r="T44" s="8"/>
      <c r="U44" s="24">
        <v>1077</v>
      </c>
      <c r="V44" s="8"/>
      <c r="W44" s="24">
        <v>1086</v>
      </c>
      <c r="X44" s="8"/>
      <c r="Y44" s="24">
        <v>1097</v>
      </c>
      <c r="Z44" s="8"/>
      <c r="AA44" s="24">
        <v>1132</v>
      </c>
      <c r="AB44" s="8"/>
      <c r="AC44" s="8"/>
      <c r="AE44" s="8"/>
      <c r="AG44" s="8"/>
    </row>
    <row r="45" ht="12" customHeight="1">
      <c r="A45" s="8" t="s">
        <v>151</v>
      </c>
      <c r="B45" s="8" t="s">
        <v>369</v>
      </c>
      <c r="C45" s="24">
        <v>1441</v>
      </c>
      <c r="D45" s="8"/>
      <c r="E45" s="24">
        <v>1449</v>
      </c>
      <c r="F45" s="8"/>
      <c r="G45" s="24">
        <v>1441</v>
      </c>
      <c r="H45" s="8"/>
      <c r="I45" s="24">
        <v>1548</v>
      </c>
      <c r="J45" s="8"/>
      <c r="K45" s="24">
        <v>1558</v>
      </c>
      <c r="L45" s="8"/>
      <c r="M45" s="24">
        <v>1545</v>
      </c>
      <c r="N45" s="8"/>
      <c r="O45" s="24">
        <v>1537</v>
      </c>
      <c r="P45" s="8"/>
      <c r="Q45" s="24">
        <v>1578</v>
      </c>
      <c r="R45" s="8"/>
      <c r="S45" s="24">
        <v>1576</v>
      </c>
      <c r="T45" s="8"/>
      <c r="U45" s="24">
        <v>1570</v>
      </c>
      <c r="V45" s="8"/>
      <c r="W45" s="24">
        <v>1585</v>
      </c>
      <c r="X45" s="8"/>
      <c r="Y45" s="24">
        <v>1703</v>
      </c>
      <c r="Z45" s="8"/>
      <c r="AA45" s="24">
        <v>1708</v>
      </c>
      <c r="AB45" s="8"/>
      <c r="AC45" s="8"/>
      <c r="AE45" s="8"/>
      <c r="AG45" s="8"/>
    </row>
    <row r="46" ht="12" customHeight="1">
      <c r="A46" s="8" t="s">
        <v>153</v>
      </c>
      <c r="B46" s="8" t="s">
        <v>370</v>
      </c>
      <c r="C46" s="24">
        <v>375</v>
      </c>
      <c r="D46" s="8"/>
      <c r="E46" s="24">
        <v>381</v>
      </c>
      <c r="F46" s="8"/>
      <c r="G46" s="24">
        <v>343</v>
      </c>
      <c r="H46" s="8"/>
      <c r="I46" s="24">
        <v>322</v>
      </c>
      <c r="J46" s="8"/>
      <c r="K46" s="24">
        <v>373</v>
      </c>
      <c r="L46" s="8"/>
      <c r="M46" s="24">
        <v>362</v>
      </c>
      <c r="N46" s="8"/>
      <c r="O46" s="24">
        <v>392</v>
      </c>
      <c r="P46" s="8"/>
      <c r="Q46" s="24">
        <v>332</v>
      </c>
      <c r="R46" s="8"/>
      <c r="S46" s="24">
        <v>332</v>
      </c>
      <c r="T46" s="8"/>
      <c r="U46" s="24">
        <v>315</v>
      </c>
      <c r="V46" s="8"/>
      <c r="W46" s="24">
        <v>292</v>
      </c>
      <c r="X46" s="8"/>
      <c r="Y46" s="24">
        <v>282</v>
      </c>
      <c r="Z46" s="8"/>
      <c r="AA46" s="24">
        <v>314</v>
      </c>
      <c r="AB46" s="8"/>
      <c r="AC46" s="8"/>
      <c r="AE46" s="8"/>
      <c r="AG46" s="8"/>
    </row>
    <row r="47" ht="12" customHeight="1">
      <c r="A47" s="8" t="s">
        <v>155</v>
      </c>
      <c r="B47" s="8" t="s">
        <v>371</v>
      </c>
      <c r="C47" s="24">
        <v>990</v>
      </c>
      <c r="D47" s="8"/>
      <c r="E47" s="24">
        <v>993</v>
      </c>
      <c r="F47" s="8"/>
      <c r="G47" s="24">
        <v>1001</v>
      </c>
      <c r="H47" s="8"/>
      <c r="I47" s="24">
        <v>1019</v>
      </c>
      <c r="J47" s="8"/>
      <c r="K47" s="24">
        <v>1034</v>
      </c>
      <c r="L47" s="8"/>
      <c r="M47" s="24">
        <v>1044</v>
      </c>
      <c r="N47" s="8"/>
      <c r="O47" s="24">
        <v>1054</v>
      </c>
      <c r="P47" s="8"/>
      <c r="Q47" s="24">
        <v>1064</v>
      </c>
      <c r="R47" s="8"/>
      <c r="S47" s="24">
        <v>1095</v>
      </c>
      <c r="T47" s="8"/>
      <c r="U47" s="24">
        <v>1114</v>
      </c>
      <c r="V47" s="8"/>
      <c r="W47" s="24">
        <v>1129</v>
      </c>
      <c r="X47" s="8"/>
      <c r="Y47" s="24">
        <v>1140</v>
      </c>
      <c r="Z47" s="8"/>
      <c r="AA47" s="24">
        <v>1172</v>
      </c>
      <c r="AB47" s="8"/>
      <c r="AC47" s="8"/>
      <c r="AE47" s="8"/>
      <c r="AG47" s="8"/>
    </row>
    <row r="48" ht="12" customHeight="1">
      <c r="A48" s="11" t="s">
        <v>157</v>
      </c>
      <c r="B48" s="8" t="s">
        <v>372</v>
      </c>
      <c r="C48" s="24">
        <v>1179</v>
      </c>
      <c r="D48" s="8"/>
      <c r="E48" s="24">
        <v>1189</v>
      </c>
      <c r="F48" s="8"/>
      <c r="G48" s="24">
        <v>1203</v>
      </c>
      <c r="H48" s="8"/>
      <c r="I48" s="24">
        <v>1219</v>
      </c>
      <c r="J48" s="8"/>
      <c r="K48" s="24">
        <v>1239</v>
      </c>
      <c r="L48" s="8"/>
      <c r="M48" s="24">
        <v>1271</v>
      </c>
      <c r="N48" s="8"/>
      <c r="O48" s="24">
        <v>1266</v>
      </c>
      <c r="P48" s="8"/>
      <c r="Q48" s="24">
        <v>1263</v>
      </c>
      <c r="R48" s="8"/>
      <c r="S48" s="24">
        <v>1289</v>
      </c>
      <c r="T48" s="8"/>
      <c r="U48" s="24">
        <v>1286</v>
      </c>
      <c r="V48" s="8"/>
      <c r="W48" s="24">
        <v>1295</v>
      </c>
      <c r="X48" s="8"/>
      <c r="Y48" s="24">
        <v>1305</v>
      </c>
      <c r="Z48" s="8"/>
      <c r="AA48" s="24">
        <v>1322</v>
      </c>
      <c r="AB48" s="8"/>
      <c r="AC48" s="8"/>
      <c r="AE48" s="8"/>
      <c r="AG48" s="8"/>
    </row>
    <row r="49" ht="12" customHeight="1">
      <c r="A49" s="8" t="s">
        <v>159</v>
      </c>
      <c r="B49" s="8" t="s">
        <v>373</v>
      </c>
      <c r="C49" s="24">
        <v>433</v>
      </c>
      <c r="D49" s="8"/>
      <c r="E49" s="24">
        <v>410</v>
      </c>
      <c r="F49" s="8"/>
      <c r="G49" s="24">
        <v>344</v>
      </c>
      <c r="H49" s="8"/>
      <c r="I49" s="24">
        <v>354</v>
      </c>
      <c r="J49" s="8"/>
      <c r="K49" s="24">
        <v>393</v>
      </c>
      <c r="L49" s="8"/>
      <c r="M49" s="24">
        <v>355</v>
      </c>
      <c r="N49" s="8"/>
      <c r="O49" s="24">
        <v>310</v>
      </c>
      <c r="P49" s="8"/>
      <c r="Q49" s="24">
        <v>321</v>
      </c>
      <c r="R49" s="8"/>
      <c r="S49" s="24">
        <v>354</v>
      </c>
      <c r="T49" s="8"/>
      <c r="U49" s="24">
        <v>328</v>
      </c>
      <c r="V49" s="8"/>
      <c r="W49" s="24">
        <v>283</v>
      </c>
      <c r="X49" s="8"/>
      <c r="Y49" s="24">
        <v>290</v>
      </c>
      <c r="Z49" s="8"/>
      <c r="AA49" s="24">
        <v>316</v>
      </c>
      <c r="AB49" s="8"/>
      <c r="AC49" s="8"/>
      <c r="AE49" s="8"/>
      <c r="AG49" s="8"/>
    </row>
    <row r="50" ht="12" customHeight="1">
      <c r="A50" s="8" t="s">
        <v>161</v>
      </c>
      <c r="B50" s="8" t="s">
        <v>374</v>
      </c>
      <c r="C50" s="24">
        <v>1363</v>
      </c>
      <c r="D50" s="8"/>
      <c r="E50" s="24">
        <v>1374</v>
      </c>
      <c r="F50" s="8"/>
      <c r="G50" s="24">
        <v>1367</v>
      </c>
      <c r="H50" s="8"/>
      <c r="I50" s="24">
        <v>1377</v>
      </c>
      <c r="J50" s="8"/>
      <c r="K50" s="24">
        <v>1366</v>
      </c>
      <c r="L50" s="8"/>
      <c r="M50" s="24">
        <v>1394</v>
      </c>
      <c r="N50" s="8"/>
      <c r="O50" s="24">
        <v>1390</v>
      </c>
      <c r="P50" s="8"/>
      <c r="Q50" s="24">
        <v>1360</v>
      </c>
      <c r="R50" s="8"/>
      <c r="S50" s="24">
        <v>1370</v>
      </c>
      <c r="T50" s="8"/>
      <c r="U50" s="24">
        <v>1381</v>
      </c>
      <c r="V50" s="8"/>
      <c r="W50" s="24">
        <v>1405</v>
      </c>
      <c r="X50" s="8"/>
      <c r="Y50" s="24">
        <v>1400</v>
      </c>
      <c r="Z50" s="8"/>
      <c r="AA50" s="24">
        <v>1411</v>
      </c>
      <c r="AB50" s="8"/>
      <c r="AC50" s="8"/>
      <c r="AE50" s="8"/>
      <c r="AG50" s="8"/>
    </row>
    <row r="51" ht="12" customHeight="1">
      <c r="A51" s="8" t="s">
        <v>163</v>
      </c>
      <c r="B51" s="8" t="s">
        <v>375</v>
      </c>
      <c r="C51" s="24">
        <v>1263</v>
      </c>
      <c r="D51" s="8"/>
      <c r="E51" s="24">
        <v>1285</v>
      </c>
      <c r="F51" s="8"/>
      <c r="G51" s="24">
        <v>1340</v>
      </c>
      <c r="H51" s="8"/>
      <c r="I51" s="24">
        <v>1346</v>
      </c>
      <c r="J51" s="8"/>
      <c r="K51" s="24">
        <v>1352</v>
      </c>
      <c r="L51" s="8"/>
      <c r="M51" s="24">
        <v>1358</v>
      </c>
      <c r="N51" s="8"/>
      <c r="O51" s="24">
        <v>1354</v>
      </c>
      <c r="P51" s="8"/>
      <c r="Q51" s="24">
        <v>1353</v>
      </c>
      <c r="R51" s="8"/>
      <c r="S51" s="24">
        <v>1362</v>
      </c>
      <c r="T51" s="8"/>
      <c r="U51" s="24">
        <v>1358</v>
      </c>
      <c r="V51" s="8"/>
      <c r="W51" s="24">
        <v>1336</v>
      </c>
      <c r="X51" s="8"/>
      <c r="Y51" s="24">
        <v>1348</v>
      </c>
      <c r="Z51" s="8"/>
      <c r="AA51" s="24">
        <v>1354</v>
      </c>
      <c r="AB51" s="8"/>
      <c r="AC51" s="8"/>
      <c r="AE51" s="8"/>
      <c r="AG51" s="8"/>
    </row>
    <row r="52" ht="12" customHeight="1">
      <c r="A52" s="8" t="s">
        <v>165</v>
      </c>
      <c r="B52" s="8" t="s">
        <v>376</v>
      </c>
      <c r="C52" s="24">
        <v>1070</v>
      </c>
      <c r="D52" s="8"/>
      <c r="E52" s="24">
        <v>1083</v>
      </c>
      <c r="F52" s="8"/>
      <c r="G52" s="24">
        <v>1093</v>
      </c>
      <c r="H52" s="8"/>
      <c r="I52" s="24">
        <v>1102</v>
      </c>
      <c r="J52" s="8"/>
      <c r="K52" s="24">
        <v>1130</v>
      </c>
      <c r="L52" s="8"/>
      <c r="M52" s="24">
        <v>1174</v>
      </c>
      <c r="N52" s="8"/>
      <c r="O52" s="24">
        <v>1201</v>
      </c>
      <c r="P52" s="8"/>
      <c r="Q52" s="24">
        <v>1189</v>
      </c>
      <c r="R52" s="8"/>
      <c r="S52" s="24">
        <v>1205</v>
      </c>
      <c r="T52" s="8"/>
      <c r="U52" s="24">
        <v>1209</v>
      </c>
      <c r="V52" s="8"/>
      <c r="W52" s="24">
        <v>1283</v>
      </c>
      <c r="X52" s="8"/>
      <c r="Y52" s="24">
        <v>1288</v>
      </c>
      <c r="Z52" s="8"/>
      <c r="AA52" s="24">
        <v>1289</v>
      </c>
      <c r="AB52" s="8"/>
      <c r="AC52" s="8"/>
      <c r="AE52" s="8"/>
      <c r="AG52" s="8"/>
    </row>
    <row r="53" ht="12" customHeight="1">
      <c r="A53" s="8" t="s">
        <v>167</v>
      </c>
      <c r="B53" s="8" t="s">
        <v>377</v>
      </c>
      <c r="C53" s="24">
        <v>1526</v>
      </c>
      <c r="D53" s="8"/>
      <c r="E53" s="24">
        <v>1539</v>
      </c>
      <c r="F53" s="8"/>
      <c r="G53" s="24">
        <v>1571</v>
      </c>
      <c r="H53" s="8"/>
      <c r="I53" s="24">
        <v>1615</v>
      </c>
      <c r="J53" s="8"/>
      <c r="K53" s="24">
        <v>1627</v>
      </c>
      <c r="L53" s="8"/>
      <c r="M53" s="24">
        <v>1650</v>
      </c>
      <c r="N53" s="8"/>
      <c r="O53" s="24">
        <v>1677</v>
      </c>
      <c r="P53" s="8"/>
      <c r="Q53" s="24">
        <v>1688</v>
      </c>
      <c r="R53" s="8"/>
      <c r="S53" s="24">
        <v>1708</v>
      </c>
      <c r="T53" s="8"/>
      <c r="U53" s="24">
        <v>1694</v>
      </c>
      <c r="V53" s="8"/>
      <c r="W53" s="24">
        <v>1686</v>
      </c>
      <c r="X53" s="8"/>
      <c r="Y53" s="24">
        <v>1724</v>
      </c>
      <c r="Z53" s="8"/>
      <c r="AA53" s="24">
        <v>1740</v>
      </c>
      <c r="AB53" s="8"/>
      <c r="AC53" s="8"/>
      <c r="AE53" s="8"/>
      <c r="AG53" s="8"/>
    </row>
    <row r="54" ht="12" customHeight="1">
      <c r="A54" s="8" t="s">
        <v>169</v>
      </c>
      <c r="B54" s="8" t="s">
        <v>378</v>
      </c>
      <c r="C54" s="24">
        <v>1585</v>
      </c>
      <c r="D54" s="8"/>
      <c r="E54" s="24">
        <v>1600</v>
      </c>
      <c r="F54" s="8"/>
      <c r="G54" s="24">
        <v>1632</v>
      </c>
      <c r="H54" s="8"/>
      <c r="I54" s="24">
        <v>1654</v>
      </c>
      <c r="J54" s="8"/>
      <c r="K54" s="24">
        <v>1670</v>
      </c>
      <c r="L54" s="8"/>
      <c r="M54" s="24">
        <v>1782</v>
      </c>
      <c r="N54" s="8"/>
      <c r="O54" s="24">
        <v>1715</v>
      </c>
      <c r="P54" s="8"/>
      <c r="Q54" s="24">
        <v>1706</v>
      </c>
      <c r="R54" s="8"/>
      <c r="S54" s="24">
        <v>1776</v>
      </c>
      <c r="T54" s="8"/>
      <c r="U54" s="24">
        <v>1812</v>
      </c>
      <c r="V54" s="8"/>
      <c r="W54" s="24">
        <v>1819</v>
      </c>
      <c r="X54" s="8"/>
      <c r="Y54" s="24">
        <v>1827</v>
      </c>
      <c r="Z54" s="8"/>
      <c r="AA54" s="24">
        <v>1894</v>
      </c>
      <c r="AB54" s="8"/>
      <c r="AC54" s="8"/>
      <c r="AE54" s="8"/>
      <c r="AG54" s="8"/>
    </row>
    <row r="55" ht="12" customHeight="1">
      <c r="A55" s="11" t="s">
        <v>171</v>
      </c>
      <c r="B55" s="8" t="s">
        <v>379</v>
      </c>
      <c r="C55" s="24">
        <v>1135</v>
      </c>
      <c r="D55" s="8"/>
      <c r="E55" s="24">
        <v>1170</v>
      </c>
      <c r="F55" s="8"/>
      <c r="G55" s="24">
        <v>1170</v>
      </c>
      <c r="H55" s="8"/>
      <c r="I55" s="24">
        <v>1174</v>
      </c>
      <c r="J55" s="8"/>
      <c r="K55" s="24">
        <v>1174</v>
      </c>
      <c r="L55" s="8"/>
      <c r="M55" s="24">
        <v>1234</v>
      </c>
      <c r="N55" s="8"/>
      <c r="O55" s="24">
        <v>1234</v>
      </c>
      <c r="P55" s="8"/>
      <c r="Q55" s="24">
        <v>1210</v>
      </c>
      <c r="R55" s="8"/>
      <c r="S55" s="24">
        <v>1210</v>
      </c>
      <c r="T55" s="8"/>
      <c r="U55" s="24">
        <v>1334</v>
      </c>
      <c r="V55" s="8"/>
      <c r="W55" s="24">
        <v>1334</v>
      </c>
      <c r="X55" s="8"/>
      <c r="Y55" s="24">
        <v>1337</v>
      </c>
      <c r="Z55" s="8"/>
      <c r="AA55" s="24">
        <v>1337</v>
      </c>
      <c r="AB55" s="8"/>
      <c r="AC55" s="8"/>
      <c r="AE55" s="8"/>
      <c r="AG55" s="8"/>
    </row>
    <row r="56" ht="12" customHeight="1">
      <c r="A56" s="8" t="s">
        <v>173</v>
      </c>
      <c r="B56" s="8" t="s">
        <v>380</v>
      </c>
      <c r="C56" s="24">
        <v>1746</v>
      </c>
      <c r="D56" s="8"/>
      <c r="E56" s="24">
        <v>1746</v>
      </c>
      <c r="F56" s="8"/>
      <c r="G56" s="24">
        <v>1746</v>
      </c>
      <c r="H56" s="8"/>
      <c r="I56" s="24">
        <v>1806</v>
      </c>
      <c r="J56" s="8"/>
      <c r="K56" s="24">
        <v>1806</v>
      </c>
      <c r="L56" s="8"/>
      <c r="M56" s="24">
        <v>1806</v>
      </c>
      <c r="N56" s="8"/>
      <c r="O56" s="24">
        <v>1806</v>
      </c>
      <c r="P56" s="8"/>
      <c r="Q56" s="24">
        <v>1460</v>
      </c>
      <c r="R56" s="8"/>
      <c r="S56" s="24">
        <v>1460</v>
      </c>
      <c r="T56" s="8"/>
      <c r="U56" s="24">
        <v>1460</v>
      </c>
      <c r="V56" s="8"/>
      <c r="W56" s="24">
        <v>1460</v>
      </c>
      <c r="X56" s="8"/>
      <c r="Y56" s="24">
        <v>1496</v>
      </c>
      <c r="Z56" s="8"/>
      <c r="AA56" s="24">
        <v>1496</v>
      </c>
      <c r="AB56" s="8"/>
      <c r="AC56" s="8"/>
      <c r="AE56" s="8"/>
      <c r="AG56" s="8"/>
    </row>
    <row r="57" ht="12" customHeight="1">
      <c r="A57" s="8" t="s">
        <v>175</v>
      </c>
      <c r="B57" s="8" t="s">
        <v>381</v>
      </c>
      <c r="C57" s="24">
        <v>1313</v>
      </c>
      <c r="D57" s="8"/>
      <c r="E57" s="24">
        <v>1319</v>
      </c>
      <c r="F57" s="8"/>
      <c r="G57" s="24">
        <v>1319</v>
      </c>
      <c r="H57" s="8"/>
      <c r="I57" s="24">
        <v>1319</v>
      </c>
      <c r="J57" s="8"/>
      <c r="K57" s="24">
        <v>1319</v>
      </c>
      <c r="L57" s="8"/>
      <c r="M57" s="24">
        <v>1370</v>
      </c>
      <c r="N57" s="8"/>
      <c r="O57" s="24">
        <v>1370</v>
      </c>
      <c r="P57" s="8"/>
      <c r="Q57" s="24">
        <v>1370</v>
      </c>
      <c r="R57" s="8"/>
      <c r="S57" s="24">
        <v>1370</v>
      </c>
      <c r="T57" s="8"/>
      <c r="U57" s="24">
        <v>1426</v>
      </c>
      <c r="V57" s="8"/>
      <c r="W57" s="24">
        <v>1426</v>
      </c>
      <c r="X57" s="8"/>
      <c r="Y57" s="24">
        <v>1426</v>
      </c>
      <c r="Z57" s="8"/>
      <c r="AA57" s="24">
        <v>1426</v>
      </c>
      <c r="AB57" s="8"/>
      <c r="AC57" s="8"/>
      <c r="AE57" s="8"/>
      <c r="AG57" s="8"/>
    </row>
    <row r="58" ht="12" customHeight="1">
      <c r="A58" s="8" t="s">
        <v>177</v>
      </c>
      <c r="B58" s="8" t="s">
        <v>382</v>
      </c>
      <c r="C58" s="24">
        <v>1004</v>
      </c>
      <c r="D58" s="8"/>
      <c r="E58" s="24">
        <v>1044</v>
      </c>
      <c r="F58" s="8"/>
      <c r="G58" s="24">
        <v>1044</v>
      </c>
      <c r="H58" s="8"/>
      <c r="I58" s="24">
        <v>1044</v>
      </c>
      <c r="J58" s="8"/>
      <c r="K58" s="24">
        <v>1044</v>
      </c>
      <c r="L58" s="8"/>
      <c r="M58" s="24">
        <v>1109</v>
      </c>
      <c r="N58" s="8"/>
      <c r="O58" s="24">
        <v>1109</v>
      </c>
      <c r="P58" s="8"/>
      <c r="Q58" s="24">
        <v>1109</v>
      </c>
      <c r="R58" s="8"/>
      <c r="S58" s="24">
        <v>1109</v>
      </c>
      <c r="T58" s="8"/>
      <c r="U58" s="24">
        <v>1360</v>
      </c>
      <c r="V58" s="8"/>
      <c r="W58" s="24">
        <v>1360</v>
      </c>
      <c r="X58" s="8"/>
      <c r="Y58" s="24">
        <v>1360</v>
      </c>
      <c r="Z58" s="8"/>
      <c r="AA58" s="24">
        <v>1360</v>
      </c>
      <c r="AB58" s="8"/>
      <c r="AC58" s="8"/>
      <c r="AE58" s="8"/>
      <c r="AG58" s="8"/>
    </row>
    <row r="59" ht="12" customHeight="1">
      <c r="A59" s="8" t="s">
        <v>179</v>
      </c>
      <c r="B59" s="8" t="s">
        <v>383</v>
      </c>
      <c r="C59" s="24">
        <v>1115</v>
      </c>
      <c r="D59" s="8"/>
      <c r="E59" s="24">
        <v>1177</v>
      </c>
      <c r="F59" s="8"/>
      <c r="G59" s="24">
        <v>1177</v>
      </c>
      <c r="H59" s="8"/>
      <c r="I59" s="24">
        <v>1177</v>
      </c>
      <c r="J59" s="8"/>
      <c r="K59" s="24">
        <v>1177</v>
      </c>
      <c r="L59" s="8"/>
      <c r="M59" s="24">
        <v>1234</v>
      </c>
      <c r="N59" s="8"/>
      <c r="O59" s="24">
        <v>1234</v>
      </c>
      <c r="P59" s="8"/>
      <c r="Q59" s="24">
        <v>1234</v>
      </c>
      <c r="R59" s="8"/>
      <c r="S59" s="24">
        <v>1234</v>
      </c>
      <c r="T59" s="8"/>
      <c r="U59" s="24">
        <v>1297</v>
      </c>
      <c r="V59" s="8"/>
      <c r="W59" s="24">
        <v>1297</v>
      </c>
      <c r="X59" s="8"/>
      <c r="Y59" s="24">
        <v>1297</v>
      </c>
      <c r="Z59" s="8"/>
      <c r="AA59" s="24">
        <v>1297</v>
      </c>
      <c r="AB59" s="8"/>
      <c r="AC59" s="8"/>
      <c r="AE59" s="8"/>
      <c r="AG59" s="8"/>
    </row>
    <row r="60" ht="12" customHeight="1">
      <c r="A60" s="11" t="s">
        <v>181</v>
      </c>
      <c r="B60" s="8" t="s">
        <v>384</v>
      </c>
      <c r="C60" s="24">
        <v>1373</v>
      </c>
      <c r="D60" s="8"/>
      <c r="E60" s="24">
        <v>1404</v>
      </c>
      <c r="F60" s="8"/>
      <c r="G60" s="24">
        <v>1451</v>
      </c>
      <c r="H60" s="8"/>
      <c r="I60" s="24">
        <v>1496</v>
      </c>
      <c r="J60" s="8"/>
      <c r="K60" s="24">
        <v>1540</v>
      </c>
      <c r="L60" s="8"/>
      <c r="M60" s="24">
        <v>1595</v>
      </c>
      <c r="N60" s="8"/>
      <c r="O60" s="24">
        <v>1644</v>
      </c>
      <c r="P60" s="8"/>
      <c r="Q60" s="24">
        <v>1679</v>
      </c>
      <c r="R60" s="8"/>
      <c r="S60" s="24">
        <v>1711</v>
      </c>
      <c r="T60" s="8"/>
      <c r="U60" s="24">
        <v>1734</v>
      </c>
      <c r="V60" s="8"/>
      <c r="W60" s="24">
        <v>1758</v>
      </c>
      <c r="X60" s="8"/>
      <c r="Y60" s="24">
        <v>1771</v>
      </c>
      <c r="Z60" s="8"/>
      <c r="AA60" s="24">
        <v>1779</v>
      </c>
      <c r="AB60" s="8"/>
      <c r="AC60" s="8"/>
      <c r="AE60" s="8"/>
      <c r="AG60" s="8"/>
    </row>
    <row r="61" ht="12" customHeight="1">
      <c r="A61" s="8" t="s">
        <v>183</v>
      </c>
      <c r="B61" s="8" t="s">
        <v>385</v>
      </c>
      <c r="C61" s="24">
        <v>1165</v>
      </c>
      <c r="D61" s="8"/>
      <c r="E61" s="24">
        <v>1187</v>
      </c>
      <c r="F61" s="8"/>
      <c r="G61" s="24">
        <v>1207</v>
      </c>
      <c r="H61" s="8"/>
      <c r="I61" s="24">
        <v>1202</v>
      </c>
      <c r="J61" s="8"/>
      <c r="K61" s="24">
        <v>1194</v>
      </c>
      <c r="L61" s="8"/>
      <c r="M61" s="24">
        <v>1197</v>
      </c>
      <c r="N61" s="8"/>
      <c r="O61" s="24">
        <v>1201</v>
      </c>
      <c r="P61" s="8"/>
      <c r="Q61" s="24">
        <v>1201</v>
      </c>
      <c r="R61" s="8"/>
      <c r="S61" s="24">
        <v>1203</v>
      </c>
      <c r="T61" s="8"/>
      <c r="U61" s="24">
        <v>1209</v>
      </c>
      <c r="V61" s="8"/>
      <c r="W61" s="24">
        <v>1223</v>
      </c>
      <c r="X61" s="8"/>
      <c r="Y61" s="24">
        <v>1226</v>
      </c>
      <c r="Z61" s="8"/>
      <c r="AA61" s="24">
        <v>1225</v>
      </c>
      <c r="AB61" s="8"/>
      <c r="AC61" s="8"/>
      <c r="AE61" s="8"/>
      <c r="AG61" s="8"/>
    </row>
    <row r="62" ht="12" customHeight="1">
      <c r="A62" s="8" t="s">
        <v>185</v>
      </c>
      <c r="B62" s="8" t="s">
        <v>386</v>
      </c>
      <c r="C62" s="24">
        <v>1302</v>
      </c>
      <c r="D62" s="8"/>
      <c r="E62" s="24">
        <v>1310</v>
      </c>
      <c r="F62" s="8"/>
      <c r="G62" s="24">
        <v>1300</v>
      </c>
      <c r="H62" s="8"/>
      <c r="I62" s="24">
        <v>1313</v>
      </c>
      <c r="J62" s="8"/>
      <c r="K62" s="24">
        <v>1331</v>
      </c>
      <c r="L62" s="8"/>
      <c r="M62" s="24">
        <v>1360</v>
      </c>
      <c r="N62" s="8"/>
      <c r="O62" s="24">
        <v>1392</v>
      </c>
      <c r="P62" s="8"/>
      <c r="Q62" s="24">
        <v>1417</v>
      </c>
      <c r="R62" s="8"/>
      <c r="S62" s="24">
        <v>1437</v>
      </c>
      <c r="T62" s="8"/>
      <c r="U62" s="24">
        <v>1437</v>
      </c>
      <c r="V62" s="8"/>
      <c r="W62" s="24">
        <v>1474</v>
      </c>
      <c r="X62" s="8"/>
      <c r="Y62" s="24">
        <v>1491</v>
      </c>
      <c r="Z62" s="8"/>
      <c r="AA62" s="24">
        <v>1537</v>
      </c>
      <c r="AB62" s="8"/>
      <c r="AC62" s="8"/>
      <c r="AE62" s="8"/>
      <c r="AG62" s="8"/>
    </row>
    <row r="63" ht="12" customHeight="1">
      <c r="A63" s="8" t="s">
        <v>187</v>
      </c>
      <c r="B63" s="8" t="s">
        <v>387</v>
      </c>
      <c r="C63" s="24">
        <v>1423</v>
      </c>
      <c r="D63" s="8"/>
      <c r="E63" s="24">
        <v>1462</v>
      </c>
      <c r="F63" s="8"/>
      <c r="G63" s="24">
        <v>1527</v>
      </c>
      <c r="H63" s="8"/>
      <c r="I63" s="24">
        <v>1598</v>
      </c>
      <c r="J63" s="8"/>
      <c r="K63" s="24">
        <v>1671</v>
      </c>
      <c r="L63" s="8"/>
      <c r="M63" s="24">
        <v>1755</v>
      </c>
      <c r="N63" s="8"/>
      <c r="O63" s="24">
        <v>1830</v>
      </c>
      <c r="P63" s="8"/>
      <c r="Q63" s="24">
        <v>1886</v>
      </c>
      <c r="R63" s="8"/>
      <c r="S63" s="24">
        <v>1935</v>
      </c>
      <c r="T63" s="8"/>
      <c r="U63" s="24">
        <v>1967</v>
      </c>
      <c r="V63" s="8"/>
      <c r="W63" s="24">
        <v>1995</v>
      </c>
      <c r="X63" s="8"/>
      <c r="Y63" s="24">
        <v>2013</v>
      </c>
      <c r="Z63" s="8"/>
      <c r="AA63" s="24">
        <v>2024</v>
      </c>
      <c r="AB63" s="8"/>
      <c r="AC63" s="8"/>
      <c r="AE63" s="8"/>
      <c r="AG63" s="8"/>
    </row>
    <row r="64" ht="12" customHeight="1">
      <c r="A64" s="8" t="s">
        <v>189</v>
      </c>
      <c r="B64" s="8" t="s">
        <v>388</v>
      </c>
      <c r="C64" s="24">
        <v>732</v>
      </c>
      <c r="D64" s="8"/>
      <c r="E64" s="24">
        <v>724</v>
      </c>
      <c r="F64" s="8"/>
      <c r="G64" s="24">
        <v>724</v>
      </c>
      <c r="H64" s="8"/>
      <c r="I64" s="24">
        <v>724</v>
      </c>
      <c r="J64" s="8"/>
      <c r="K64" s="24">
        <v>724</v>
      </c>
      <c r="L64" s="8"/>
      <c r="M64" s="24">
        <v>724</v>
      </c>
      <c r="N64" s="8"/>
      <c r="O64" s="24">
        <v>724</v>
      </c>
      <c r="P64" s="8"/>
      <c r="Q64" s="24">
        <v>698</v>
      </c>
      <c r="R64" s="8"/>
      <c r="S64" s="24">
        <v>690</v>
      </c>
      <c r="T64" s="8"/>
      <c r="U64" s="24">
        <v>690</v>
      </c>
      <c r="V64" s="8"/>
      <c r="W64" s="24">
        <v>685</v>
      </c>
      <c r="X64" s="8"/>
      <c r="Y64" s="24">
        <v>685</v>
      </c>
      <c r="Z64" s="8"/>
      <c r="AA64" s="24">
        <v>685</v>
      </c>
      <c r="AB64" s="8"/>
      <c r="AC64" s="8"/>
      <c r="AE64" s="8"/>
      <c r="AG64" s="8"/>
    </row>
    <row r="65" ht="12" customHeight="1">
      <c r="A65" s="8" t="s">
        <v>191</v>
      </c>
      <c r="B65" s="8" t="s">
        <v>389</v>
      </c>
      <c r="C65" s="24">
        <v>1464</v>
      </c>
      <c r="D65" s="8"/>
      <c r="E65" s="24">
        <v>1480</v>
      </c>
      <c r="F65" s="8"/>
      <c r="G65" s="24">
        <v>1495</v>
      </c>
      <c r="H65" s="8"/>
      <c r="I65" s="24">
        <v>1528</v>
      </c>
      <c r="J65" s="8"/>
      <c r="K65" s="24">
        <v>1543</v>
      </c>
      <c r="L65" s="8"/>
      <c r="M65" s="24">
        <v>1559</v>
      </c>
      <c r="N65" s="8"/>
      <c r="O65" s="24">
        <v>1573</v>
      </c>
      <c r="P65" s="8"/>
      <c r="Q65" s="24">
        <v>1583</v>
      </c>
      <c r="R65" s="8"/>
      <c r="S65" s="24">
        <v>1590</v>
      </c>
      <c r="T65" s="8"/>
      <c r="U65" s="24">
        <v>1597</v>
      </c>
      <c r="V65" s="8"/>
      <c r="W65" s="24">
        <v>1620</v>
      </c>
      <c r="X65" s="8"/>
      <c r="Y65" s="24">
        <v>1616</v>
      </c>
      <c r="Z65" s="8"/>
      <c r="AA65" s="24">
        <v>1617</v>
      </c>
      <c r="AB65" s="8"/>
      <c r="AC65" s="8"/>
      <c r="AE65" s="8"/>
      <c r="AG65" s="8"/>
    </row>
    <row r="66" ht="12" customHeight="1">
      <c r="A66" s="11" t="s">
        <v>193</v>
      </c>
      <c r="B66" s="8" t="s">
        <v>390</v>
      </c>
      <c r="C66" s="24">
        <v>1429</v>
      </c>
      <c r="D66" s="8"/>
      <c r="E66" s="24">
        <v>1524</v>
      </c>
      <c r="F66" s="8"/>
      <c r="G66" s="24">
        <v>1576</v>
      </c>
      <c r="H66" s="8"/>
      <c r="I66" s="24">
        <v>1704</v>
      </c>
      <c r="J66" s="8"/>
      <c r="K66" s="24">
        <v>1863</v>
      </c>
      <c r="L66" s="8"/>
      <c r="M66" s="24">
        <v>1945</v>
      </c>
      <c r="N66" s="8"/>
      <c r="O66" s="24">
        <v>1985</v>
      </c>
      <c r="P66" s="8"/>
      <c r="Q66" s="24">
        <v>2005</v>
      </c>
      <c r="R66" s="8"/>
      <c r="S66" s="24">
        <v>1994</v>
      </c>
      <c r="T66" s="8"/>
      <c r="U66" s="24">
        <v>1957</v>
      </c>
      <c r="V66" s="8"/>
      <c r="W66" s="24">
        <v>1843</v>
      </c>
      <c r="X66" s="8"/>
      <c r="Y66" s="24">
        <v>1736</v>
      </c>
      <c r="Z66" s="8"/>
      <c r="AA66" s="24">
        <v>1671</v>
      </c>
      <c r="AB66" s="8"/>
      <c r="AC66" s="8"/>
      <c r="AE66" s="8"/>
      <c r="AG66" s="8"/>
    </row>
    <row r="67" ht="12" customHeight="1">
      <c r="A67" s="8" t="s">
        <v>195</v>
      </c>
      <c r="B67" s="8" t="s">
        <v>391</v>
      </c>
      <c r="C67" s="24">
        <v>1429</v>
      </c>
      <c r="D67" s="8"/>
      <c r="E67" s="24">
        <v>1524</v>
      </c>
      <c r="F67" s="8"/>
      <c r="G67" s="24">
        <v>1576</v>
      </c>
      <c r="H67" s="8"/>
      <c r="I67" s="24">
        <v>1704</v>
      </c>
      <c r="J67" s="8"/>
      <c r="K67" s="24">
        <v>1863</v>
      </c>
      <c r="L67" s="8"/>
      <c r="M67" s="24">
        <v>1945</v>
      </c>
      <c r="N67" s="8"/>
      <c r="O67" s="24">
        <v>1985</v>
      </c>
      <c r="P67" s="8"/>
      <c r="Q67" s="24">
        <v>2005</v>
      </c>
      <c r="R67" s="8"/>
      <c r="S67" s="24">
        <v>1994</v>
      </c>
      <c r="T67" s="8"/>
      <c r="U67" s="24">
        <v>1957</v>
      </c>
      <c r="V67" s="8"/>
      <c r="W67" s="24">
        <v>1843</v>
      </c>
      <c r="X67" s="8"/>
      <c r="Y67" s="24">
        <v>1736</v>
      </c>
      <c r="Z67" s="8"/>
      <c r="AA67" s="24">
        <v>1671</v>
      </c>
      <c r="AB67" s="8"/>
      <c r="AC67" s="8"/>
      <c r="AE67" s="8"/>
      <c r="AG67" s="8"/>
    </row>
    <row r="68" ht="12" customHeight="1">
      <c r="A68" s="13" t="s">
        <v>69</v>
      </c>
      <c r="B68" s="10" t="s">
        <v>46</v>
      </c>
      <c r="C68" s="25">
        <v>1233</v>
      </c>
      <c r="D68" s="10"/>
      <c r="E68" s="25">
        <v>1252</v>
      </c>
      <c r="F68" s="10"/>
      <c r="G68" s="25">
        <v>1268</v>
      </c>
      <c r="H68" s="10"/>
      <c r="I68" s="25">
        <v>1298</v>
      </c>
      <c r="J68" s="10"/>
      <c r="K68" s="25">
        <v>1308</v>
      </c>
      <c r="L68" s="10"/>
      <c r="M68" s="25">
        <v>1317</v>
      </c>
      <c r="N68" s="10"/>
      <c r="O68" s="25">
        <v>1326</v>
      </c>
      <c r="P68" s="10"/>
      <c r="Q68" s="25">
        <v>1348</v>
      </c>
      <c r="R68" s="10"/>
      <c r="S68" s="25">
        <v>1355</v>
      </c>
      <c r="T68" s="10"/>
      <c r="U68" s="25">
        <v>1369</v>
      </c>
      <c r="V68" s="10"/>
      <c r="W68" s="25">
        <v>1380</v>
      </c>
      <c r="X68" s="10"/>
      <c r="Y68" s="25">
        <v>1401</v>
      </c>
      <c r="Z68" s="10"/>
      <c r="AA68" s="25">
        <v>1407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149999999999999" customHeight="1">
      <c r="A1" s="4" t="s">
        <v>392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331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332</v>
      </c>
      <c r="C8" s="22">
        <v>1.6000000000000001</v>
      </c>
      <c r="D8" s="22"/>
      <c r="E8" s="22">
        <v>4.2999999999999998</v>
      </c>
      <c r="F8" s="22"/>
      <c r="G8" s="22">
        <v>1.8999999999999999</v>
      </c>
      <c r="H8" s="22"/>
      <c r="I8" s="22">
        <v>0.59999999999999998</v>
      </c>
      <c r="J8" s="22"/>
      <c r="K8" s="22">
        <v>-1.3999999999999999</v>
      </c>
      <c r="L8" s="22"/>
      <c r="M8" s="22">
        <v>0.20000000000000001</v>
      </c>
      <c r="N8" s="22"/>
      <c r="O8" s="22">
        <v>-0.40000000000000002</v>
      </c>
      <c r="P8" s="22"/>
      <c r="Q8" s="22">
        <v>1.7</v>
      </c>
      <c r="R8" s="22"/>
      <c r="S8" s="22">
        <v>-0.5</v>
      </c>
      <c r="T8" s="22"/>
      <c r="U8" s="22">
        <v>2.1000000000000001</v>
      </c>
      <c r="V8" s="22"/>
      <c r="W8" s="22">
        <v>1.7</v>
      </c>
      <c r="X8" s="22"/>
      <c r="Y8" s="22">
        <v>1.8999999999999999</v>
      </c>
      <c r="Z8" s="22"/>
      <c r="AA8" s="22">
        <v>-0.90000000000000002</v>
      </c>
      <c r="AB8" s="22"/>
      <c r="AC8" s="22"/>
    </row>
    <row r="9" ht="12" customHeight="1">
      <c r="A9" s="8" t="s">
        <v>79</v>
      </c>
      <c r="B9" s="8" t="s">
        <v>333</v>
      </c>
      <c r="C9" s="26">
        <v>-4.2000000000000002</v>
      </c>
      <c r="D9" s="8"/>
      <c r="E9" s="26">
        <v>9.5999999999999996</v>
      </c>
      <c r="F9" s="8"/>
      <c r="G9" s="26">
        <v>-1</v>
      </c>
      <c r="H9" s="8"/>
      <c r="I9" s="26">
        <v>1.1000000000000001</v>
      </c>
      <c r="J9" s="8"/>
      <c r="K9" s="26">
        <v>-5.5</v>
      </c>
      <c r="L9" s="8"/>
      <c r="M9" s="26">
        <v>-3.2000000000000002</v>
      </c>
      <c r="N9" s="8"/>
      <c r="O9" s="26">
        <v>-7.5999999999999996</v>
      </c>
      <c r="P9" s="8"/>
      <c r="Q9" s="26">
        <v>5.5</v>
      </c>
      <c r="R9" s="8"/>
      <c r="S9" s="26">
        <v>-4.2999999999999998</v>
      </c>
      <c r="T9" s="8"/>
      <c r="U9" s="26">
        <v>1.8</v>
      </c>
      <c r="V9" s="8"/>
      <c r="W9" s="26">
        <v>2.2999999999999998</v>
      </c>
      <c r="X9" s="8"/>
      <c r="Y9" s="26">
        <v>7.9000000000000004</v>
      </c>
      <c r="Z9" s="8"/>
      <c r="AA9" s="26">
        <v>-7.2999999999999998</v>
      </c>
      <c r="AB9" s="8"/>
      <c r="AC9" s="8"/>
    </row>
    <row r="10" ht="12" customHeight="1">
      <c r="A10" s="8" t="s">
        <v>81</v>
      </c>
      <c r="B10" s="8" t="s">
        <v>334</v>
      </c>
      <c r="C10" s="26">
        <v>4.2000000000000002</v>
      </c>
      <c r="D10" s="8"/>
      <c r="E10" s="26">
        <v>1.3999999999999999</v>
      </c>
      <c r="F10" s="8"/>
      <c r="G10" s="26">
        <v>1.3999999999999999</v>
      </c>
      <c r="H10" s="8"/>
      <c r="I10" s="26">
        <v>0.59999999999999998</v>
      </c>
      <c r="J10" s="8"/>
      <c r="K10" s="26">
        <v>-1.2</v>
      </c>
      <c r="L10" s="8"/>
      <c r="M10" s="26">
        <v>-0.29999999999999999</v>
      </c>
      <c r="N10" s="8"/>
      <c r="O10" s="26">
        <v>0.5</v>
      </c>
      <c r="P10" s="8"/>
      <c r="Q10" s="26">
        <v>1.6000000000000001</v>
      </c>
      <c r="R10" s="8"/>
      <c r="S10" s="26">
        <v>0.59999999999999998</v>
      </c>
      <c r="T10" s="8"/>
      <c r="U10" s="26">
        <v>1.3999999999999999</v>
      </c>
      <c r="V10" s="8"/>
      <c r="W10" s="26">
        <v>1.3</v>
      </c>
      <c r="X10" s="8"/>
      <c r="Y10" s="26">
        <v>3.6000000000000001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335</v>
      </c>
      <c r="C11" s="26">
        <v>3</v>
      </c>
      <c r="D11" s="8"/>
      <c r="E11" s="26">
        <v>4.5</v>
      </c>
      <c r="F11" s="8"/>
      <c r="G11" s="26">
        <v>2.6000000000000001</v>
      </c>
      <c r="H11" s="8"/>
      <c r="I11" s="26">
        <v>0</v>
      </c>
      <c r="J11" s="8"/>
      <c r="K11" s="26">
        <v>-1</v>
      </c>
      <c r="L11" s="8"/>
      <c r="M11" s="26">
        <v>1.1000000000000001</v>
      </c>
      <c r="N11" s="8"/>
      <c r="O11" s="26">
        <v>1.2</v>
      </c>
      <c r="P11" s="8"/>
      <c r="Q11" s="26">
        <v>1.1000000000000001</v>
      </c>
      <c r="R11" s="8"/>
      <c r="S11" s="26">
        <v>-0.10000000000000001</v>
      </c>
      <c r="T11" s="8"/>
      <c r="U11" s="26">
        <v>3</v>
      </c>
      <c r="V11" s="8"/>
      <c r="W11" s="26">
        <v>1.6000000000000001</v>
      </c>
      <c r="X11" s="8"/>
      <c r="Y11" s="26">
        <v>0.40000000000000002</v>
      </c>
      <c r="Z11" s="8"/>
      <c r="AA11" s="26">
        <v>-0.40000000000000002</v>
      </c>
      <c r="AB11" s="8"/>
      <c r="AC11" s="8"/>
    </row>
    <row r="12" ht="12" customHeight="1">
      <c r="A12" s="8" t="s">
        <v>85</v>
      </c>
      <c r="B12" s="8" t="s">
        <v>336</v>
      </c>
      <c r="C12" s="26">
        <v>3.1000000000000001</v>
      </c>
      <c r="D12" s="8"/>
      <c r="E12" s="26">
        <v>2.3999999999999999</v>
      </c>
      <c r="F12" s="8"/>
      <c r="G12" s="26">
        <v>3.1000000000000001</v>
      </c>
      <c r="H12" s="8"/>
      <c r="I12" s="26">
        <v>0.40000000000000002</v>
      </c>
      <c r="J12" s="8"/>
      <c r="K12" s="26">
        <v>0.20000000000000001</v>
      </c>
      <c r="L12" s="8"/>
      <c r="M12" s="26">
        <v>1</v>
      </c>
      <c r="N12" s="8"/>
      <c r="O12" s="26">
        <v>2.1000000000000001</v>
      </c>
      <c r="P12" s="8"/>
      <c r="Q12" s="26">
        <v>0.59999999999999998</v>
      </c>
      <c r="R12" s="8"/>
      <c r="S12" s="26">
        <v>0</v>
      </c>
      <c r="T12" s="8"/>
      <c r="U12" s="26">
        <v>2.7000000000000002</v>
      </c>
      <c r="V12" s="8"/>
      <c r="W12" s="26">
        <v>2.8999999999999999</v>
      </c>
      <c r="X12" s="8"/>
      <c r="Y12" s="26">
        <v>-0.80000000000000004</v>
      </c>
      <c r="Z12" s="8"/>
      <c r="AA12" s="26">
        <v>0.69999999999999996</v>
      </c>
      <c r="AB12" s="8"/>
      <c r="AC12" s="8"/>
    </row>
    <row r="13" ht="12" customHeight="1">
      <c r="A13" s="8" t="s">
        <v>87</v>
      </c>
      <c r="B13" s="8" t="s">
        <v>337</v>
      </c>
      <c r="C13" s="26">
        <v>2</v>
      </c>
      <c r="D13" s="8"/>
      <c r="E13" s="26">
        <v>2</v>
      </c>
      <c r="F13" s="8"/>
      <c r="G13" s="26">
        <v>3.2000000000000002</v>
      </c>
      <c r="H13" s="8"/>
      <c r="I13" s="26">
        <v>1.8</v>
      </c>
      <c r="J13" s="8"/>
      <c r="K13" s="26">
        <v>1</v>
      </c>
      <c r="L13" s="8"/>
      <c r="M13" s="26">
        <v>1</v>
      </c>
      <c r="N13" s="8"/>
      <c r="O13" s="26">
        <v>1.1000000000000001</v>
      </c>
      <c r="P13" s="8"/>
      <c r="Q13" s="26">
        <v>0.5</v>
      </c>
      <c r="R13" s="8"/>
      <c r="S13" s="26">
        <v>0.5</v>
      </c>
      <c r="T13" s="8"/>
      <c r="U13" s="26">
        <v>0.20000000000000001</v>
      </c>
      <c r="V13" s="8"/>
      <c r="W13" s="26">
        <v>0.90000000000000002</v>
      </c>
      <c r="X13" s="8"/>
      <c r="Y13" s="26">
        <v>0.80000000000000004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338</v>
      </c>
      <c r="C14" s="26">
        <v>0.69999999999999996</v>
      </c>
      <c r="D14" s="8"/>
      <c r="E14" s="26">
        <v>3.5</v>
      </c>
      <c r="F14" s="8"/>
      <c r="G14" s="26">
        <v>1.2</v>
      </c>
      <c r="H14" s="8"/>
      <c r="I14" s="26">
        <v>1.2</v>
      </c>
      <c r="J14" s="8"/>
      <c r="K14" s="26">
        <v>0.69999999999999996</v>
      </c>
      <c r="L14" s="8"/>
      <c r="M14" s="26">
        <v>2.8999999999999999</v>
      </c>
      <c r="N14" s="8"/>
      <c r="O14" s="26">
        <v>0.80000000000000004</v>
      </c>
      <c r="P14" s="8"/>
      <c r="Q14" s="26">
        <v>0.59999999999999998</v>
      </c>
      <c r="R14" s="8"/>
      <c r="S14" s="26">
        <v>-0.20000000000000001</v>
      </c>
      <c r="T14" s="8"/>
      <c r="U14" s="26">
        <v>1.8999999999999999</v>
      </c>
      <c r="V14" s="8"/>
      <c r="W14" s="26">
        <v>-0.29999999999999999</v>
      </c>
      <c r="X14" s="8"/>
      <c r="Y14" s="26">
        <v>0.29999999999999999</v>
      </c>
      <c r="Z14" s="8"/>
      <c r="AA14" s="26">
        <v>-0.20000000000000001</v>
      </c>
      <c r="AB14" s="8"/>
      <c r="AC14" s="8"/>
    </row>
    <row r="15" ht="12" customHeight="1">
      <c r="A15" s="8" t="s">
        <v>91</v>
      </c>
      <c r="B15" s="8" t="s">
        <v>339</v>
      </c>
      <c r="C15" s="26">
        <v>0.80000000000000004</v>
      </c>
      <c r="D15" s="8"/>
      <c r="E15" s="26">
        <v>1.7</v>
      </c>
      <c r="F15" s="8"/>
      <c r="G15" s="26">
        <v>1.7</v>
      </c>
      <c r="H15" s="8"/>
      <c r="I15" s="26">
        <v>1.3999999999999999</v>
      </c>
      <c r="J15" s="8"/>
      <c r="K15" s="26">
        <v>-0.20000000000000001</v>
      </c>
      <c r="L15" s="8"/>
      <c r="M15" s="26">
        <v>1.2</v>
      </c>
      <c r="N15" s="8"/>
      <c r="O15" s="26">
        <v>1.1000000000000001</v>
      </c>
      <c r="P15" s="8"/>
      <c r="Q15" s="26">
        <v>0.69999999999999996</v>
      </c>
      <c r="R15" s="8"/>
      <c r="S15" s="26">
        <v>-0.59999999999999998</v>
      </c>
      <c r="T15" s="8"/>
      <c r="U15" s="26">
        <v>0.90000000000000002</v>
      </c>
      <c r="V15" s="8"/>
      <c r="W15" s="26">
        <v>-0.5</v>
      </c>
      <c r="X15" s="8"/>
      <c r="Y15" s="26">
        <v>0.5</v>
      </c>
      <c r="Z15" s="8"/>
      <c r="AA15" s="26">
        <v>-1.1000000000000001</v>
      </c>
      <c r="AB15" s="8"/>
      <c r="AC15" s="8"/>
    </row>
    <row r="16" ht="12" customHeight="1">
      <c r="A16" s="8" t="s">
        <v>93</v>
      </c>
      <c r="B16" s="8" t="s">
        <v>340</v>
      </c>
      <c r="C16" s="26">
        <v>0.59999999999999998</v>
      </c>
      <c r="D16" s="8"/>
      <c r="E16" s="26">
        <v>7.5999999999999996</v>
      </c>
      <c r="F16" s="8"/>
      <c r="G16" s="26">
        <v>0</v>
      </c>
      <c r="H16" s="8"/>
      <c r="I16" s="26">
        <v>0.59999999999999998</v>
      </c>
      <c r="J16" s="8"/>
      <c r="K16" s="26">
        <v>2.7999999999999998</v>
      </c>
      <c r="L16" s="8"/>
      <c r="M16" s="26">
        <v>6.5999999999999996</v>
      </c>
      <c r="N16" s="8"/>
      <c r="O16" s="26">
        <v>0</v>
      </c>
      <c r="P16" s="8"/>
      <c r="Q16" s="26">
        <v>0.40000000000000002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1.5</v>
      </c>
      <c r="AB16" s="8"/>
      <c r="AC16" s="8"/>
    </row>
    <row r="17" ht="12" customHeight="1">
      <c r="A17" s="11" t="s">
        <v>95</v>
      </c>
      <c r="B17" s="8" t="s">
        <v>341</v>
      </c>
      <c r="C17" s="26">
        <v>0.90000000000000002</v>
      </c>
      <c r="D17" s="8"/>
      <c r="E17" s="26">
        <v>-0.20000000000000001</v>
      </c>
      <c r="F17" s="8"/>
      <c r="G17" s="26">
        <v>3.1000000000000001</v>
      </c>
      <c r="H17" s="8"/>
      <c r="I17" s="26">
        <v>0.40000000000000002</v>
      </c>
      <c r="J17" s="8"/>
      <c r="K17" s="26">
        <v>1.3</v>
      </c>
      <c r="L17" s="8"/>
      <c r="M17" s="26">
        <v>-0.20000000000000001</v>
      </c>
      <c r="N17" s="8"/>
      <c r="O17" s="26">
        <v>0.80000000000000004</v>
      </c>
      <c r="P17" s="8"/>
      <c r="Q17" s="26">
        <v>-0.29999999999999999</v>
      </c>
      <c r="R17" s="8"/>
      <c r="S17" s="26">
        <v>-1</v>
      </c>
      <c r="T17" s="8"/>
      <c r="U17" s="26">
        <v>0.20000000000000001</v>
      </c>
      <c r="V17" s="8"/>
      <c r="W17" s="26">
        <v>0.20000000000000001</v>
      </c>
      <c r="X17" s="8"/>
      <c r="Y17" s="26">
        <v>0.5</v>
      </c>
      <c r="Z17" s="8"/>
      <c r="AA17" s="26">
        <v>0.80000000000000004</v>
      </c>
      <c r="AB17" s="8"/>
      <c r="AC17" s="8"/>
    </row>
    <row r="18" ht="12" customHeight="1">
      <c r="A18" s="8" t="s">
        <v>97</v>
      </c>
      <c r="B18" s="8" t="s">
        <v>342</v>
      </c>
      <c r="C18" s="26">
        <v>0.90000000000000002</v>
      </c>
      <c r="D18" s="8"/>
      <c r="E18" s="26">
        <v>-0.29999999999999999</v>
      </c>
      <c r="F18" s="8"/>
      <c r="G18" s="26">
        <v>3.2000000000000002</v>
      </c>
      <c r="H18" s="8"/>
      <c r="I18" s="26">
        <v>0.59999999999999998</v>
      </c>
      <c r="J18" s="8"/>
      <c r="K18" s="26">
        <v>1.5</v>
      </c>
      <c r="L18" s="8"/>
      <c r="M18" s="26">
        <v>-0.10000000000000001</v>
      </c>
      <c r="N18" s="8"/>
      <c r="O18" s="26">
        <v>0.59999999999999998</v>
      </c>
      <c r="P18" s="8"/>
      <c r="Q18" s="26">
        <v>-0.20000000000000001</v>
      </c>
      <c r="R18" s="8"/>
      <c r="S18" s="26">
        <v>-0.80000000000000004</v>
      </c>
      <c r="T18" s="8"/>
      <c r="U18" s="26">
        <v>-0.20000000000000001</v>
      </c>
      <c r="V18" s="8"/>
      <c r="W18" s="26">
        <v>0.69999999999999996</v>
      </c>
      <c r="X18" s="8"/>
      <c r="Y18" s="26">
        <v>0.29999999999999999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343</v>
      </c>
      <c r="C19" s="26">
        <v>0.59999999999999998</v>
      </c>
      <c r="D19" s="8"/>
      <c r="E19" s="26">
        <v>0.40000000000000002</v>
      </c>
      <c r="F19" s="8"/>
      <c r="G19" s="26">
        <v>2.3999999999999999</v>
      </c>
      <c r="H19" s="8"/>
      <c r="I19" s="26">
        <v>-1</v>
      </c>
      <c r="J19" s="8"/>
      <c r="K19" s="26">
        <v>0.40000000000000002</v>
      </c>
      <c r="L19" s="8"/>
      <c r="M19" s="26">
        <v>-0.5</v>
      </c>
      <c r="N19" s="8"/>
      <c r="O19" s="26">
        <v>2.2999999999999998</v>
      </c>
      <c r="P19" s="8"/>
      <c r="Q19" s="26">
        <v>-1.6000000000000001</v>
      </c>
      <c r="R19" s="8"/>
      <c r="S19" s="26">
        <v>-1.8999999999999999</v>
      </c>
      <c r="T19" s="8"/>
      <c r="U19" s="26">
        <v>1.8999999999999999</v>
      </c>
      <c r="V19" s="8"/>
      <c r="W19" s="26">
        <v>-2.6000000000000001</v>
      </c>
      <c r="X19" s="8"/>
      <c r="Y19" s="26">
        <v>1.7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344</v>
      </c>
      <c r="C20" s="26">
        <v>0.69999999999999996</v>
      </c>
      <c r="D20" s="8"/>
      <c r="E20" s="26">
        <v>1</v>
      </c>
      <c r="F20" s="8"/>
      <c r="G20" s="26">
        <v>1.3</v>
      </c>
      <c r="H20" s="8"/>
      <c r="I20" s="26">
        <v>3.3999999999999999</v>
      </c>
      <c r="J20" s="8"/>
      <c r="K20" s="26">
        <v>0.80000000000000004</v>
      </c>
      <c r="L20" s="8"/>
      <c r="M20" s="26">
        <v>0.59999999999999998</v>
      </c>
      <c r="N20" s="8"/>
      <c r="O20" s="26">
        <v>1.3</v>
      </c>
      <c r="P20" s="8"/>
      <c r="Q20" s="26">
        <v>4.9000000000000004</v>
      </c>
      <c r="R20" s="8"/>
      <c r="S20" s="26">
        <v>0.5</v>
      </c>
      <c r="T20" s="8"/>
      <c r="U20" s="26">
        <v>0.80000000000000004</v>
      </c>
      <c r="V20" s="8"/>
      <c r="W20" s="26">
        <v>1.3999999999999999</v>
      </c>
      <c r="X20" s="8"/>
      <c r="Y20" s="26">
        <v>3.8999999999999999</v>
      </c>
      <c r="Z20" s="8"/>
      <c r="AA20" s="26">
        <v>0.5</v>
      </c>
      <c r="AB20" s="8"/>
      <c r="AC20" s="8"/>
    </row>
    <row r="21" ht="12" customHeight="1">
      <c r="A21" s="8" t="s">
        <v>103</v>
      </c>
      <c r="B21" s="8" t="s">
        <v>345</v>
      </c>
      <c r="C21" s="26">
        <v>1.2</v>
      </c>
      <c r="D21" s="8"/>
      <c r="E21" s="26">
        <v>1.3999999999999999</v>
      </c>
      <c r="F21" s="8"/>
      <c r="G21" s="26">
        <v>1.3999999999999999</v>
      </c>
      <c r="H21" s="8"/>
      <c r="I21" s="26">
        <v>1.3</v>
      </c>
      <c r="J21" s="8"/>
      <c r="K21" s="26">
        <v>1.2</v>
      </c>
      <c r="L21" s="8"/>
      <c r="M21" s="26">
        <v>1.3</v>
      </c>
      <c r="N21" s="8"/>
      <c r="O21" s="26">
        <v>1.3</v>
      </c>
      <c r="P21" s="8"/>
      <c r="Q21" s="26">
        <v>1</v>
      </c>
      <c r="R21" s="8"/>
      <c r="S21" s="26">
        <v>0.80000000000000004</v>
      </c>
      <c r="T21" s="8"/>
      <c r="U21" s="26">
        <v>0.80000000000000004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346</v>
      </c>
      <c r="C22" s="26">
        <v>1.2</v>
      </c>
      <c r="D22" s="8"/>
      <c r="E22" s="26">
        <v>1.3999999999999999</v>
      </c>
      <c r="F22" s="8"/>
      <c r="G22" s="26">
        <v>1.3999999999999999</v>
      </c>
      <c r="H22" s="8"/>
      <c r="I22" s="26">
        <v>1.3</v>
      </c>
      <c r="J22" s="8"/>
      <c r="K22" s="26">
        <v>1.2</v>
      </c>
      <c r="L22" s="8"/>
      <c r="M22" s="26">
        <v>1.3</v>
      </c>
      <c r="N22" s="8"/>
      <c r="O22" s="26">
        <v>1.3</v>
      </c>
      <c r="P22" s="8"/>
      <c r="Q22" s="26">
        <v>1</v>
      </c>
      <c r="R22" s="8"/>
      <c r="S22" s="26">
        <v>0.80000000000000004</v>
      </c>
      <c r="T22" s="8"/>
      <c r="U22" s="26">
        <v>0.80000000000000004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347</v>
      </c>
      <c r="C23" s="26">
        <v>1.2</v>
      </c>
      <c r="D23" s="8"/>
      <c r="E23" s="26">
        <v>-0.10000000000000001</v>
      </c>
      <c r="F23" s="8"/>
      <c r="G23" s="26">
        <v>2</v>
      </c>
      <c r="H23" s="8"/>
      <c r="I23" s="26">
        <v>0.69999999999999996</v>
      </c>
      <c r="J23" s="8"/>
      <c r="K23" s="26">
        <v>0</v>
      </c>
      <c r="L23" s="8"/>
      <c r="M23" s="26">
        <v>0.10000000000000001</v>
      </c>
      <c r="N23" s="8"/>
      <c r="O23" s="26">
        <v>1.6000000000000001</v>
      </c>
      <c r="P23" s="8"/>
      <c r="Q23" s="26">
        <v>1</v>
      </c>
      <c r="R23" s="8"/>
      <c r="S23" s="26">
        <v>-0.20000000000000001</v>
      </c>
      <c r="T23" s="8"/>
      <c r="U23" s="26">
        <v>0.59999999999999998</v>
      </c>
      <c r="V23" s="8"/>
      <c r="W23" s="26">
        <v>0.29999999999999999</v>
      </c>
      <c r="X23" s="8"/>
      <c r="Y23" s="26">
        <v>0.69999999999999996</v>
      </c>
      <c r="Z23" s="8"/>
      <c r="AA23" s="26">
        <v>0.80000000000000004</v>
      </c>
      <c r="AB23" s="8"/>
      <c r="AC23" s="8"/>
    </row>
    <row r="24" ht="12" customHeight="1">
      <c r="A24" s="8" t="s">
        <v>109</v>
      </c>
      <c r="B24" s="8" t="s">
        <v>348</v>
      </c>
      <c r="C24" s="26">
        <v>0</v>
      </c>
      <c r="D24" s="8"/>
      <c r="E24" s="26">
        <v>0</v>
      </c>
      <c r="F24" s="8"/>
      <c r="G24" s="26">
        <v>0.10000000000000001</v>
      </c>
      <c r="H24" s="8"/>
      <c r="I24" s="26">
        <v>9.5999999999999996</v>
      </c>
      <c r="J24" s="8"/>
      <c r="K24" s="26">
        <v>0</v>
      </c>
      <c r="L24" s="8"/>
      <c r="M24" s="26">
        <v>0</v>
      </c>
      <c r="N24" s="8"/>
      <c r="O24" s="26">
        <v>0.10000000000000001</v>
      </c>
      <c r="P24" s="8"/>
      <c r="Q24" s="26">
        <v>12.300000000000001</v>
      </c>
      <c r="R24" s="8"/>
      <c r="S24" s="26">
        <v>0.10000000000000001</v>
      </c>
      <c r="T24" s="8"/>
      <c r="U24" s="26">
        <v>0</v>
      </c>
      <c r="V24" s="8"/>
      <c r="W24" s="26">
        <v>0</v>
      </c>
      <c r="X24" s="8"/>
      <c r="Y24" s="26">
        <v>8.5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349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12.5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350</v>
      </c>
      <c r="C26" s="26">
        <v>1</v>
      </c>
      <c r="D26" s="8"/>
      <c r="E26" s="26">
        <v>2.2000000000000002</v>
      </c>
      <c r="F26" s="8"/>
      <c r="G26" s="26">
        <v>2.7999999999999998</v>
      </c>
      <c r="H26" s="8"/>
      <c r="I26" s="26">
        <v>-1.1000000000000001</v>
      </c>
      <c r="J26" s="8"/>
      <c r="K26" s="26">
        <v>1.8999999999999999</v>
      </c>
      <c r="L26" s="8"/>
      <c r="M26" s="26">
        <v>0.59999999999999998</v>
      </c>
      <c r="N26" s="8"/>
      <c r="O26" s="26">
        <v>2.7999999999999998</v>
      </c>
      <c r="P26" s="8"/>
      <c r="Q26" s="26">
        <v>0.80000000000000004</v>
      </c>
      <c r="R26" s="8"/>
      <c r="S26" s="26">
        <v>0.80000000000000004</v>
      </c>
      <c r="T26" s="8"/>
      <c r="U26" s="26">
        <v>2.2999999999999998</v>
      </c>
      <c r="V26" s="8"/>
      <c r="W26" s="26">
        <v>4.7999999999999998</v>
      </c>
      <c r="X26" s="8"/>
      <c r="Y26" s="26">
        <v>2.8999999999999999</v>
      </c>
      <c r="Z26" s="8"/>
      <c r="AA26" s="26">
        <v>1.5</v>
      </c>
      <c r="AB26" s="8"/>
      <c r="AC26" s="8"/>
    </row>
    <row r="27" ht="12" customHeight="1">
      <c r="A27" s="8" t="s">
        <v>115</v>
      </c>
      <c r="B27" s="8" t="s">
        <v>351</v>
      </c>
      <c r="C27" s="26">
        <v>0.80000000000000004</v>
      </c>
      <c r="D27" s="8"/>
      <c r="E27" s="26">
        <v>2.1000000000000001</v>
      </c>
      <c r="F27" s="8"/>
      <c r="G27" s="26">
        <v>2.7000000000000002</v>
      </c>
      <c r="H27" s="8"/>
      <c r="I27" s="26">
        <v>-1.7</v>
      </c>
      <c r="J27" s="8"/>
      <c r="K27" s="26">
        <v>1.8999999999999999</v>
      </c>
      <c r="L27" s="8"/>
      <c r="M27" s="26">
        <v>0.59999999999999998</v>
      </c>
      <c r="N27" s="8"/>
      <c r="O27" s="26">
        <v>3</v>
      </c>
      <c r="P27" s="8"/>
      <c r="Q27" s="26">
        <v>0.5</v>
      </c>
      <c r="R27" s="8"/>
      <c r="S27" s="26">
        <v>0.59999999999999998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352</v>
      </c>
      <c r="C28" s="26">
        <v>3.2999999999999998</v>
      </c>
      <c r="D28" s="8"/>
      <c r="E28" s="26">
        <v>-0.29999999999999999</v>
      </c>
      <c r="F28" s="8"/>
      <c r="G28" s="26">
        <v>2.3999999999999999</v>
      </c>
      <c r="H28" s="8"/>
      <c r="I28" s="26">
        <v>-1.3999999999999999</v>
      </c>
      <c r="J28" s="8"/>
      <c r="K28" s="26">
        <v>0.90000000000000002</v>
      </c>
      <c r="L28" s="8"/>
      <c r="M28" s="26">
        <v>-1</v>
      </c>
      <c r="N28" s="8"/>
      <c r="O28" s="26">
        <v>0.29999999999999999</v>
      </c>
      <c r="P28" s="8"/>
      <c r="Q28" s="26">
        <v>0</v>
      </c>
      <c r="R28" s="8"/>
      <c r="S28" s="26">
        <v>-0.20000000000000001</v>
      </c>
      <c r="T28" s="8"/>
      <c r="U28" s="26">
        <v>-0.5</v>
      </c>
      <c r="V28" s="8"/>
      <c r="W28" s="26">
        <v>0.29999999999999999</v>
      </c>
      <c r="X28" s="8"/>
      <c r="Y28" s="26">
        <v>-1</v>
      </c>
      <c r="Z28" s="8"/>
      <c r="AA28" s="26">
        <v>0.69999999999999996</v>
      </c>
      <c r="AB28" s="8"/>
      <c r="AC28" s="8"/>
    </row>
    <row r="29" ht="12" customHeight="1">
      <c r="A29" s="8" t="s">
        <v>119</v>
      </c>
      <c r="B29" s="8" t="s">
        <v>353</v>
      </c>
      <c r="C29" s="26">
        <v>6.7000000000000002</v>
      </c>
      <c r="D29" s="8"/>
      <c r="E29" s="26">
        <v>-2.2000000000000002</v>
      </c>
      <c r="F29" s="8"/>
      <c r="G29" s="26">
        <v>2</v>
      </c>
      <c r="H29" s="8"/>
      <c r="I29" s="26">
        <v>-3.2999999999999998</v>
      </c>
      <c r="J29" s="8"/>
      <c r="K29" s="26">
        <v>2.1000000000000001</v>
      </c>
      <c r="L29" s="8"/>
      <c r="M29" s="26">
        <v>-4.5999999999999996</v>
      </c>
      <c r="N29" s="8"/>
      <c r="O29" s="26">
        <v>0.40000000000000002</v>
      </c>
      <c r="P29" s="8"/>
      <c r="Q29" s="26">
        <v>0.59999999999999998</v>
      </c>
      <c r="R29" s="8"/>
      <c r="S29" s="26">
        <v>2.2999999999999998</v>
      </c>
      <c r="T29" s="8"/>
      <c r="U29" s="26">
        <v>-1</v>
      </c>
      <c r="V29" s="8"/>
      <c r="W29" s="26">
        <v>-1.6000000000000001</v>
      </c>
      <c r="X29" s="8"/>
      <c r="Y29" s="26">
        <v>-2.2000000000000002</v>
      </c>
      <c r="Z29" s="8"/>
      <c r="AA29" s="26">
        <v>4.4000000000000004</v>
      </c>
      <c r="AB29" s="8"/>
      <c r="AC29" s="8"/>
    </row>
    <row r="30" ht="12" customHeight="1">
      <c r="A30" s="8" t="s">
        <v>121</v>
      </c>
      <c r="B30" s="8" t="s">
        <v>354</v>
      </c>
      <c r="C30" s="26">
        <v>1.7</v>
      </c>
      <c r="D30" s="8"/>
      <c r="E30" s="26">
        <v>2.5</v>
      </c>
      <c r="F30" s="8"/>
      <c r="G30" s="26">
        <v>-0.40000000000000002</v>
      </c>
      <c r="H30" s="8"/>
      <c r="I30" s="26">
        <v>-2.2000000000000002</v>
      </c>
      <c r="J30" s="8"/>
      <c r="K30" s="26">
        <v>3.6000000000000001</v>
      </c>
      <c r="L30" s="8"/>
      <c r="M30" s="26">
        <v>-0.40000000000000002</v>
      </c>
      <c r="N30" s="8"/>
      <c r="O30" s="26">
        <v>6.2000000000000002</v>
      </c>
      <c r="P30" s="8"/>
      <c r="Q30" s="26">
        <v>-1.3</v>
      </c>
      <c r="R30" s="8"/>
      <c r="S30" s="26">
        <v>-6.5999999999999996</v>
      </c>
      <c r="T30" s="8"/>
      <c r="U30" s="26">
        <v>4.2999999999999998</v>
      </c>
      <c r="V30" s="8"/>
      <c r="W30" s="26">
        <v>3.7000000000000002</v>
      </c>
      <c r="X30" s="8"/>
      <c r="Y30" s="26">
        <v>-1.1000000000000001</v>
      </c>
      <c r="Z30" s="8"/>
      <c r="AA30" s="26">
        <v>-2</v>
      </c>
      <c r="AB30" s="8"/>
      <c r="AC30" s="8"/>
    </row>
    <row r="31" ht="12" customHeight="1">
      <c r="A31" s="8" t="s">
        <v>123</v>
      </c>
      <c r="B31" s="8" t="s">
        <v>355</v>
      </c>
      <c r="C31" s="26">
        <v>0.5</v>
      </c>
      <c r="D31" s="8"/>
      <c r="E31" s="26">
        <v>-1.1000000000000001</v>
      </c>
      <c r="F31" s="8"/>
      <c r="G31" s="26">
        <v>3.5</v>
      </c>
      <c r="H31" s="8"/>
      <c r="I31" s="26">
        <v>-1.2</v>
      </c>
      <c r="J31" s="8"/>
      <c r="K31" s="26">
        <v>-0.59999999999999998</v>
      </c>
      <c r="L31" s="8"/>
      <c r="M31" s="26">
        <v>-1.2</v>
      </c>
      <c r="N31" s="8"/>
      <c r="O31" s="26">
        <v>-0.10000000000000001</v>
      </c>
      <c r="P31" s="8"/>
      <c r="Q31" s="26">
        <v>-1</v>
      </c>
      <c r="R31" s="8"/>
      <c r="S31" s="26">
        <v>0.20000000000000001</v>
      </c>
      <c r="T31" s="8"/>
      <c r="U31" s="26">
        <v>-1.5</v>
      </c>
      <c r="V31" s="8"/>
      <c r="W31" s="26">
        <v>0.80000000000000004</v>
      </c>
      <c r="X31" s="8"/>
      <c r="Y31" s="26">
        <v>-0.59999999999999998</v>
      </c>
      <c r="Z31" s="8"/>
      <c r="AA31" s="26">
        <v>0</v>
      </c>
      <c r="AB31" s="8"/>
      <c r="AC31" s="8"/>
    </row>
    <row r="32" ht="12" customHeight="1">
      <c r="A32" s="8" t="s">
        <v>125</v>
      </c>
      <c r="B32" s="8" t="s">
        <v>356</v>
      </c>
      <c r="C32" s="26">
        <v>7.2000000000000002</v>
      </c>
      <c r="D32" s="8"/>
      <c r="E32" s="26">
        <v>-4.0999999999999996</v>
      </c>
      <c r="F32" s="8"/>
      <c r="G32" s="26">
        <v>2.6000000000000001</v>
      </c>
      <c r="H32" s="8"/>
      <c r="I32" s="26">
        <v>-1.3</v>
      </c>
      <c r="J32" s="8"/>
      <c r="K32" s="26">
        <v>6.4000000000000004</v>
      </c>
      <c r="L32" s="8"/>
      <c r="M32" s="26">
        <v>0.29999999999999999</v>
      </c>
      <c r="N32" s="8"/>
      <c r="O32" s="26">
        <v>-2</v>
      </c>
      <c r="P32" s="8"/>
      <c r="Q32" s="26">
        <v>-2.5</v>
      </c>
      <c r="R32" s="8"/>
      <c r="S32" s="26">
        <v>1.5</v>
      </c>
      <c r="T32" s="8"/>
      <c r="U32" s="26">
        <v>1.8</v>
      </c>
      <c r="V32" s="8"/>
      <c r="W32" s="26">
        <v>-1.3</v>
      </c>
      <c r="X32" s="8"/>
      <c r="Y32" s="26">
        <v>-1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357</v>
      </c>
      <c r="C33" s="26">
        <v>2.7000000000000002</v>
      </c>
      <c r="D33" s="8"/>
      <c r="E33" s="26">
        <v>0.80000000000000004</v>
      </c>
      <c r="F33" s="8"/>
      <c r="G33" s="26">
        <v>3.8999999999999999</v>
      </c>
      <c r="H33" s="8"/>
      <c r="I33" s="26">
        <v>-0.10000000000000001</v>
      </c>
      <c r="J33" s="8"/>
      <c r="K33" s="26">
        <v>-0.10000000000000001</v>
      </c>
      <c r="L33" s="8"/>
      <c r="M33" s="26">
        <v>1.1000000000000001</v>
      </c>
      <c r="N33" s="8"/>
      <c r="O33" s="26">
        <v>-4.0999999999999996</v>
      </c>
      <c r="P33" s="8"/>
      <c r="Q33" s="26">
        <v>-0.80000000000000004</v>
      </c>
      <c r="R33" s="8"/>
      <c r="S33" s="26">
        <v>-0.20000000000000001</v>
      </c>
      <c r="T33" s="8"/>
      <c r="U33" s="26">
        <v>-1</v>
      </c>
      <c r="V33" s="8"/>
      <c r="W33" s="26">
        <v>0.69999999999999996</v>
      </c>
      <c r="X33" s="8"/>
      <c r="Y33" s="26">
        <v>0.20000000000000001</v>
      </c>
      <c r="Z33" s="8"/>
      <c r="AA33" s="26">
        <v>-2.1000000000000001</v>
      </c>
      <c r="AB33" s="8"/>
      <c r="AC33" s="8"/>
    </row>
    <row r="34" ht="12" customHeight="1">
      <c r="A34" s="8" t="s">
        <v>129</v>
      </c>
      <c r="B34" s="8" t="s">
        <v>358</v>
      </c>
      <c r="C34" s="26">
        <v>2.7000000000000002</v>
      </c>
      <c r="D34" s="8"/>
      <c r="E34" s="26">
        <v>1.7</v>
      </c>
      <c r="F34" s="8"/>
      <c r="G34" s="26">
        <v>2.2999999999999998</v>
      </c>
      <c r="H34" s="8"/>
      <c r="I34" s="26">
        <v>-0.40000000000000002</v>
      </c>
      <c r="J34" s="8"/>
      <c r="K34" s="26">
        <v>-0.5</v>
      </c>
      <c r="L34" s="8"/>
      <c r="M34" s="26">
        <v>0.69999999999999996</v>
      </c>
      <c r="N34" s="8"/>
      <c r="O34" s="26">
        <v>0.69999999999999996</v>
      </c>
      <c r="P34" s="8"/>
      <c r="Q34" s="26">
        <v>1.7</v>
      </c>
      <c r="R34" s="8"/>
      <c r="S34" s="26">
        <v>-0.59999999999999998</v>
      </c>
      <c r="T34" s="8"/>
      <c r="U34" s="26">
        <v>-1</v>
      </c>
      <c r="V34" s="8"/>
      <c r="W34" s="26">
        <v>1.5</v>
      </c>
      <c r="X34" s="8"/>
      <c r="Y34" s="26">
        <v>-0.40000000000000002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359</v>
      </c>
      <c r="C35" s="26">
        <v>1.7</v>
      </c>
      <c r="D35" s="8"/>
      <c r="E35" s="26">
        <v>0.40000000000000002</v>
      </c>
      <c r="F35" s="8"/>
      <c r="G35" s="26">
        <v>1.3999999999999999</v>
      </c>
      <c r="H35" s="8"/>
      <c r="I35" s="26">
        <v>-2.5</v>
      </c>
      <c r="J35" s="8"/>
      <c r="K35" s="26">
        <v>2</v>
      </c>
      <c r="L35" s="8"/>
      <c r="M35" s="26">
        <v>1.8999999999999999</v>
      </c>
      <c r="N35" s="8"/>
      <c r="O35" s="26">
        <v>0.20000000000000001</v>
      </c>
      <c r="P35" s="8"/>
      <c r="Q35" s="26">
        <v>5.5</v>
      </c>
      <c r="R35" s="8"/>
      <c r="S35" s="26">
        <v>-0.20000000000000001</v>
      </c>
      <c r="T35" s="8"/>
      <c r="U35" s="26">
        <v>0.29999999999999999</v>
      </c>
      <c r="V35" s="8"/>
      <c r="W35" s="26">
        <v>0.20000000000000001</v>
      </c>
      <c r="X35" s="8"/>
      <c r="Y35" s="26">
        <v>0.59999999999999998</v>
      </c>
      <c r="Z35" s="8"/>
      <c r="AA35" s="26">
        <v>0.10000000000000001</v>
      </c>
      <c r="AB35" s="8"/>
      <c r="AC35" s="8"/>
    </row>
    <row r="36" ht="12" customHeight="1">
      <c r="A36" s="8" t="s">
        <v>133</v>
      </c>
      <c r="B36" s="8" t="s">
        <v>360</v>
      </c>
      <c r="C36" s="26">
        <v>1.8999999999999999</v>
      </c>
      <c r="D36" s="8"/>
      <c r="E36" s="26">
        <v>0</v>
      </c>
      <c r="F36" s="8"/>
      <c r="G36" s="26">
        <v>1.2</v>
      </c>
      <c r="H36" s="8"/>
      <c r="I36" s="26">
        <v>-13</v>
      </c>
      <c r="J36" s="8"/>
      <c r="K36" s="26">
        <v>0</v>
      </c>
      <c r="L36" s="8"/>
      <c r="M36" s="26">
        <v>-0.40000000000000002</v>
      </c>
      <c r="N36" s="8"/>
      <c r="O36" s="26">
        <v>0.80000000000000004</v>
      </c>
      <c r="P36" s="8"/>
      <c r="Q36" s="26">
        <v>17.300000000000001</v>
      </c>
      <c r="R36" s="8"/>
      <c r="S36" s="26">
        <v>-4.7000000000000002</v>
      </c>
      <c r="T36" s="8"/>
      <c r="U36" s="26">
        <v>0.20000000000000001</v>
      </c>
      <c r="V36" s="8"/>
      <c r="W36" s="26">
        <v>-0.59999999999999998</v>
      </c>
      <c r="X36" s="8"/>
      <c r="Y36" s="26">
        <v>-2.1000000000000001</v>
      </c>
      <c r="Z36" s="8"/>
      <c r="AA36" s="26">
        <v>-1.8999999999999999</v>
      </c>
      <c r="AB36" s="8"/>
      <c r="AC36" s="8"/>
    </row>
    <row r="37" ht="12" customHeight="1">
      <c r="A37" s="8" t="s">
        <v>135</v>
      </c>
      <c r="B37" s="8" t="s">
        <v>361</v>
      </c>
      <c r="C37" s="26">
        <v>1.8</v>
      </c>
      <c r="D37" s="8"/>
      <c r="E37" s="26">
        <v>0.5</v>
      </c>
      <c r="F37" s="8"/>
      <c r="G37" s="26">
        <v>1.3</v>
      </c>
      <c r="H37" s="8"/>
      <c r="I37" s="26">
        <v>1.2</v>
      </c>
      <c r="J37" s="8"/>
      <c r="K37" s="26">
        <v>2.2999999999999998</v>
      </c>
      <c r="L37" s="8"/>
      <c r="M37" s="26">
        <v>2.7000000000000002</v>
      </c>
      <c r="N37" s="8"/>
      <c r="O37" s="26">
        <v>0.10000000000000001</v>
      </c>
      <c r="P37" s="8"/>
      <c r="Q37" s="26">
        <v>1.2</v>
      </c>
      <c r="R37" s="8"/>
      <c r="S37" s="26">
        <v>1.3999999999999999</v>
      </c>
      <c r="T37" s="8"/>
      <c r="U37" s="26">
        <v>0.40000000000000002</v>
      </c>
      <c r="V37" s="8"/>
      <c r="W37" s="26">
        <v>0.40000000000000002</v>
      </c>
      <c r="X37" s="8"/>
      <c r="Y37" s="26">
        <v>1.8</v>
      </c>
      <c r="Z37" s="8"/>
      <c r="AA37" s="26">
        <v>0.90000000000000002</v>
      </c>
      <c r="AB37" s="8"/>
      <c r="AC37" s="8"/>
    </row>
    <row r="38" ht="12" customHeight="1">
      <c r="A38" s="8" t="s">
        <v>137</v>
      </c>
      <c r="B38" s="8" t="s">
        <v>362</v>
      </c>
      <c r="C38" s="26">
        <v>1.5</v>
      </c>
      <c r="D38" s="8"/>
      <c r="E38" s="26">
        <v>1.8</v>
      </c>
      <c r="F38" s="8"/>
      <c r="G38" s="26">
        <v>2.3999999999999999</v>
      </c>
      <c r="H38" s="8"/>
      <c r="I38" s="26">
        <v>3.8999999999999999</v>
      </c>
      <c r="J38" s="8"/>
      <c r="K38" s="26">
        <v>5.2000000000000002</v>
      </c>
      <c r="L38" s="8"/>
      <c r="M38" s="26">
        <v>1.7</v>
      </c>
      <c r="N38" s="8"/>
      <c r="O38" s="26">
        <v>0.80000000000000004</v>
      </c>
      <c r="P38" s="8"/>
      <c r="Q38" s="26">
        <v>7.0999999999999996</v>
      </c>
      <c r="R38" s="8"/>
      <c r="S38" s="26">
        <v>1.3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363</v>
      </c>
      <c r="C39" s="26">
        <v>0.29999999999999999</v>
      </c>
      <c r="D39" s="8"/>
      <c r="E39" s="26">
        <v>-1.7</v>
      </c>
      <c r="F39" s="8"/>
      <c r="G39" s="26">
        <v>-1.8999999999999999</v>
      </c>
      <c r="H39" s="8"/>
      <c r="I39" s="26">
        <v>7.9000000000000004</v>
      </c>
      <c r="J39" s="8"/>
      <c r="K39" s="26">
        <v>0</v>
      </c>
      <c r="L39" s="8"/>
      <c r="M39" s="26">
        <v>-2.6000000000000001</v>
      </c>
      <c r="N39" s="8"/>
      <c r="O39" s="26">
        <v>0.20000000000000001</v>
      </c>
      <c r="P39" s="8"/>
      <c r="Q39" s="26">
        <v>-2.2999999999999998</v>
      </c>
      <c r="R39" s="8"/>
      <c r="S39" s="26">
        <v>1</v>
      </c>
      <c r="T39" s="8"/>
      <c r="U39" s="26">
        <v>1.1000000000000001</v>
      </c>
      <c r="V39" s="8"/>
      <c r="W39" s="26">
        <v>-1</v>
      </c>
      <c r="X39" s="8"/>
      <c r="Y39" s="26">
        <v>0.40000000000000002</v>
      </c>
      <c r="Z39" s="8"/>
      <c r="AA39" s="26">
        <v>2.2000000000000002</v>
      </c>
      <c r="AB39" s="8"/>
      <c r="AC39" s="8"/>
    </row>
    <row r="40" ht="12" customHeight="1">
      <c r="A40" s="8" t="s">
        <v>141</v>
      </c>
      <c r="B40" s="8" t="s">
        <v>364</v>
      </c>
      <c r="C40" s="26">
        <v>0.29999999999999999</v>
      </c>
      <c r="D40" s="8"/>
      <c r="E40" s="26">
        <v>0.80000000000000004</v>
      </c>
      <c r="F40" s="8"/>
      <c r="G40" s="26">
        <v>1.3</v>
      </c>
      <c r="H40" s="8"/>
      <c r="I40" s="26">
        <v>3.2000000000000002</v>
      </c>
      <c r="J40" s="8"/>
      <c r="K40" s="26">
        <v>-1.6000000000000001</v>
      </c>
      <c r="L40" s="8"/>
      <c r="M40" s="26">
        <v>-2.2000000000000002</v>
      </c>
      <c r="N40" s="8"/>
      <c r="O40" s="26">
        <v>-1.5</v>
      </c>
      <c r="P40" s="8"/>
      <c r="Q40" s="26">
        <v>-1.6000000000000001</v>
      </c>
      <c r="R40" s="8"/>
      <c r="S40" s="26">
        <v>0.90000000000000002</v>
      </c>
      <c r="T40" s="8"/>
      <c r="U40" s="26">
        <v>0.40000000000000002</v>
      </c>
      <c r="V40" s="8"/>
      <c r="W40" s="26">
        <v>0.59999999999999998</v>
      </c>
      <c r="X40" s="8"/>
      <c r="Y40" s="26">
        <v>-0.10000000000000001</v>
      </c>
      <c r="Z40" s="8"/>
      <c r="AA40" s="26">
        <v>0.5</v>
      </c>
      <c r="AB40" s="8"/>
      <c r="AC40" s="8"/>
    </row>
    <row r="41" ht="12" customHeight="1">
      <c r="A41" s="8" t="s">
        <v>143</v>
      </c>
      <c r="B41" s="8" t="s">
        <v>365</v>
      </c>
      <c r="C41" s="26">
        <v>-4.0999999999999996</v>
      </c>
      <c r="D41" s="8"/>
      <c r="E41" s="26">
        <v>-1.8</v>
      </c>
      <c r="F41" s="8"/>
      <c r="G41" s="26">
        <v>-1.1000000000000001</v>
      </c>
      <c r="H41" s="8"/>
      <c r="I41" s="26">
        <v>11.6</v>
      </c>
      <c r="J41" s="8"/>
      <c r="K41" s="26">
        <v>0.5</v>
      </c>
      <c r="L41" s="8"/>
      <c r="M41" s="26">
        <v>-1.3</v>
      </c>
      <c r="N41" s="8"/>
      <c r="O41" s="26">
        <v>2</v>
      </c>
      <c r="P41" s="8"/>
      <c r="Q41" s="26">
        <v>-3.7000000000000002</v>
      </c>
      <c r="R41" s="8"/>
      <c r="S41" s="26">
        <v>-0.69999999999999996</v>
      </c>
      <c r="T41" s="8"/>
      <c r="U41" s="26">
        <v>3.1000000000000001</v>
      </c>
      <c r="V41" s="8"/>
      <c r="W41" s="26">
        <v>-1.7</v>
      </c>
      <c r="X41" s="8"/>
      <c r="Y41" s="26">
        <v>0.40000000000000002</v>
      </c>
      <c r="Z41" s="8"/>
      <c r="AA41" s="26">
        <v>1.7</v>
      </c>
      <c r="AB41" s="8"/>
      <c r="AC41" s="8"/>
    </row>
    <row r="42" ht="12" customHeight="1">
      <c r="A42" s="8" t="s">
        <v>145</v>
      </c>
      <c r="B42" s="8" t="s">
        <v>366</v>
      </c>
      <c r="C42" s="26">
        <v>-7.2000000000000002</v>
      </c>
      <c r="D42" s="8"/>
      <c r="E42" s="26">
        <v>-2.5</v>
      </c>
      <c r="F42" s="8"/>
      <c r="G42" s="26">
        <v>-1.6000000000000001</v>
      </c>
      <c r="H42" s="8"/>
      <c r="I42" s="26">
        <v>16.600000000000001</v>
      </c>
      <c r="J42" s="8"/>
      <c r="K42" s="26">
        <v>0.10000000000000001</v>
      </c>
      <c r="L42" s="8"/>
      <c r="M42" s="26">
        <v>-2.3999999999999999</v>
      </c>
      <c r="N42" s="8"/>
      <c r="O42" s="26">
        <v>0.69999999999999996</v>
      </c>
      <c r="P42" s="8"/>
      <c r="Q42" s="26">
        <v>-6</v>
      </c>
      <c r="R42" s="8"/>
      <c r="S42" s="26">
        <v>-1.3</v>
      </c>
      <c r="T42" s="8"/>
      <c r="U42" s="26">
        <v>4.5999999999999996</v>
      </c>
      <c r="V42" s="8"/>
      <c r="W42" s="26">
        <v>-4.7999999999999998</v>
      </c>
      <c r="X42" s="8"/>
      <c r="Y42" s="26">
        <v>0.20000000000000001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367</v>
      </c>
      <c r="C43" s="26">
        <v>17.100000000000001</v>
      </c>
      <c r="D43" s="8"/>
      <c r="E43" s="26">
        <v>-4.0999999999999996</v>
      </c>
      <c r="F43" s="8"/>
      <c r="G43" s="26">
        <v>-8.3000000000000007</v>
      </c>
      <c r="H43" s="8"/>
      <c r="I43" s="26">
        <v>2.2000000000000002</v>
      </c>
      <c r="J43" s="8"/>
      <c r="K43" s="26">
        <v>0.10000000000000001</v>
      </c>
      <c r="L43" s="8"/>
      <c r="M43" s="26">
        <v>-6.9000000000000004</v>
      </c>
      <c r="N43" s="8"/>
      <c r="O43" s="26">
        <v>-4.0999999999999996</v>
      </c>
      <c r="P43" s="8"/>
      <c r="Q43" s="26">
        <v>2.2000000000000002</v>
      </c>
      <c r="R43" s="8"/>
      <c r="S43" s="26">
        <v>6.7999999999999998</v>
      </c>
      <c r="T43" s="8"/>
      <c r="U43" s="26">
        <v>-4.2000000000000002</v>
      </c>
      <c r="V43" s="8"/>
      <c r="W43" s="26">
        <v>-1</v>
      </c>
      <c r="X43" s="8"/>
      <c r="Y43" s="26">
        <v>1.3999999999999999</v>
      </c>
      <c r="Z43" s="8"/>
      <c r="AA43" s="26">
        <v>5.7000000000000002</v>
      </c>
      <c r="AB43" s="8"/>
      <c r="AC43" s="8"/>
    </row>
    <row r="44" ht="12" customHeight="1">
      <c r="A44" s="11" t="s">
        <v>149</v>
      </c>
      <c r="B44" s="8" t="s">
        <v>368</v>
      </c>
      <c r="C44" s="26">
        <v>0.40000000000000002</v>
      </c>
      <c r="D44" s="8"/>
      <c r="E44" s="26">
        <v>0.29999999999999999</v>
      </c>
      <c r="F44" s="8"/>
      <c r="G44" s="26">
        <v>0.40000000000000002</v>
      </c>
      <c r="H44" s="8"/>
      <c r="I44" s="26">
        <v>1.7</v>
      </c>
      <c r="J44" s="8"/>
      <c r="K44" s="26">
        <v>1.8</v>
      </c>
      <c r="L44" s="8"/>
      <c r="M44" s="26">
        <v>0.90000000000000002</v>
      </c>
      <c r="N44" s="8"/>
      <c r="O44" s="26">
        <v>1.1000000000000001</v>
      </c>
      <c r="P44" s="8"/>
      <c r="Q44" s="26">
        <v>0.5</v>
      </c>
      <c r="R44" s="8"/>
      <c r="S44" s="26">
        <v>2.7000000000000002</v>
      </c>
      <c r="T44" s="8"/>
      <c r="U44" s="26">
        <v>1.1000000000000001</v>
      </c>
      <c r="V44" s="8"/>
      <c r="W44" s="26">
        <v>0.80000000000000004</v>
      </c>
      <c r="X44" s="8"/>
      <c r="Y44" s="26">
        <v>1</v>
      </c>
      <c r="Z44" s="8"/>
      <c r="AA44" s="26">
        <v>3.2000000000000002</v>
      </c>
      <c r="AB44" s="8"/>
      <c r="AC44" s="8"/>
    </row>
    <row r="45" ht="12" customHeight="1">
      <c r="A45" s="8" t="s">
        <v>151</v>
      </c>
      <c r="B45" s="8" t="s">
        <v>369</v>
      </c>
      <c r="C45" s="26">
        <v>0.80000000000000004</v>
      </c>
      <c r="D45" s="8"/>
      <c r="E45" s="26">
        <v>0.59999999999999998</v>
      </c>
      <c r="F45" s="8"/>
      <c r="G45" s="26">
        <v>-0.59999999999999998</v>
      </c>
      <c r="H45" s="8"/>
      <c r="I45" s="26">
        <v>7.4000000000000004</v>
      </c>
      <c r="J45" s="8"/>
      <c r="K45" s="26">
        <v>0.59999999999999998</v>
      </c>
      <c r="L45" s="8"/>
      <c r="M45" s="26">
        <v>-0.80000000000000004</v>
      </c>
      <c r="N45" s="8"/>
      <c r="O45" s="26">
        <v>-0.5</v>
      </c>
      <c r="P45" s="8"/>
      <c r="Q45" s="26">
        <v>2.7000000000000002</v>
      </c>
      <c r="R45" s="8"/>
      <c r="S45" s="26">
        <v>-0.10000000000000001</v>
      </c>
      <c r="T45" s="8"/>
      <c r="U45" s="26">
        <v>-0.40000000000000002</v>
      </c>
      <c r="V45" s="8"/>
      <c r="W45" s="26">
        <v>1</v>
      </c>
      <c r="X45" s="8"/>
      <c r="Y45" s="26">
        <v>7.4000000000000004</v>
      </c>
      <c r="Z45" s="8"/>
      <c r="AA45" s="26">
        <v>0.29999999999999999</v>
      </c>
      <c r="AB45" s="8"/>
      <c r="AC45" s="8"/>
    </row>
    <row r="46" ht="12" customHeight="1">
      <c r="A46" s="8" t="s">
        <v>153</v>
      </c>
      <c r="B46" s="8" t="s">
        <v>370</v>
      </c>
      <c r="C46" s="26">
        <v>-0.5</v>
      </c>
      <c r="D46" s="8"/>
      <c r="E46" s="26">
        <v>1.6000000000000001</v>
      </c>
      <c r="F46" s="8"/>
      <c r="G46" s="26">
        <v>-10</v>
      </c>
      <c r="H46" s="8"/>
      <c r="I46" s="26">
        <v>-6.0999999999999996</v>
      </c>
      <c r="J46" s="8"/>
      <c r="K46" s="26">
        <v>15.800000000000001</v>
      </c>
      <c r="L46" s="8"/>
      <c r="M46" s="26">
        <v>-2.8999999999999999</v>
      </c>
      <c r="N46" s="8"/>
      <c r="O46" s="26">
        <v>8.3000000000000007</v>
      </c>
      <c r="P46" s="8"/>
      <c r="Q46" s="26">
        <v>-15.300000000000001</v>
      </c>
      <c r="R46" s="8"/>
      <c r="S46" s="26">
        <v>0</v>
      </c>
      <c r="T46" s="8"/>
      <c r="U46" s="26">
        <v>-5.0999999999999996</v>
      </c>
      <c r="V46" s="8"/>
      <c r="W46" s="26">
        <v>-7.2999999999999998</v>
      </c>
      <c r="X46" s="8"/>
      <c r="Y46" s="26">
        <v>-3.3999999999999999</v>
      </c>
      <c r="Z46" s="8"/>
      <c r="AA46" s="26">
        <v>11.300000000000001</v>
      </c>
      <c r="AB46" s="8"/>
      <c r="AC46" s="8"/>
    </row>
    <row r="47" ht="12" customHeight="1">
      <c r="A47" s="8" t="s">
        <v>155</v>
      </c>
      <c r="B47" s="8" t="s">
        <v>371</v>
      </c>
      <c r="C47" s="26">
        <v>0.40000000000000002</v>
      </c>
      <c r="D47" s="8"/>
      <c r="E47" s="26">
        <v>0.29999999999999999</v>
      </c>
      <c r="F47" s="8"/>
      <c r="G47" s="26">
        <v>0.80000000000000004</v>
      </c>
      <c r="H47" s="8"/>
      <c r="I47" s="26">
        <v>1.8</v>
      </c>
      <c r="J47" s="8"/>
      <c r="K47" s="26">
        <v>1.5</v>
      </c>
      <c r="L47" s="8"/>
      <c r="M47" s="26">
        <v>1</v>
      </c>
      <c r="N47" s="8"/>
      <c r="O47" s="26">
        <v>1</v>
      </c>
      <c r="P47" s="8"/>
      <c r="Q47" s="26">
        <v>0.90000000000000002</v>
      </c>
      <c r="R47" s="8"/>
      <c r="S47" s="26">
        <v>2.8999999999999999</v>
      </c>
      <c r="T47" s="8"/>
      <c r="U47" s="26">
        <v>1.7</v>
      </c>
      <c r="V47" s="8"/>
      <c r="W47" s="26">
        <v>1.3</v>
      </c>
      <c r="X47" s="8"/>
      <c r="Y47" s="26">
        <v>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372</v>
      </c>
      <c r="C48" s="26">
        <v>2.8999999999999999</v>
      </c>
      <c r="D48" s="8"/>
      <c r="E48" s="26">
        <v>0.80000000000000004</v>
      </c>
      <c r="F48" s="8"/>
      <c r="G48" s="26">
        <v>1.2</v>
      </c>
      <c r="H48" s="8"/>
      <c r="I48" s="26">
        <v>1.3</v>
      </c>
      <c r="J48" s="8"/>
      <c r="K48" s="26">
        <v>1.6000000000000001</v>
      </c>
      <c r="L48" s="8"/>
      <c r="M48" s="26">
        <v>2.6000000000000001</v>
      </c>
      <c r="N48" s="8"/>
      <c r="O48" s="26">
        <v>-0.40000000000000002</v>
      </c>
      <c r="P48" s="8"/>
      <c r="Q48" s="26">
        <v>-0.20000000000000001</v>
      </c>
      <c r="R48" s="8"/>
      <c r="S48" s="26">
        <v>2.1000000000000001</v>
      </c>
      <c r="T48" s="8"/>
      <c r="U48" s="26">
        <v>-0.20000000000000001</v>
      </c>
      <c r="V48" s="8"/>
      <c r="W48" s="26">
        <v>0.69999999999999996</v>
      </c>
      <c r="X48" s="8"/>
      <c r="Y48" s="26">
        <v>0.80000000000000004</v>
      </c>
      <c r="Z48" s="8"/>
      <c r="AA48" s="26">
        <v>1.3</v>
      </c>
      <c r="AB48" s="8"/>
      <c r="AC48" s="8"/>
    </row>
    <row r="49" ht="12" customHeight="1">
      <c r="A49" s="8" t="s">
        <v>159</v>
      </c>
      <c r="B49" s="8" t="s">
        <v>373</v>
      </c>
      <c r="C49" s="26">
        <v>9.5999999999999996</v>
      </c>
      <c r="D49" s="8"/>
      <c r="E49" s="26">
        <v>-5.2999999999999998</v>
      </c>
      <c r="F49" s="8"/>
      <c r="G49" s="26">
        <v>-16.100000000000001</v>
      </c>
      <c r="H49" s="8"/>
      <c r="I49" s="26">
        <v>2.8999999999999999</v>
      </c>
      <c r="J49" s="8"/>
      <c r="K49" s="26">
        <v>11</v>
      </c>
      <c r="L49" s="8"/>
      <c r="M49" s="26">
        <v>-9.6999999999999993</v>
      </c>
      <c r="N49" s="8"/>
      <c r="O49" s="26">
        <v>-12.699999999999999</v>
      </c>
      <c r="P49" s="8"/>
      <c r="Q49" s="26">
        <v>3.5</v>
      </c>
      <c r="R49" s="8"/>
      <c r="S49" s="26">
        <v>10.300000000000001</v>
      </c>
      <c r="T49" s="8"/>
      <c r="U49" s="26">
        <v>-7.2999999999999998</v>
      </c>
      <c r="V49" s="8"/>
      <c r="W49" s="26">
        <v>-13.699999999999999</v>
      </c>
      <c r="X49" s="8"/>
      <c r="Y49" s="26">
        <v>2.5</v>
      </c>
      <c r="Z49" s="8"/>
      <c r="AA49" s="26">
        <v>9</v>
      </c>
      <c r="AB49" s="8"/>
      <c r="AC49" s="8"/>
    </row>
    <row r="50" ht="12" customHeight="1">
      <c r="A50" s="8" t="s">
        <v>161</v>
      </c>
      <c r="B50" s="8" t="s">
        <v>374</v>
      </c>
      <c r="C50" s="26">
        <v>1.7</v>
      </c>
      <c r="D50" s="8"/>
      <c r="E50" s="26">
        <v>0.80000000000000004</v>
      </c>
      <c r="F50" s="8"/>
      <c r="G50" s="26">
        <v>-0.5</v>
      </c>
      <c r="H50" s="8"/>
      <c r="I50" s="26">
        <v>0.69999999999999996</v>
      </c>
      <c r="J50" s="8"/>
      <c r="K50" s="26">
        <v>-0.80000000000000004</v>
      </c>
      <c r="L50" s="8"/>
      <c r="M50" s="26">
        <v>2</v>
      </c>
      <c r="N50" s="8"/>
      <c r="O50" s="26">
        <v>-0.29999999999999999</v>
      </c>
      <c r="P50" s="8"/>
      <c r="Q50" s="26">
        <v>-2.2000000000000002</v>
      </c>
      <c r="R50" s="8"/>
      <c r="S50" s="26">
        <v>0.69999999999999996</v>
      </c>
      <c r="T50" s="8"/>
      <c r="U50" s="26">
        <v>0.80000000000000004</v>
      </c>
      <c r="V50" s="8"/>
      <c r="W50" s="26">
        <v>1.7</v>
      </c>
      <c r="X50" s="8"/>
      <c r="Y50" s="26">
        <v>-0.40000000000000002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375</v>
      </c>
      <c r="C51" s="26">
        <v>2</v>
      </c>
      <c r="D51" s="8"/>
      <c r="E51" s="26">
        <v>1.7</v>
      </c>
      <c r="F51" s="8"/>
      <c r="G51" s="26">
        <v>4.2999999999999998</v>
      </c>
      <c r="H51" s="8"/>
      <c r="I51" s="26">
        <v>0.40000000000000002</v>
      </c>
      <c r="J51" s="8"/>
      <c r="K51" s="26">
        <v>0.40000000000000002</v>
      </c>
      <c r="L51" s="8"/>
      <c r="M51" s="26">
        <v>0.40000000000000002</v>
      </c>
      <c r="N51" s="8"/>
      <c r="O51" s="26">
        <v>-0.29999999999999999</v>
      </c>
      <c r="P51" s="8"/>
      <c r="Q51" s="26">
        <v>-0.10000000000000001</v>
      </c>
      <c r="R51" s="8"/>
      <c r="S51" s="26">
        <v>0.69999999999999996</v>
      </c>
      <c r="T51" s="8"/>
      <c r="U51" s="26">
        <v>-0.29999999999999999</v>
      </c>
      <c r="V51" s="8"/>
      <c r="W51" s="26">
        <v>-1.6000000000000001</v>
      </c>
      <c r="X51" s="8"/>
      <c r="Y51" s="26">
        <v>0.90000000000000002</v>
      </c>
      <c r="Z51" s="8"/>
      <c r="AA51" s="26">
        <v>0.40000000000000002</v>
      </c>
      <c r="AB51" s="8"/>
      <c r="AC51" s="8"/>
    </row>
    <row r="52" ht="12" customHeight="1">
      <c r="A52" s="8" t="s">
        <v>165</v>
      </c>
      <c r="B52" s="8" t="s">
        <v>376</v>
      </c>
      <c r="C52" s="26">
        <v>2.2000000000000002</v>
      </c>
      <c r="D52" s="8"/>
      <c r="E52" s="26">
        <v>1.2</v>
      </c>
      <c r="F52" s="8"/>
      <c r="G52" s="26">
        <v>0.90000000000000002</v>
      </c>
      <c r="H52" s="8"/>
      <c r="I52" s="26">
        <v>0.80000000000000004</v>
      </c>
      <c r="J52" s="8"/>
      <c r="K52" s="26">
        <v>2.5</v>
      </c>
      <c r="L52" s="8"/>
      <c r="M52" s="26">
        <v>3.8999999999999999</v>
      </c>
      <c r="N52" s="8"/>
      <c r="O52" s="26">
        <v>2.2999999999999998</v>
      </c>
      <c r="P52" s="8"/>
      <c r="Q52" s="26">
        <v>-1</v>
      </c>
      <c r="R52" s="8"/>
      <c r="S52" s="26">
        <v>1.3</v>
      </c>
      <c r="T52" s="8"/>
      <c r="U52" s="26">
        <v>0.29999999999999999</v>
      </c>
      <c r="V52" s="8"/>
      <c r="W52" s="26">
        <v>6.0999999999999996</v>
      </c>
      <c r="X52" s="8"/>
      <c r="Y52" s="26">
        <v>0.40000000000000002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377</v>
      </c>
      <c r="C53" s="26">
        <v>3</v>
      </c>
      <c r="D53" s="8"/>
      <c r="E53" s="26">
        <v>0.90000000000000002</v>
      </c>
      <c r="F53" s="8"/>
      <c r="G53" s="26">
        <v>2.1000000000000001</v>
      </c>
      <c r="H53" s="8"/>
      <c r="I53" s="26">
        <v>2.7999999999999998</v>
      </c>
      <c r="J53" s="8"/>
      <c r="K53" s="26">
        <v>0.69999999999999996</v>
      </c>
      <c r="L53" s="8"/>
      <c r="M53" s="26">
        <v>1.3999999999999999</v>
      </c>
      <c r="N53" s="8"/>
      <c r="O53" s="26">
        <v>1.6000000000000001</v>
      </c>
      <c r="P53" s="8"/>
      <c r="Q53" s="26">
        <v>0.69999999999999996</v>
      </c>
      <c r="R53" s="8"/>
      <c r="S53" s="26">
        <v>1.2</v>
      </c>
      <c r="T53" s="8"/>
      <c r="U53" s="26">
        <v>-0.80000000000000004</v>
      </c>
      <c r="V53" s="8"/>
      <c r="W53" s="26">
        <v>-0.5</v>
      </c>
      <c r="X53" s="8"/>
      <c r="Y53" s="26">
        <v>2.2999999999999998</v>
      </c>
      <c r="Z53" s="8"/>
      <c r="AA53" s="26">
        <v>0.90000000000000002</v>
      </c>
      <c r="AB53" s="8"/>
      <c r="AC53" s="8"/>
    </row>
    <row r="54" ht="12" customHeight="1">
      <c r="A54" s="8" t="s">
        <v>169</v>
      </c>
      <c r="B54" s="8" t="s">
        <v>378</v>
      </c>
      <c r="C54" s="26">
        <v>3.7000000000000002</v>
      </c>
      <c r="D54" s="8"/>
      <c r="E54" s="26">
        <v>0.90000000000000002</v>
      </c>
      <c r="F54" s="8"/>
      <c r="G54" s="26">
        <v>2</v>
      </c>
      <c r="H54" s="8"/>
      <c r="I54" s="26">
        <v>1.3</v>
      </c>
      <c r="J54" s="8"/>
      <c r="K54" s="26">
        <v>1</v>
      </c>
      <c r="L54" s="8"/>
      <c r="M54" s="26">
        <v>6.7000000000000002</v>
      </c>
      <c r="N54" s="8"/>
      <c r="O54" s="26">
        <v>-3.7999999999999998</v>
      </c>
      <c r="P54" s="8"/>
      <c r="Q54" s="26">
        <v>-0.5</v>
      </c>
      <c r="R54" s="8"/>
      <c r="S54" s="26">
        <v>4.0999999999999996</v>
      </c>
      <c r="T54" s="8"/>
      <c r="U54" s="26">
        <v>2</v>
      </c>
      <c r="V54" s="8"/>
      <c r="W54" s="26">
        <v>0.40000000000000002</v>
      </c>
      <c r="X54" s="8"/>
      <c r="Y54" s="26">
        <v>0.40000000000000002</v>
      </c>
      <c r="Z54" s="8"/>
      <c r="AA54" s="26">
        <v>3.7000000000000002</v>
      </c>
      <c r="AB54" s="8"/>
      <c r="AC54" s="8"/>
    </row>
    <row r="55" ht="12" customHeight="1">
      <c r="A55" s="11" t="s">
        <v>171</v>
      </c>
      <c r="B55" s="8" t="s">
        <v>379</v>
      </c>
      <c r="C55" s="26">
        <v>0</v>
      </c>
      <c r="D55" s="8"/>
      <c r="E55" s="26">
        <v>3.1000000000000001</v>
      </c>
      <c r="F55" s="8"/>
      <c r="G55" s="26">
        <v>0</v>
      </c>
      <c r="H55" s="8"/>
      <c r="I55" s="26">
        <v>0.29999999999999999</v>
      </c>
      <c r="J55" s="8"/>
      <c r="K55" s="26">
        <v>0</v>
      </c>
      <c r="L55" s="8"/>
      <c r="M55" s="26">
        <v>5.0999999999999996</v>
      </c>
      <c r="N55" s="8"/>
      <c r="O55" s="26">
        <v>0</v>
      </c>
      <c r="P55" s="8"/>
      <c r="Q55" s="26">
        <v>-1.8999999999999999</v>
      </c>
      <c r="R55" s="8"/>
      <c r="S55" s="26">
        <v>0</v>
      </c>
      <c r="T55" s="8"/>
      <c r="U55" s="26">
        <v>10.199999999999999</v>
      </c>
      <c r="V55" s="8"/>
      <c r="W55" s="26">
        <v>0</v>
      </c>
      <c r="X55" s="8"/>
      <c r="Y55" s="26">
        <v>0.20000000000000001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380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3.3999999999999999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-19.199999999999999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2.5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381</v>
      </c>
      <c r="C57" s="26">
        <v>0</v>
      </c>
      <c r="D57" s="8"/>
      <c r="E57" s="26">
        <v>0.5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3.8999999999999999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382</v>
      </c>
      <c r="C58" s="26">
        <v>0</v>
      </c>
      <c r="D58" s="8"/>
      <c r="E58" s="26">
        <v>4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6.2000000000000002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383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4.7999999999999998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384</v>
      </c>
      <c r="C60" s="26">
        <v>1.8999999999999999</v>
      </c>
      <c r="D60" s="8"/>
      <c r="E60" s="26">
        <v>2.2999999999999998</v>
      </c>
      <c r="F60" s="8"/>
      <c r="G60" s="26">
        <v>3.2999999999999998</v>
      </c>
      <c r="H60" s="8"/>
      <c r="I60" s="26">
        <v>3.1000000000000001</v>
      </c>
      <c r="J60" s="8"/>
      <c r="K60" s="26">
        <v>2.8999999999999999</v>
      </c>
      <c r="L60" s="8"/>
      <c r="M60" s="26">
        <v>3.6000000000000001</v>
      </c>
      <c r="N60" s="8"/>
      <c r="O60" s="26">
        <v>3.1000000000000001</v>
      </c>
      <c r="P60" s="8"/>
      <c r="Q60" s="26">
        <v>2.1000000000000001</v>
      </c>
      <c r="R60" s="8"/>
      <c r="S60" s="26">
        <v>1.8999999999999999</v>
      </c>
      <c r="T60" s="8"/>
      <c r="U60" s="26">
        <v>1.3</v>
      </c>
      <c r="V60" s="8"/>
      <c r="W60" s="26">
        <v>1.3999999999999999</v>
      </c>
      <c r="X60" s="8"/>
      <c r="Y60" s="26">
        <v>0.69999999999999996</v>
      </c>
      <c r="Z60" s="8"/>
      <c r="AA60" s="26">
        <v>0.5</v>
      </c>
      <c r="AB60" s="8"/>
      <c r="AC60" s="8"/>
    </row>
    <row r="61" ht="12" customHeight="1">
      <c r="A61" s="8" t="s">
        <v>183</v>
      </c>
      <c r="B61" s="8" t="s">
        <v>385</v>
      </c>
      <c r="C61" s="26">
        <v>2.6000000000000001</v>
      </c>
      <c r="D61" s="8"/>
      <c r="E61" s="26">
        <v>1.8999999999999999</v>
      </c>
      <c r="F61" s="8"/>
      <c r="G61" s="26">
        <v>1.7</v>
      </c>
      <c r="H61" s="8"/>
      <c r="I61" s="26">
        <v>-0.40000000000000002</v>
      </c>
      <c r="J61" s="8"/>
      <c r="K61" s="26">
        <v>-0.69999999999999996</v>
      </c>
      <c r="L61" s="8"/>
      <c r="M61" s="26">
        <v>0.29999999999999999</v>
      </c>
      <c r="N61" s="8"/>
      <c r="O61" s="26">
        <v>0.29999999999999999</v>
      </c>
      <c r="P61" s="8"/>
      <c r="Q61" s="26">
        <v>0</v>
      </c>
      <c r="R61" s="8"/>
      <c r="S61" s="26">
        <v>0.20000000000000001</v>
      </c>
      <c r="T61" s="8"/>
      <c r="U61" s="26">
        <v>0.5</v>
      </c>
      <c r="V61" s="8"/>
      <c r="W61" s="26">
        <v>1.2</v>
      </c>
      <c r="X61" s="8"/>
      <c r="Y61" s="26">
        <v>0.20000000000000001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386</v>
      </c>
      <c r="C62" s="26">
        <v>2.3999999999999999</v>
      </c>
      <c r="D62" s="8"/>
      <c r="E62" s="26">
        <v>0.59999999999999998</v>
      </c>
      <c r="F62" s="8"/>
      <c r="G62" s="26">
        <v>-0.80000000000000004</v>
      </c>
      <c r="H62" s="8"/>
      <c r="I62" s="26">
        <v>1</v>
      </c>
      <c r="J62" s="8"/>
      <c r="K62" s="26">
        <v>1.3999999999999999</v>
      </c>
      <c r="L62" s="8"/>
      <c r="M62" s="26">
        <v>2.2000000000000002</v>
      </c>
      <c r="N62" s="8"/>
      <c r="O62" s="26">
        <v>2.3999999999999999</v>
      </c>
      <c r="P62" s="8"/>
      <c r="Q62" s="26">
        <v>1.8</v>
      </c>
      <c r="R62" s="8"/>
      <c r="S62" s="26">
        <v>1.3999999999999999</v>
      </c>
      <c r="T62" s="8"/>
      <c r="U62" s="26">
        <v>0</v>
      </c>
      <c r="V62" s="8"/>
      <c r="W62" s="26">
        <v>2.6000000000000001</v>
      </c>
      <c r="X62" s="8"/>
      <c r="Y62" s="26">
        <v>1.2</v>
      </c>
      <c r="Z62" s="8"/>
      <c r="AA62" s="26">
        <v>3.1000000000000001</v>
      </c>
      <c r="AB62" s="8"/>
      <c r="AC62" s="8"/>
    </row>
    <row r="63" ht="12" customHeight="1">
      <c r="A63" s="8" t="s">
        <v>187</v>
      </c>
      <c r="B63" s="8" t="s">
        <v>387</v>
      </c>
      <c r="C63" s="26">
        <v>2</v>
      </c>
      <c r="D63" s="8"/>
      <c r="E63" s="26">
        <v>2.7000000000000002</v>
      </c>
      <c r="F63" s="8"/>
      <c r="G63" s="26">
        <v>4.4000000000000004</v>
      </c>
      <c r="H63" s="8"/>
      <c r="I63" s="26">
        <v>4.5999999999999996</v>
      </c>
      <c r="J63" s="8"/>
      <c r="K63" s="26">
        <v>4.5999999999999996</v>
      </c>
      <c r="L63" s="8"/>
      <c r="M63" s="26">
        <v>5</v>
      </c>
      <c r="N63" s="8"/>
      <c r="O63" s="26">
        <v>4.2999999999999998</v>
      </c>
      <c r="P63" s="8"/>
      <c r="Q63" s="26">
        <v>3.1000000000000001</v>
      </c>
      <c r="R63" s="8"/>
      <c r="S63" s="26">
        <v>2.6000000000000001</v>
      </c>
      <c r="T63" s="8"/>
      <c r="U63" s="26">
        <v>1.7</v>
      </c>
      <c r="V63" s="8"/>
      <c r="W63" s="26">
        <v>1.3999999999999999</v>
      </c>
      <c r="X63" s="8"/>
      <c r="Y63" s="26">
        <v>0.90000000000000002</v>
      </c>
      <c r="Z63" s="8"/>
      <c r="AA63" s="26">
        <v>0.5</v>
      </c>
      <c r="AB63" s="8"/>
      <c r="AC63" s="8"/>
    </row>
    <row r="64" ht="12" customHeight="1">
      <c r="A64" s="8" t="s">
        <v>189</v>
      </c>
      <c r="B64" s="8" t="s">
        <v>388</v>
      </c>
      <c r="C64" s="26">
        <v>-2.7000000000000002</v>
      </c>
      <c r="D64" s="8"/>
      <c r="E64" s="26">
        <v>-1.1000000000000001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-3.6000000000000001</v>
      </c>
      <c r="R64" s="8"/>
      <c r="S64" s="26">
        <v>-1.1000000000000001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389</v>
      </c>
      <c r="C65" s="26">
        <v>0.10000000000000001</v>
      </c>
      <c r="D65" s="8"/>
      <c r="E65" s="26">
        <v>1.1000000000000001</v>
      </c>
      <c r="F65" s="8"/>
      <c r="G65" s="26">
        <v>1</v>
      </c>
      <c r="H65" s="8"/>
      <c r="I65" s="26">
        <v>2.2000000000000002</v>
      </c>
      <c r="J65" s="8"/>
      <c r="K65" s="26">
        <v>1</v>
      </c>
      <c r="L65" s="8"/>
      <c r="M65" s="26">
        <v>1</v>
      </c>
      <c r="N65" s="8"/>
      <c r="O65" s="26">
        <v>0.90000000000000002</v>
      </c>
      <c r="P65" s="8"/>
      <c r="Q65" s="26">
        <v>0.59999999999999998</v>
      </c>
      <c r="R65" s="8"/>
      <c r="S65" s="26">
        <v>0.40000000000000002</v>
      </c>
      <c r="T65" s="8"/>
      <c r="U65" s="26">
        <v>0.40000000000000002</v>
      </c>
      <c r="V65" s="8"/>
      <c r="W65" s="26">
        <v>1.3999999999999999</v>
      </c>
      <c r="X65" s="8"/>
      <c r="Y65" s="26">
        <v>-0.20000000000000001</v>
      </c>
      <c r="Z65" s="8"/>
      <c r="AA65" s="26">
        <v>0.10000000000000001</v>
      </c>
      <c r="AB65" s="8"/>
      <c r="AC65" s="8"/>
    </row>
    <row r="66" ht="12" customHeight="1">
      <c r="A66" s="11" t="s">
        <v>193</v>
      </c>
      <c r="B66" s="8" t="s">
        <v>390</v>
      </c>
      <c r="C66" s="26">
        <v>6.2000000000000002</v>
      </c>
      <c r="D66" s="8"/>
      <c r="E66" s="26">
        <v>6.5999999999999996</v>
      </c>
      <c r="F66" s="8"/>
      <c r="G66" s="26">
        <v>3.3999999999999999</v>
      </c>
      <c r="H66" s="8"/>
      <c r="I66" s="26">
        <v>8.0999999999999996</v>
      </c>
      <c r="J66" s="8"/>
      <c r="K66" s="26">
        <v>9.3000000000000007</v>
      </c>
      <c r="L66" s="8"/>
      <c r="M66" s="26">
        <v>4.4000000000000004</v>
      </c>
      <c r="N66" s="8"/>
      <c r="O66" s="26">
        <v>2.1000000000000001</v>
      </c>
      <c r="P66" s="8"/>
      <c r="Q66" s="26">
        <v>1</v>
      </c>
      <c r="R66" s="8"/>
      <c r="S66" s="26">
        <v>-0.5</v>
      </c>
      <c r="T66" s="8"/>
      <c r="U66" s="26">
        <v>-1.8999999999999999</v>
      </c>
      <c r="V66" s="8"/>
      <c r="W66" s="26">
        <v>-5.7999999999999998</v>
      </c>
      <c r="X66" s="8"/>
      <c r="Y66" s="26">
        <v>-5.7999999999999998</v>
      </c>
      <c r="Z66" s="8"/>
      <c r="AA66" s="26">
        <v>-3.7000000000000002</v>
      </c>
      <c r="AB66" s="8"/>
      <c r="AC66" s="8"/>
    </row>
    <row r="67" ht="12" customHeight="1">
      <c r="A67" s="8" t="s">
        <v>195</v>
      </c>
      <c r="B67" s="8" t="s">
        <v>391</v>
      </c>
      <c r="C67" s="26">
        <v>6.2000000000000002</v>
      </c>
      <c r="D67" s="8"/>
      <c r="E67" s="26">
        <v>6.5999999999999996</v>
      </c>
      <c r="F67" s="8"/>
      <c r="G67" s="26">
        <v>3.3999999999999999</v>
      </c>
      <c r="H67" s="8"/>
      <c r="I67" s="26">
        <v>8.0999999999999996</v>
      </c>
      <c r="J67" s="8"/>
      <c r="K67" s="26">
        <v>9.3000000000000007</v>
      </c>
      <c r="L67" s="8"/>
      <c r="M67" s="26">
        <v>4.4000000000000004</v>
      </c>
      <c r="N67" s="8"/>
      <c r="O67" s="26">
        <v>2.1000000000000001</v>
      </c>
      <c r="P67" s="8"/>
      <c r="Q67" s="26">
        <v>1</v>
      </c>
      <c r="R67" s="8"/>
      <c r="S67" s="26">
        <v>-0.5</v>
      </c>
      <c r="T67" s="8"/>
      <c r="U67" s="26">
        <v>-1.8999999999999999</v>
      </c>
      <c r="V67" s="8"/>
      <c r="W67" s="26">
        <v>-5.7999999999999998</v>
      </c>
      <c r="X67" s="8"/>
      <c r="Y67" s="26">
        <v>-5.7999999999999998</v>
      </c>
      <c r="Z67" s="8"/>
      <c r="AA67" s="26">
        <v>-3.7000000000000002</v>
      </c>
      <c r="AB67" s="8"/>
      <c r="AC67" s="8"/>
    </row>
    <row r="68" ht="12" customHeight="1">
      <c r="A68" s="13" t="s">
        <v>69</v>
      </c>
      <c r="B68" s="10" t="s">
        <v>46</v>
      </c>
      <c r="C68" s="27">
        <v>1.3999999999999999</v>
      </c>
      <c r="D68" s="10"/>
      <c r="E68" s="27">
        <v>1.5</v>
      </c>
      <c r="F68" s="10"/>
      <c r="G68" s="27">
        <v>1.3</v>
      </c>
      <c r="H68" s="10"/>
      <c r="I68" s="27">
        <v>2.3999999999999999</v>
      </c>
      <c r="J68" s="10"/>
      <c r="K68" s="27">
        <v>0.80000000000000004</v>
      </c>
      <c r="L68" s="10"/>
      <c r="M68" s="27">
        <v>0.69999999999999996</v>
      </c>
      <c r="N68" s="10"/>
      <c r="O68" s="27">
        <v>0.69999999999999996</v>
      </c>
      <c r="P68" s="10"/>
      <c r="Q68" s="27">
        <v>1.7</v>
      </c>
      <c r="R68" s="10"/>
      <c r="S68" s="27">
        <v>0.5</v>
      </c>
      <c r="T68" s="10"/>
      <c r="U68" s="27">
        <v>1</v>
      </c>
      <c r="V68" s="10"/>
      <c r="W68" s="27">
        <v>0.80000000000000004</v>
      </c>
      <c r="X68" s="10"/>
      <c r="Y68" s="27">
        <v>1.5</v>
      </c>
      <c r="Z68" s="10"/>
      <c r="AA68" s="27">
        <v>0.40000000000000002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393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331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332</v>
      </c>
      <c r="C8" s="22">
        <v>11.199999999999999</v>
      </c>
      <c r="D8" s="22"/>
      <c r="E8" s="22">
        <v>12.300000000000001</v>
      </c>
      <c r="F8" s="22"/>
      <c r="G8" s="22">
        <v>13.1</v>
      </c>
      <c r="H8" s="22"/>
      <c r="I8" s="22">
        <v>8.5999999999999996</v>
      </c>
      <c r="J8" s="22"/>
      <c r="K8" s="22">
        <v>5.2999999999999998</v>
      </c>
      <c r="L8" s="22"/>
      <c r="M8" s="22">
        <v>1.2</v>
      </c>
      <c r="N8" s="22"/>
      <c r="O8" s="22">
        <v>-1.1000000000000001</v>
      </c>
      <c r="P8" s="22"/>
      <c r="Q8" s="22">
        <v>0</v>
      </c>
      <c r="R8" s="22"/>
      <c r="S8" s="22">
        <v>0.90000000000000002</v>
      </c>
      <c r="T8" s="22"/>
      <c r="U8" s="22">
        <v>2.7999999999999998</v>
      </c>
      <c r="V8" s="22"/>
      <c r="W8" s="22">
        <v>5</v>
      </c>
      <c r="X8" s="22"/>
      <c r="Y8" s="22">
        <v>5.2000000000000002</v>
      </c>
      <c r="Z8" s="22"/>
      <c r="AA8" s="22">
        <v>4.7999999999999998</v>
      </c>
      <c r="AB8" s="22"/>
      <c r="AC8" s="22"/>
    </row>
    <row r="9" ht="12" customHeight="1">
      <c r="A9" s="8" t="s">
        <v>79</v>
      </c>
      <c r="B9" s="8" t="s">
        <v>333</v>
      </c>
      <c r="C9" s="26">
        <v>20.699999999999999</v>
      </c>
      <c r="D9" s="8"/>
      <c r="E9" s="26">
        <v>22</v>
      </c>
      <c r="F9" s="8"/>
      <c r="G9" s="26">
        <v>22</v>
      </c>
      <c r="H9" s="8"/>
      <c r="I9" s="26">
        <v>5</v>
      </c>
      <c r="J9" s="8"/>
      <c r="K9" s="26">
        <v>3.6000000000000001</v>
      </c>
      <c r="L9" s="8"/>
      <c r="M9" s="26">
        <v>-8.5</v>
      </c>
      <c r="N9" s="8"/>
      <c r="O9" s="26">
        <v>-14.6</v>
      </c>
      <c r="P9" s="8"/>
      <c r="Q9" s="26">
        <v>-10.800000000000001</v>
      </c>
      <c r="R9" s="8"/>
      <c r="S9" s="26">
        <v>-9.6999999999999993</v>
      </c>
      <c r="T9" s="8"/>
      <c r="U9" s="26">
        <v>-5.0999999999999996</v>
      </c>
      <c r="V9" s="8"/>
      <c r="W9" s="26">
        <v>5.2000000000000002</v>
      </c>
      <c r="X9" s="8"/>
      <c r="Y9" s="26">
        <v>7.5999999999999996</v>
      </c>
      <c r="Z9" s="8"/>
      <c r="AA9" s="26">
        <v>4.2000000000000002</v>
      </c>
      <c r="AB9" s="8"/>
    </row>
    <row r="10" ht="12" customHeight="1">
      <c r="A10" s="8" t="s">
        <v>81</v>
      </c>
      <c r="B10" s="8" t="s">
        <v>334</v>
      </c>
      <c r="C10" s="26">
        <v>10.6</v>
      </c>
      <c r="D10" s="8"/>
      <c r="E10" s="26">
        <v>8.8000000000000007</v>
      </c>
      <c r="F10" s="8"/>
      <c r="G10" s="26">
        <v>10.1</v>
      </c>
      <c r="H10" s="8"/>
      <c r="I10" s="26">
        <v>7.9000000000000004</v>
      </c>
      <c r="J10" s="8"/>
      <c r="K10" s="26">
        <v>2.2000000000000002</v>
      </c>
      <c r="L10" s="8"/>
      <c r="M10" s="26">
        <v>0.5</v>
      </c>
      <c r="N10" s="8"/>
      <c r="O10" s="26">
        <v>-0.5</v>
      </c>
      <c r="P10" s="8"/>
      <c r="Q10" s="26">
        <v>0.5</v>
      </c>
      <c r="R10" s="8"/>
      <c r="S10" s="26">
        <v>2.3999999999999999</v>
      </c>
      <c r="T10" s="8"/>
      <c r="U10" s="26">
        <v>4.2000000000000002</v>
      </c>
      <c r="V10" s="8"/>
      <c r="W10" s="26">
        <v>5.0999999999999996</v>
      </c>
      <c r="X10" s="8"/>
      <c r="Y10" s="26">
        <v>7</v>
      </c>
      <c r="Z10" s="8"/>
      <c r="AA10" s="26">
        <v>7.0999999999999996</v>
      </c>
      <c r="AB10" s="8"/>
    </row>
    <row r="11" ht="12" customHeight="1">
      <c r="A11" s="8" t="s">
        <v>83</v>
      </c>
      <c r="B11" s="8" t="s">
        <v>335</v>
      </c>
      <c r="C11" s="26">
        <v>9.8000000000000007</v>
      </c>
      <c r="D11" s="8"/>
      <c r="E11" s="26">
        <v>11.9</v>
      </c>
      <c r="F11" s="8"/>
      <c r="G11" s="26">
        <v>12.800000000000001</v>
      </c>
      <c r="H11" s="8"/>
      <c r="I11" s="26">
        <v>10.4</v>
      </c>
      <c r="J11" s="8"/>
      <c r="K11" s="26">
        <v>6.0999999999999996</v>
      </c>
      <c r="L11" s="8"/>
      <c r="M11" s="26">
        <v>2.7000000000000002</v>
      </c>
      <c r="N11" s="8"/>
      <c r="O11" s="26">
        <v>1.3999999999999999</v>
      </c>
      <c r="P11" s="8"/>
      <c r="Q11" s="26">
        <v>2.5</v>
      </c>
      <c r="R11" s="8"/>
      <c r="S11" s="26">
        <v>3.3999999999999999</v>
      </c>
      <c r="T11" s="8"/>
      <c r="U11" s="26">
        <v>5.2999999999999998</v>
      </c>
      <c r="V11" s="8"/>
      <c r="W11" s="26">
        <v>5.7000000000000002</v>
      </c>
      <c r="X11" s="8"/>
      <c r="Y11" s="26">
        <v>5</v>
      </c>
      <c r="Z11" s="8"/>
      <c r="AA11" s="26">
        <v>4.7000000000000002</v>
      </c>
      <c r="AB11" s="8"/>
    </row>
    <row r="12" ht="12" customHeight="1">
      <c r="A12" s="8" t="s">
        <v>85</v>
      </c>
      <c r="B12" s="8" t="s">
        <v>336</v>
      </c>
      <c r="C12" s="26">
        <v>8.3000000000000007</v>
      </c>
      <c r="D12" s="8"/>
      <c r="E12" s="26">
        <v>8.4000000000000004</v>
      </c>
      <c r="F12" s="8"/>
      <c r="G12" s="26">
        <v>10.5</v>
      </c>
      <c r="H12" s="8"/>
      <c r="I12" s="26">
        <v>9.3000000000000007</v>
      </c>
      <c r="J12" s="8"/>
      <c r="K12" s="26">
        <v>6.2999999999999998</v>
      </c>
      <c r="L12" s="8"/>
      <c r="M12" s="26">
        <v>4.7999999999999998</v>
      </c>
      <c r="N12" s="8"/>
      <c r="O12" s="26">
        <v>3.7999999999999998</v>
      </c>
      <c r="P12" s="8"/>
      <c r="Q12" s="26">
        <v>3.8999999999999999</v>
      </c>
      <c r="R12" s="8"/>
      <c r="S12" s="26">
        <v>3.7000000000000002</v>
      </c>
      <c r="T12" s="8"/>
      <c r="U12" s="26">
        <v>5.4000000000000004</v>
      </c>
      <c r="V12" s="8"/>
      <c r="W12" s="26">
        <v>6.2999999999999998</v>
      </c>
      <c r="X12" s="8"/>
      <c r="Y12" s="26">
        <v>4.9000000000000004</v>
      </c>
      <c r="Z12" s="8"/>
      <c r="AA12" s="26">
        <v>5.5999999999999996</v>
      </c>
      <c r="AB12" s="8"/>
    </row>
    <row r="13" ht="12" customHeight="1">
      <c r="A13" s="8" t="s">
        <v>87</v>
      </c>
      <c r="B13" s="8" t="s">
        <v>337</v>
      </c>
      <c r="C13" s="26">
        <v>7.5999999999999996</v>
      </c>
      <c r="D13" s="8"/>
      <c r="E13" s="26">
        <v>8.5</v>
      </c>
      <c r="F13" s="8"/>
      <c r="G13" s="26">
        <v>9.3000000000000007</v>
      </c>
      <c r="H13" s="8"/>
      <c r="I13" s="26">
        <v>9.1999999999999993</v>
      </c>
      <c r="J13" s="8"/>
      <c r="K13" s="26">
        <v>8.0999999999999996</v>
      </c>
      <c r="L13" s="8"/>
      <c r="M13" s="26">
        <v>7.0999999999999996</v>
      </c>
      <c r="N13" s="8"/>
      <c r="O13" s="26">
        <v>5</v>
      </c>
      <c r="P13" s="8"/>
      <c r="Q13" s="26">
        <v>3.7000000000000002</v>
      </c>
      <c r="R13" s="8"/>
      <c r="S13" s="26">
        <v>3.2999999999999998</v>
      </c>
      <c r="T13" s="8"/>
      <c r="U13" s="26">
        <v>2.3999999999999999</v>
      </c>
      <c r="V13" s="8"/>
      <c r="W13" s="26">
        <v>2.2000000000000002</v>
      </c>
      <c r="X13" s="8"/>
      <c r="Y13" s="26">
        <v>2.3999999999999999</v>
      </c>
      <c r="Z13" s="8"/>
      <c r="AA13" s="26">
        <v>2.3999999999999999</v>
      </c>
      <c r="AB13" s="8"/>
    </row>
    <row r="14" ht="12" customHeight="1">
      <c r="A14" s="11" t="s">
        <v>89</v>
      </c>
      <c r="B14" s="8" t="s">
        <v>338</v>
      </c>
      <c r="C14" s="26">
        <v>6.0999999999999996</v>
      </c>
      <c r="D14" s="8"/>
      <c r="E14" s="26">
        <v>7.2000000000000002</v>
      </c>
      <c r="F14" s="8"/>
      <c r="G14" s="26">
        <v>7.2999999999999998</v>
      </c>
      <c r="H14" s="8"/>
      <c r="I14" s="26">
        <v>6.7000000000000002</v>
      </c>
      <c r="J14" s="8"/>
      <c r="K14" s="26">
        <v>6.7000000000000002</v>
      </c>
      <c r="L14" s="8"/>
      <c r="M14" s="26">
        <v>6.0999999999999996</v>
      </c>
      <c r="N14" s="8"/>
      <c r="O14" s="26">
        <v>5.7000000000000002</v>
      </c>
      <c r="P14" s="8"/>
      <c r="Q14" s="26">
        <v>5.0999999999999996</v>
      </c>
      <c r="R14" s="8"/>
      <c r="S14" s="26">
        <v>4.0999999999999996</v>
      </c>
      <c r="T14" s="8"/>
      <c r="U14" s="26">
        <v>3.1000000000000001</v>
      </c>
      <c r="V14" s="8"/>
      <c r="W14" s="26">
        <v>2</v>
      </c>
      <c r="X14" s="8"/>
      <c r="Y14" s="26">
        <v>1.7</v>
      </c>
      <c r="Z14" s="8"/>
      <c r="AA14" s="26">
        <v>1.7</v>
      </c>
      <c r="AB14" s="8"/>
    </row>
    <row r="15" ht="12" customHeight="1">
      <c r="A15" s="8" t="s">
        <v>91</v>
      </c>
      <c r="B15" s="8" t="s">
        <v>339</v>
      </c>
      <c r="C15" s="26">
        <v>6.5</v>
      </c>
      <c r="D15" s="8"/>
      <c r="E15" s="26">
        <v>6.5999999999999996</v>
      </c>
      <c r="F15" s="8"/>
      <c r="G15" s="26">
        <v>6.7000000000000002</v>
      </c>
      <c r="H15" s="8"/>
      <c r="I15" s="26">
        <v>5.7000000000000002</v>
      </c>
      <c r="J15" s="8"/>
      <c r="K15" s="26">
        <v>4.5999999999999996</v>
      </c>
      <c r="L15" s="8"/>
      <c r="M15" s="26">
        <v>4.0999999999999996</v>
      </c>
      <c r="N15" s="8"/>
      <c r="O15" s="26">
        <v>3.5</v>
      </c>
      <c r="P15" s="8"/>
      <c r="Q15" s="26">
        <v>2.7999999999999998</v>
      </c>
      <c r="R15" s="8"/>
      <c r="S15" s="26">
        <v>2.3999999999999999</v>
      </c>
      <c r="T15" s="8"/>
      <c r="U15" s="26">
        <v>2.2000000000000002</v>
      </c>
      <c r="V15" s="8"/>
      <c r="W15" s="26">
        <v>0.59999999999999998</v>
      </c>
      <c r="X15" s="8"/>
      <c r="Y15" s="26">
        <v>0.29999999999999999</v>
      </c>
      <c r="Z15" s="8"/>
      <c r="AA15" s="26">
        <v>-0.20000000000000001</v>
      </c>
      <c r="AB15" s="8"/>
    </row>
    <row r="16" ht="12" customHeight="1">
      <c r="A16" s="8" t="s">
        <v>93</v>
      </c>
      <c r="B16" s="8" t="s">
        <v>340</v>
      </c>
      <c r="C16" s="26">
        <v>5.0999999999999996</v>
      </c>
      <c r="D16" s="8"/>
      <c r="E16" s="26">
        <v>8.5</v>
      </c>
      <c r="F16" s="8"/>
      <c r="G16" s="26">
        <v>8.3000000000000007</v>
      </c>
      <c r="H16" s="8"/>
      <c r="I16" s="26">
        <v>9</v>
      </c>
      <c r="J16" s="8"/>
      <c r="K16" s="26">
        <v>11.4</v>
      </c>
      <c r="L16" s="8"/>
      <c r="M16" s="26">
        <v>10.4</v>
      </c>
      <c r="N16" s="8"/>
      <c r="O16" s="26">
        <v>10.300000000000001</v>
      </c>
      <c r="P16" s="8"/>
      <c r="Q16" s="26">
        <v>10.1</v>
      </c>
      <c r="R16" s="8"/>
      <c r="S16" s="26">
        <v>7.9000000000000004</v>
      </c>
      <c r="T16" s="8"/>
      <c r="U16" s="26">
        <v>5.0999999999999996</v>
      </c>
      <c r="V16" s="8"/>
      <c r="W16" s="26">
        <v>5.2999999999999998</v>
      </c>
      <c r="X16" s="8"/>
      <c r="Y16" s="26">
        <v>4.9000000000000004</v>
      </c>
      <c r="Z16" s="8"/>
      <c r="AA16" s="26">
        <v>5.7000000000000002</v>
      </c>
      <c r="AB16" s="8"/>
    </row>
    <row r="17" ht="12" customHeight="1">
      <c r="A17" s="11" t="s">
        <v>95</v>
      </c>
      <c r="B17" s="8" t="s">
        <v>341</v>
      </c>
      <c r="C17" s="26">
        <v>1.8999999999999999</v>
      </c>
      <c r="D17" s="8"/>
      <c r="E17" s="26">
        <v>2.3999999999999999</v>
      </c>
      <c r="F17" s="8"/>
      <c r="G17" s="26">
        <v>4.7999999999999998</v>
      </c>
      <c r="H17" s="8"/>
      <c r="I17" s="26">
        <v>4.2000000000000002</v>
      </c>
      <c r="J17" s="8"/>
      <c r="K17" s="26">
        <v>4.7000000000000002</v>
      </c>
      <c r="L17" s="8"/>
      <c r="M17" s="26">
        <v>4.7000000000000002</v>
      </c>
      <c r="N17" s="8"/>
      <c r="O17" s="26">
        <v>2.2999999999999998</v>
      </c>
      <c r="P17" s="8"/>
      <c r="Q17" s="26">
        <v>1.7</v>
      </c>
      <c r="R17" s="8"/>
      <c r="S17" s="26">
        <v>-0.59999999999999998</v>
      </c>
      <c r="T17" s="8"/>
      <c r="U17" s="26">
        <v>-0.29999999999999999</v>
      </c>
      <c r="V17" s="8"/>
      <c r="W17" s="26">
        <v>-0.90000000000000002</v>
      </c>
      <c r="X17" s="8"/>
      <c r="Y17" s="26">
        <v>-0.20000000000000001</v>
      </c>
      <c r="Z17" s="8"/>
      <c r="AA17" s="26">
        <v>1.6000000000000001</v>
      </c>
      <c r="AB17" s="8"/>
    </row>
    <row r="18" ht="12" customHeight="1">
      <c r="A18" s="8" t="s">
        <v>97</v>
      </c>
      <c r="B18" s="8" t="s">
        <v>342</v>
      </c>
      <c r="C18" s="26">
        <v>2.1000000000000001</v>
      </c>
      <c r="D18" s="8"/>
      <c r="E18" s="26">
        <v>2.2000000000000002</v>
      </c>
      <c r="F18" s="8"/>
      <c r="G18" s="26">
        <v>5.0999999999999996</v>
      </c>
      <c r="H18" s="8"/>
      <c r="I18" s="26">
        <v>4.4000000000000004</v>
      </c>
      <c r="J18" s="8"/>
      <c r="K18" s="26">
        <v>5</v>
      </c>
      <c r="L18" s="8"/>
      <c r="M18" s="26">
        <v>5.2000000000000002</v>
      </c>
      <c r="N18" s="8"/>
      <c r="O18" s="26">
        <v>2.6000000000000001</v>
      </c>
      <c r="P18" s="8"/>
      <c r="Q18" s="26">
        <v>1.8</v>
      </c>
      <c r="R18" s="8"/>
      <c r="S18" s="26">
        <v>-0.40000000000000002</v>
      </c>
      <c r="T18" s="8"/>
      <c r="U18" s="26">
        <v>-0.5</v>
      </c>
      <c r="V18" s="8"/>
      <c r="W18" s="26">
        <v>-0.40000000000000002</v>
      </c>
      <c r="X18" s="8"/>
      <c r="Y18" s="26">
        <v>0</v>
      </c>
      <c r="Z18" s="8"/>
      <c r="AA18" s="26">
        <v>1.8999999999999999</v>
      </c>
      <c r="AB18" s="8"/>
    </row>
    <row r="19" ht="12" customHeight="1">
      <c r="A19" s="8" t="s">
        <v>99</v>
      </c>
      <c r="B19" s="8" t="s">
        <v>343</v>
      </c>
      <c r="C19" s="26">
        <v>0.90000000000000002</v>
      </c>
      <c r="D19" s="8"/>
      <c r="E19" s="26">
        <v>3.7000000000000002</v>
      </c>
      <c r="F19" s="8"/>
      <c r="G19" s="26">
        <v>3.2000000000000002</v>
      </c>
      <c r="H19" s="8"/>
      <c r="I19" s="26">
        <v>2.5</v>
      </c>
      <c r="J19" s="8"/>
      <c r="K19" s="26">
        <v>2.2000000000000002</v>
      </c>
      <c r="L19" s="8"/>
      <c r="M19" s="26">
        <v>1.3999999999999999</v>
      </c>
      <c r="N19" s="8"/>
      <c r="O19" s="26">
        <v>1.2</v>
      </c>
      <c r="P19" s="8"/>
      <c r="Q19" s="26">
        <v>0.59999999999999998</v>
      </c>
      <c r="R19" s="8"/>
      <c r="S19" s="26">
        <v>-1.7</v>
      </c>
      <c r="T19" s="8"/>
      <c r="U19" s="26">
        <v>0.69999999999999996</v>
      </c>
      <c r="V19" s="8"/>
      <c r="W19" s="26">
        <v>-4.0999999999999996</v>
      </c>
      <c r="X19" s="8"/>
      <c r="Y19" s="26">
        <v>-1</v>
      </c>
      <c r="Z19" s="8"/>
      <c r="AA19" s="26">
        <v>0.69999999999999996</v>
      </c>
      <c r="AB19" s="8"/>
    </row>
    <row r="20" ht="12" customHeight="1">
      <c r="A20" s="11" t="s">
        <v>101</v>
      </c>
      <c r="B20" s="8" t="s">
        <v>344</v>
      </c>
      <c r="C20" s="26">
        <v>5.5</v>
      </c>
      <c r="D20" s="8"/>
      <c r="E20" s="26">
        <v>5.5999999999999996</v>
      </c>
      <c r="F20" s="8"/>
      <c r="G20" s="26">
        <v>5.7999999999999998</v>
      </c>
      <c r="H20" s="8"/>
      <c r="I20" s="26">
        <v>6.5</v>
      </c>
      <c r="J20" s="8"/>
      <c r="K20" s="26">
        <v>6.7000000000000002</v>
      </c>
      <c r="L20" s="8"/>
      <c r="M20" s="26">
        <v>6.2000000000000002</v>
      </c>
      <c r="N20" s="8"/>
      <c r="O20" s="26">
        <v>6.0999999999999996</v>
      </c>
      <c r="P20" s="8"/>
      <c r="Q20" s="26">
        <v>7.5999999999999996</v>
      </c>
      <c r="R20" s="8"/>
      <c r="S20" s="26">
        <v>7.2999999999999998</v>
      </c>
      <c r="T20" s="8"/>
      <c r="U20" s="26">
        <v>7.5</v>
      </c>
      <c r="V20" s="8"/>
      <c r="W20" s="26">
        <v>7.7000000000000002</v>
      </c>
      <c r="X20" s="8"/>
      <c r="Y20" s="26">
        <v>6.7000000000000002</v>
      </c>
      <c r="Z20" s="8"/>
      <c r="AA20" s="26">
        <v>6.7000000000000002</v>
      </c>
      <c r="AB20" s="8"/>
    </row>
    <row r="21" ht="12" customHeight="1">
      <c r="A21" s="8" t="s">
        <v>103</v>
      </c>
      <c r="B21" s="8" t="s">
        <v>345</v>
      </c>
      <c r="C21" s="26">
        <v>5.2999999999999998</v>
      </c>
      <c r="D21" s="8"/>
      <c r="E21" s="26">
        <v>5.2999999999999998</v>
      </c>
      <c r="F21" s="8"/>
      <c r="G21" s="26">
        <v>5.2999999999999998</v>
      </c>
      <c r="H21" s="8"/>
      <c r="I21" s="26">
        <v>5.4000000000000004</v>
      </c>
      <c r="J21" s="8"/>
      <c r="K21" s="26">
        <v>5.4000000000000004</v>
      </c>
      <c r="L21" s="8"/>
      <c r="M21" s="26">
        <v>5.2999999999999998</v>
      </c>
      <c r="N21" s="8"/>
      <c r="O21" s="26">
        <v>5.2000000000000002</v>
      </c>
      <c r="P21" s="8"/>
      <c r="Q21" s="26">
        <v>4.9000000000000004</v>
      </c>
      <c r="R21" s="8"/>
      <c r="S21" s="26">
        <v>4.5</v>
      </c>
      <c r="T21" s="8"/>
      <c r="U21" s="26">
        <v>4</v>
      </c>
      <c r="V21" s="8"/>
      <c r="W21" s="26">
        <v>3.3999999999999999</v>
      </c>
      <c r="X21" s="8"/>
      <c r="Y21" s="26">
        <v>2.7000000000000002</v>
      </c>
      <c r="Z21" s="8"/>
      <c r="AA21" s="26">
        <v>2</v>
      </c>
      <c r="AB21" s="8"/>
    </row>
    <row r="22" ht="12" customHeight="1">
      <c r="A22" s="8" t="s">
        <v>105</v>
      </c>
      <c r="B22" s="8" t="s">
        <v>346</v>
      </c>
      <c r="C22" s="26">
        <v>5.2999999999999998</v>
      </c>
      <c r="D22" s="8"/>
      <c r="E22" s="26">
        <v>5.2999999999999998</v>
      </c>
      <c r="F22" s="8"/>
      <c r="G22" s="26">
        <v>5.2999999999999998</v>
      </c>
      <c r="H22" s="8"/>
      <c r="I22" s="26">
        <v>5.4000000000000004</v>
      </c>
      <c r="J22" s="8"/>
      <c r="K22" s="26">
        <v>5.4000000000000004</v>
      </c>
      <c r="L22" s="8"/>
      <c r="M22" s="26">
        <v>5.2999999999999998</v>
      </c>
      <c r="N22" s="8"/>
      <c r="O22" s="26">
        <v>5.2000000000000002</v>
      </c>
      <c r="P22" s="8"/>
      <c r="Q22" s="26">
        <v>4.9000000000000004</v>
      </c>
      <c r="R22" s="8"/>
      <c r="S22" s="26">
        <v>4.5</v>
      </c>
      <c r="T22" s="8"/>
      <c r="U22" s="26">
        <v>4</v>
      </c>
      <c r="V22" s="8"/>
      <c r="W22" s="26">
        <v>3.3999999999999999</v>
      </c>
      <c r="X22" s="8"/>
      <c r="Y22" s="26">
        <v>2.7000000000000002</v>
      </c>
      <c r="Z22" s="8"/>
      <c r="AA22" s="26">
        <v>2</v>
      </c>
      <c r="AB22" s="8"/>
    </row>
    <row r="23" ht="12" customHeight="1">
      <c r="A23" s="8" t="s">
        <v>107</v>
      </c>
      <c r="B23" s="8" t="s">
        <v>347</v>
      </c>
      <c r="C23" s="26">
        <v>7.5</v>
      </c>
      <c r="D23" s="8"/>
      <c r="E23" s="26">
        <v>5.5</v>
      </c>
      <c r="F23" s="8"/>
      <c r="G23" s="26">
        <v>5.2000000000000002</v>
      </c>
      <c r="H23" s="8"/>
      <c r="I23" s="26">
        <v>3.7999999999999998</v>
      </c>
      <c r="J23" s="8"/>
      <c r="K23" s="26">
        <v>2.6000000000000001</v>
      </c>
      <c r="L23" s="8"/>
      <c r="M23" s="26">
        <v>2.7999999999999998</v>
      </c>
      <c r="N23" s="8"/>
      <c r="O23" s="26">
        <v>2.3999999999999999</v>
      </c>
      <c r="P23" s="8"/>
      <c r="Q23" s="26">
        <v>2.6000000000000001</v>
      </c>
      <c r="R23" s="8"/>
      <c r="S23" s="26">
        <v>2.3999999999999999</v>
      </c>
      <c r="T23" s="8"/>
      <c r="U23" s="26">
        <v>2.8999999999999999</v>
      </c>
      <c r="V23" s="8"/>
      <c r="W23" s="26">
        <v>1.7</v>
      </c>
      <c r="X23" s="8"/>
      <c r="Y23" s="26">
        <v>1.3999999999999999</v>
      </c>
      <c r="Z23" s="8"/>
      <c r="AA23" s="26">
        <v>2.3999999999999999</v>
      </c>
      <c r="AB23" s="8"/>
    </row>
    <row r="24" ht="12" customHeight="1">
      <c r="A24" s="8" t="s">
        <v>109</v>
      </c>
      <c r="B24" s="8" t="s">
        <v>348</v>
      </c>
      <c r="C24" s="26">
        <v>7.2999999999999998</v>
      </c>
      <c r="D24" s="8"/>
      <c r="E24" s="26">
        <v>7.2999999999999998</v>
      </c>
      <c r="F24" s="8"/>
      <c r="G24" s="26">
        <v>7.2999999999999998</v>
      </c>
      <c r="H24" s="8"/>
      <c r="I24" s="26">
        <v>9.6999999999999993</v>
      </c>
      <c r="J24" s="8"/>
      <c r="K24" s="26">
        <v>9.6999999999999993</v>
      </c>
      <c r="L24" s="8"/>
      <c r="M24" s="26">
        <v>9.6999999999999993</v>
      </c>
      <c r="N24" s="8"/>
      <c r="O24" s="26">
        <v>9.6999999999999993</v>
      </c>
      <c r="P24" s="8"/>
      <c r="Q24" s="26">
        <v>12.300000000000001</v>
      </c>
      <c r="R24" s="8"/>
      <c r="S24" s="26">
        <v>12.4</v>
      </c>
      <c r="T24" s="8"/>
      <c r="U24" s="26">
        <v>12.4</v>
      </c>
      <c r="V24" s="8"/>
      <c r="W24" s="26">
        <v>12.300000000000001</v>
      </c>
      <c r="X24" s="8"/>
      <c r="Y24" s="26">
        <v>8.5</v>
      </c>
      <c r="Z24" s="8"/>
      <c r="AA24" s="26">
        <v>8.5</v>
      </c>
      <c r="AB24" s="8"/>
    </row>
    <row r="25" ht="12" customHeight="1">
      <c r="A25" s="8" t="s">
        <v>111</v>
      </c>
      <c r="B25" s="8" t="s">
        <v>349</v>
      </c>
      <c r="C25" s="26">
        <v>7.4000000000000004</v>
      </c>
      <c r="D25" s="8"/>
      <c r="E25" s="26">
        <v>7.4000000000000004</v>
      </c>
      <c r="F25" s="8"/>
      <c r="G25" s="26">
        <v>7.4000000000000004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12.5</v>
      </c>
      <c r="R25" s="8"/>
      <c r="S25" s="26">
        <v>12.5</v>
      </c>
      <c r="T25" s="8"/>
      <c r="U25" s="26">
        <v>12.5</v>
      </c>
      <c r="V25" s="8"/>
      <c r="W25" s="26">
        <v>12.5</v>
      </c>
      <c r="X25" s="8"/>
      <c r="Y25" s="26">
        <v>8.8000000000000007</v>
      </c>
      <c r="Z25" s="8"/>
      <c r="AA25" s="26">
        <v>8.8000000000000007</v>
      </c>
      <c r="AB25" s="8"/>
    </row>
    <row r="26" ht="12" customHeight="1">
      <c r="A26" s="8" t="s">
        <v>113</v>
      </c>
      <c r="B26" s="8" t="s">
        <v>350</v>
      </c>
      <c r="C26" s="26">
        <v>2.7999999999999998</v>
      </c>
      <c r="D26" s="8"/>
      <c r="E26" s="26">
        <v>3.7000000000000002</v>
      </c>
      <c r="F26" s="8"/>
      <c r="G26" s="26">
        <v>4.7000000000000002</v>
      </c>
      <c r="H26" s="8"/>
      <c r="I26" s="26">
        <v>4.9000000000000004</v>
      </c>
      <c r="J26" s="8"/>
      <c r="K26" s="26">
        <v>5.7999999999999998</v>
      </c>
      <c r="L26" s="8"/>
      <c r="M26" s="26">
        <v>4.2000000000000002</v>
      </c>
      <c r="N26" s="8"/>
      <c r="O26" s="26">
        <v>4.2000000000000002</v>
      </c>
      <c r="P26" s="8"/>
      <c r="Q26" s="26">
        <v>6.2000000000000002</v>
      </c>
      <c r="R26" s="8"/>
      <c r="S26" s="26">
        <v>5.0999999999999996</v>
      </c>
      <c r="T26" s="8"/>
      <c r="U26" s="26">
        <v>6.9000000000000004</v>
      </c>
      <c r="V26" s="8"/>
      <c r="W26" s="26">
        <v>9</v>
      </c>
      <c r="X26" s="8"/>
      <c r="Y26" s="26">
        <v>11.300000000000001</v>
      </c>
      <c r="Z26" s="8"/>
      <c r="AA26" s="26">
        <v>12.1</v>
      </c>
      <c r="AB26" s="8"/>
    </row>
    <row r="27" ht="12" customHeight="1">
      <c r="A27" s="8" t="s">
        <v>115</v>
      </c>
      <c r="B27" s="8" t="s">
        <v>351</v>
      </c>
      <c r="C27" s="26">
        <v>2.2999999999999998</v>
      </c>
      <c r="D27" s="8"/>
      <c r="E27" s="26">
        <v>3.2000000000000002</v>
      </c>
      <c r="F27" s="8"/>
      <c r="G27" s="26">
        <v>4.2000000000000002</v>
      </c>
      <c r="H27" s="8"/>
      <c r="I27" s="26">
        <v>3.8999999999999999</v>
      </c>
      <c r="J27" s="8"/>
      <c r="K27" s="26">
        <v>4.9000000000000004</v>
      </c>
      <c r="L27" s="8"/>
      <c r="M27" s="26">
        <v>3.3999999999999999</v>
      </c>
      <c r="N27" s="8"/>
      <c r="O27" s="26">
        <v>3.7000000000000002</v>
      </c>
      <c r="P27" s="8"/>
      <c r="Q27" s="26">
        <v>6.0999999999999996</v>
      </c>
      <c r="R27" s="8"/>
      <c r="S27" s="26">
        <v>4.7999999999999998</v>
      </c>
      <c r="T27" s="8"/>
      <c r="U27" s="26">
        <v>6.4000000000000004</v>
      </c>
      <c r="V27" s="8"/>
      <c r="W27" s="26">
        <v>8.5</v>
      </c>
      <c r="X27" s="8"/>
      <c r="Y27" s="26">
        <v>11.300000000000001</v>
      </c>
      <c r="Z27" s="8"/>
      <c r="AA27" s="26">
        <v>12.1</v>
      </c>
      <c r="AB27" s="8"/>
    </row>
    <row r="28" ht="12" customHeight="1">
      <c r="A28" s="11" t="s">
        <v>117</v>
      </c>
      <c r="B28" s="8" t="s">
        <v>352</v>
      </c>
      <c r="C28" s="26">
        <v>8.1999999999999993</v>
      </c>
      <c r="D28" s="8"/>
      <c r="E28" s="26">
        <v>7.2000000000000002</v>
      </c>
      <c r="F28" s="8"/>
      <c r="G28" s="26">
        <v>7.2000000000000002</v>
      </c>
      <c r="H28" s="8"/>
      <c r="I28" s="26">
        <v>4</v>
      </c>
      <c r="J28" s="8"/>
      <c r="K28" s="26">
        <v>1.6000000000000001</v>
      </c>
      <c r="L28" s="8"/>
      <c r="M28" s="26">
        <v>0.80000000000000004</v>
      </c>
      <c r="N28" s="8"/>
      <c r="O28" s="26">
        <v>-1.2</v>
      </c>
      <c r="P28" s="8"/>
      <c r="Q28" s="26">
        <v>0.29999999999999999</v>
      </c>
      <c r="R28" s="8"/>
      <c r="S28" s="26">
        <v>-0.80000000000000004</v>
      </c>
      <c r="T28" s="8"/>
      <c r="U28" s="26">
        <v>-0.29999999999999999</v>
      </c>
      <c r="V28" s="8"/>
      <c r="W28" s="26">
        <v>-0.29999999999999999</v>
      </c>
      <c r="X28" s="8"/>
      <c r="Y28" s="26">
        <v>-1.3</v>
      </c>
      <c r="Z28" s="8"/>
      <c r="AA28" s="26">
        <v>-0.5</v>
      </c>
      <c r="AB28" s="8"/>
    </row>
    <row r="29" ht="12" customHeight="1">
      <c r="A29" s="8" t="s">
        <v>119</v>
      </c>
      <c r="B29" s="8" t="s">
        <v>353</v>
      </c>
      <c r="C29" s="26">
        <v>7.5</v>
      </c>
      <c r="D29" s="8"/>
      <c r="E29" s="26">
        <v>6.7999999999999998</v>
      </c>
      <c r="F29" s="8"/>
      <c r="G29" s="26">
        <v>7.5</v>
      </c>
      <c r="H29" s="8"/>
      <c r="I29" s="26">
        <v>2.8999999999999999</v>
      </c>
      <c r="J29" s="8"/>
      <c r="K29" s="26">
        <v>-1.5</v>
      </c>
      <c r="L29" s="8"/>
      <c r="M29" s="26">
        <v>-4</v>
      </c>
      <c r="N29" s="8"/>
      <c r="O29" s="26">
        <v>-5.4000000000000004</v>
      </c>
      <c r="P29" s="8"/>
      <c r="Q29" s="26">
        <v>-1.7</v>
      </c>
      <c r="R29" s="8"/>
      <c r="S29" s="26">
        <v>-1.5</v>
      </c>
      <c r="T29" s="8"/>
      <c r="U29" s="26">
        <v>2.2000000000000002</v>
      </c>
      <c r="V29" s="8"/>
      <c r="W29" s="26">
        <v>0.20000000000000001</v>
      </c>
      <c r="X29" s="8"/>
      <c r="Y29" s="26">
        <v>-2.6000000000000001</v>
      </c>
      <c r="Z29" s="8"/>
      <c r="AA29" s="26">
        <v>-0.59999999999999998</v>
      </c>
      <c r="AB29" s="8"/>
    </row>
    <row r="30" ht="12" customHeight="1">
      <c r="A30" s="8" t="s">
        <v>121</v>
      </c>
      <c r="B30" s="8" t="s">
        <v>354</v>
      </c>
      <c r="C30" s="26">
        <v>3.1000000000000001</v>
      </c>
      <c r="D30" s="8"/>
      <c r="E30" s="26">
        <v>6.2000000000000002</v>
      </c>
      <c r="F30" s="8"/>
      <c r="G30" s="26">
        <v>0.69999999999999996</v>
      </c>
      <c r="H30" s="8"/>
      <c r="I30" s="26">
        <v>1.5</v>
      </c>
      <c r="J30" s="8"/>
      <c r="K30" s="26">
        <v>3.3999999999999999</v>
      </c>
      <c r="L30" s="8"/>
      <c r="M30" s="26">
        <v>0.40000000000000002</v>
      </c>
      <c r="N30" s="8"/>
      <c r="O30" s="26">
        <v>7.0999999999999996</v>
      </c>
      <c r="P30" s="8"/>
      <c r="Q30" s="26">
        <v>8.1999999999999993</v>
      </c>
      <c r="R30" s="8"/>
      <c r="S30" s="26">
        <v>-2.5</v>
      </c>
      <c r="T30" s="8"/>
      <c r="U30" s="26">
        <v>2.1000000000000001</v>
      </c>
      <c r="V30" s="8"/>
      <c r="W30" s="26">
        <v>-0.29999999999999999</v>
      </c>
      <c r="X30" s="8"/>
      <c r="Y30" s="26">
        <v>-0.10000000000000001</v>
      </c>
      <c r="Z30" s="8"/>
      <c r="AA30" s="26">
        <v>4.7999999999999998</v>
      </c>
      <c r="AB30" s="8"/>
    </row>
    <row r="31" ht="12" customHeight="1">
      <c r="A31" s="8" t="s">
        <v>123</v>
      </c>
      <c r="B31" s="8" t="s">
        <v>355</v>
      </c>
      <c r="C31" s="26">
        <v>5</v>
      </c>
      <c r="D31" s="8"/>
      <c r="E31" s="26">
        <v>2.2999999999999998</v>
      </c>
      <c r="F31" s="8"/>
      <c r="G31" s="26">
        <v>3.6000000000000001</v>
      </c>
      <c r="H31" s="8"/>
      <c r="I31" s="26">
        <v>1.6000000000000001</v>
      </c>
      <c r="J31" s="8"/>
      <c r="K31" s="26">
        <v>0.5</v>
      </c>
      <c r="L31" s="8"/>
      <c r="M31" s="26">
        <v>0.5</v>
      </c>
      <c r="N31" s="8"/>
      <c r="O31" s="26">
        <v>-3</v>
      </c>
      <c r="P31" s="8"/>
      <c r="Q31" s="26">
        <v>-2.8999999999999999</v>
      </c>
      <c r="R31" s="8"/>
      <c r="S31" s="26">
        <v>-2.1000000000000001</v>
      </c>
      <c r="T31" s="8"/>
      <c r="U31" s="26">
        <v>-2.3999999999999999</v>
      </c>
      <c r="V31" s="8"/>
      <c r="W31" s="26">
        <v>-1.5</v>
      </c>
      <c r="X31" s="8"/>
      <c r="Y31" s="26">
        <v>-1</v>
      </c>
      <c r="Z31" s="8"/>
      <c r="AA31" s="26">
        <v>-1.2</v>
      </c>
      <c r="AB31" s="8"/>
    </row>
    <row r="32" ht="12" customHeight="1">
      <c r="A32" s="8" t="s">
        <v>125</v>
      </c>
      <c r="B32" s="8" t="s">
        <v>356</v>
      </c>
      <c r="C32" s="26">
        <v>12.4</v>
      </c>
      <c r="D32" s="8"/>
      <c r="E32" s="26">
        <v>7.9000000000000004</v>
      </c>
      <c r="F32" s="8"/>
      <c r="G32" s="26">
        <v>7.4000000000000004</v>
      </c>
      <c r="H32" s="8"/>
      <c r="I32" s="26">
        <v>4.0999999999999996</v>
      </c>
      <c r="J32" s="8"/>
      <c r="K32" s="26">
        <v>3.3999999999999999</v>
      </c>
      <c r="L32" s="8"/>
      <c r="M32" s="26">
        <v>8.0999999999999996</v>
      </c>
      <c r="N32" s="8"/>
      <c r="O32" s="26">
        <v>3.2999999999999998</v>
      </c>
      <c r="P32" s="8"/>
      <c r="Q32" s="26">
        <v>2.1000000000000001</v>
      </c>
      <c r="R32" s="8"/>
      <c r="S32" s="26">
        <v>-2.6000000000000001</v>
      </c>
      <c r="T32" s="8"/>
      <c r="U32" s="26">
        <v>-1.3</v>
      </c>
      <c r="V32" s="8"/>
      <c r="W32" s="26">
        <v>-0.59999999999999998</v>
      </c>
      <c r="X32" s="8"/>
      <c r="Y32" s="26">
        <v>1</v>
      </c>
      <c r="Z32" s="8"/>
      <c r="AA32" s="26">
        <v>-2.7999999999999998</v>
      </c>
      <c r="AB32" s="8"/>
    </row>
    <row r="33" ht="12" customHeight="1">
      <c r="A33" s="8" t="s">
        <v>127</v>
      </c>
      <c r="B33" s="8" t="s">
        <v>357</v>
      </c>
      <c r="C33" s="26">
        <v>11.800000000000001</v>
      </c>
      <c r="D33" s="8"/>
      <c r="E33" s="26">
        <v>10.5</v>
      </c>
      <c r="F33" s="8"/>
      <c r="G33" s="26">
        <v>10.1</v>
      </c>
      <c r="H33" s="8"/>
      <c r="I33" s="26">
        <v>7.5</v>
      </c>
      <c r="J33" s="8"/>
      <c r="K33" s="26">
        <v>4.5</v>
      </c>
      <c r="L33" s="8"/>
      <c r="M33" s="26">
        <v>4.9000000000000004</v>
      </c>
      <c r="N33" s="8"/>
      <c r="O33" s="26">
        <v>-3.2000000000000002</v>
      </c>
      <c r="P33" s="8"/>
      <c r="Q33" s="26">
        <v>-3.8999999999999999</v>
      </c>
      <c r="R33" s="8"/>
      <c r="S33" s="26">
        <v>-4</v>
      </c>
      <c r="T33" s="8"/>
      <c r="U33" s="26">
        <v>-6</v>
      </c>
      <c r="V33" s="8"/>
      <c r="W33" s="26">
        <v>-1.3999999999999999</v>
      </c>
      <c r="X33" s="8"/>
      <c r="Y33" s="26">
        <v>-0.29999999999999999</v>
      </c>
      <c r="Z33" s="8"/>
      <c r="AA33" s="26">
        <v>-2.2999999999999998</v>
      </c>
      <c r="AB33" s="8"/>
    </row>
    <row r="34" ht="12" customHeight="1">
      <c r="A34" s="8" t="s">
        <v>129</v>
      </c>
      <c r="B34" s="8" t="s">
        <v>358</v>
      </c>
      <c r="C34" s="26">
        <v>11.1</v>
      </c>
      <c r="D34" s="8"/>
      <c r="E34" s="26">
        <v>10.300000000000001</v>
      </c>
      <c r="F34" s="8"/>
      <c r="G34" s="26">
        <v>11</v>
      </c>
      <c r="H34" s="8"/>
      <c r="I34" s="26">
        <v>6.4000000000000004</v>
      </c>
      <c r="J34" s="8"/>
      <c r="K34" s="26">
        <v>3.1000000000000001</v>
      </c>
      <c r="L34" s="8"/>
      <c r="M34" s="26">
        <v>2.1000000000000001</v>
      </c>
      <c r="N34" s="8"/>
      <c r="O34" s="26">
        <v>0.59999999999999998</v>
      </c>
      <c r="P34" s="8"/>
      <c r="Q34" s="26">
        <v>2.7000000000000002</v>
      </c>
      <c r="R34" s="8"/>
      <c r="S34" s="26">
        <v>2.6000000000000001</v>
      </c>
      <c r="T34" s="8"/>
      <c r="U34" s="26">
        <v>0.80000000000000004</v>
      </c>
      <c r="V34" s="8"/>
      <c r="W34" s="26">
        <v>1.6000000000000001</v>
      </c>
      <c r="X34" s="8"/>
      <c r="Y34" s="26">
        <v>-0.5</v>
      </c>
      <c r="Z34" s="8"/>
      <c r="AA34" s="26">
        <v>-0.20000000000000001</v>
      </c>
      <c r="AB34" s="8"/>
    </row>
    <row r="35" ht="12" customHeight="1">
      <c r="A35" s="11" t="s">
        <v>131</v>
      </c>
      <c r="B35" s="8" t="s">
        <v>359</v>
      </c>
      <c r="C35" s="26">
        <v>5.9000000000000004</v>
      </c>
      <c r="D35" s="8"/>
      <c r="E35" s="26">
        <v>5.2000000000000002</v>
      </c>
      <c r="F35" s="8"/>
      <c r="G35" s="26">
        <v>5.0999999999999996</v>
      </c>
      <c r="H35" s="8"/>
      <c r="I35" s="26">
        <v>1</v>
      </c>
      <c r="J35" s="8"/>
      <c r="K35" s="26">
        <v>1.2</v>
      </c>
      <c r="L35" s="8"/>
      <c r="M35" s="26">
        <v>2.7000000000000002</v>
      </c>
      <c r="N35" s="8"/>
      <c r="O35" s="26">
        <v>1.5</v>
      </c>
      <c r="P35" s="8"/>
      <c r="Q35" s="26">
        <v>9.9000000000000004</v>
      </c>
      <c r="R35" s="8"/>
      <c r="S35" s="26">
        <v>7.5</v>
      </c>
      <c r="T35" s="8"/>
      <c r="U35" s="26">
        <v>5.7999999999999998</v>
      </c>
      <c r="V35" s="8"/>
      <c r="W35" s="26">
        <v>5.7000000000000002</v>
      </c>
      <c r="X35" s="8"/>
      <c r="Y35" s="26">
        <v>0.80000000000000004</v>
      </c>
      <c r="Z35" s="8"/>
      <c r="AA35" s="26">
        <v>1.1000000000000001</v>
      </c>
      <c r="AB35" s="8"/>
    </row>
    <row r="36" ht="12" customHeight="1">
      <c r="A36" s="8" t="s">
        <v>133</v>
      </c>
      <c r="B36" s="8" t="s">
        <v>360</v>
      </c>
      <c r="C36" s="26">
        <v>6.5</v>
      </c>
      <c r="D36" s="8"/>
      <c r="E36" s="26">
        <v>4</v>
      </c>
      <c r="F36" s="8"/>
      <c r="G36" s="26">
        <v>5.0999999999999996</v>
      </c>
      <c r="H36" s="8"/>
      <c r="I36" s="26">
        <v>-10.300000000000001</v>
      </c>
      <c r="J36" s="8"/>
      <c r="K36" s="26">
        <v>-11.9</v>
      </c>
      <c r="L36" s="8"/>
      <c r="M36" s="26">
        <v>-12.300000000000001</v>
      </c>
      <c r="N36" s="8"/>
      <c r="O36" s="26">
        <v>-12.699999999999999</v>
      </c>
      <c r="P36" s="8"/>
      <c r="Q36" s="26">
        <v>17.600000000000001</v>
      </c>
      <c r="R36" s="8"/>
      <c r="S36" s="26">
        <v>12.1</v>
      </c>
      <c r="T36" s="8"/>
      <c r="U36" s="26">
        <v>12.800000000000001</v>
      </c>
      <c r="V36" s="8"/>
      <c r="W36" s="26">
        <v>11.300000000000001</v>
      </c>
      <c r="X36" s="8"/>
      <c r="Y36" s="26">
        <v>-7.0999999999999996</v>
      </c>
      <c r="Z36" s="8"/>
      <c r="AA36" s="26">
        <v>-4.4000000000000004</v>
      </c>
      <c r="AB36" s="8"/>
    </row>
    <row r="37" ht="12" customHeight="1">
      <c r="A37" s="8" t="s">
        <v>135</v>
      </c>
      <c r="B37" s="8" t="s">
        <v>361</v>
      </c>
      <c r="C37" s="26">
        <v>5.2999999999999998</v>
      </c>
      <c r="D37" s="8"/>
      <c r="E37" s="26">
        <v>5.2000000000000002</v>
      </c>
      <c r="F37" s="8"/>
      <c r="G37" s="26">
        <v>5</v>
      </c>
      <c r="H37" s="8"/>
      <c r="I37" s="26">
        <v>4.9000000000000004</v>
      </c>
      <c r="J37" s="8"/>
      <c r="K37" s="26">
        <v>5.5</v>
      </c>
      <c r="L37" s="8"/>
      <c r="M37" s="26">
        <v>7.7000000000000002</v>
      </c>
      <c r="N37" s="8"/>
      <c r="O37" s="26">
        <v>6.4000000000000004</v>
      </c>
      <c r="P37" s="8"/>
      <c r="Q37" s="26">
        <v>6.4000000000000004</v>
      </c>
      <c r="R37" s="8"/>
      <c r="S37" s="26">
        <v>5.4000000000000004</v>
      </c>
      <c r="T37" s="8"/>
      <c r="U37" s="26">
        <v>3.1000000000000001</v>
      </c>
      <c r="V37" s="8"/>
      <c r="W37" s="26">
        <v>3.3999999999999999</v>
      </c>
      <c r="X37" s="8"/>
      <c r="Y37" s="26">
        <v>4</v>
      </c>
      <c r="Z37" s="8"/>
      <c r="AA37" s="26">
        <v>3.6000000000000001</v>
      </c>
      <c r="AB37" s="8"/>
    </row>
    <row r="38" ht="12" customHeight="1">
      <c r="A38" s="8" t="s">
        <v>137</v>
      </c>
      <c r="B38" s="8" t="s">
        <v>362</v>
      </c>
      <c r="C38" s="26">
        <v>8.4000000000000004</v>
      </c>
      <c r="D38" s="8"/>
      <c r="E38" s="26">
        <v>10.4</v>
      </c>
      <c r="F38" s="8"/>
      <c r="G38" s="26">
        <v>7.2000000000000002</v>
      </c>
      <c r="H38" s="8"/>
      <c r="I38" s="26">
        <v>9.9000000000000004</v>
      </c>
      <c r="J38" s="8"/>
      <c r="K38" s="26">
        <v>14</v>
      </c>
      <c r="L38" s="8"/>
      <c r="M38" s="26">
        <v>13.800000000000001</v>
      </c>
      <c r="N38" s="8"/>
      <c r="O38" s="26">
        <v>12</v>
      </c>
      <c r="P38" s="8"/>
      <c r="Q38" s="26">
        <v>15.5</v>
      </c>
      <c r="R38" s="8"/>
      <c r="S38" s="26">
        <v>11.1</v>
      </c>
      <c r="T38" s="8"/>
      <c r="U38" s="26">
        <v>9.4000000000000004</v>
      </c>
      <c r="V38" s="8"/>
      <c r="W38" s="26">
        <v>9.5</v>
      </c>
      <c r="X38" s="8"/>
      <c r="Y38" s="26">
        <v>3.7999999999999998</v>
      </c>
      <c r="Z38" s="8"/>
      <c r="AA38" s="26">
        <v>3.5</v>
      </c>
      <c r="AB38" s="8"/>
    </row>
    <row r="39" ht="12" customHeight="1">
      <c r="A39" s="11" t="s">
        <v>139</v>
      </c>
      <c r="B39" s="8" t="s">
        <v>363</v>
      </c>
      <c r="C39" s="26">
        <v>9</v>
      </c>
      <c r="D39" s="8"/>
      <c r="E39" s="26">
        <v>3.1000000000000001</v>
      </c>
      <c r="F39" s="8"/>
      <c r="G39" s="26">
        <v>-2.6000000000000001</v>
      </c>
      <c r="H39" s="8"/>
      <c r="I39" s="26">
        <v>4.4000000000000004</v>
      </c>
      <c r="J39" s="8"/>
      <c r="K39" s="26">
        <v>4.0999999999999996</v>
      </c>
      <c r="L39" s="8"/>
      <c r="M39" s="26">
        <v>3.2000000000000002</v>
      </c>
      <c r="N39" s="8"/>
      <c r="O39" s="26">
        <v>5.2999999999999998</v>
      </c>
      <c r="P39" s="8"/>
      <c r="Q39" s="26">
        <v>-4.5999999999999996</v>
      </c>
      <c r="R39" s="8"/>
      <c r="S39" s="26">
        <v>-3.7000000000000002</v>
      </c>
      <c r="T39" s="8"/>
      <c r="U39" s="26">
        <v>-0.10000000000000001</v>
      </c>
      <c r="V39" s="8"/>
      <c r="W39" s="26">
        <v>-1.2</v>
      </c>
      <c r="X39" s="8"/>
      <c r="Y39" s="26">
        <v>1.3999999999999999</v>
      </c>
      <c r="Z39" s="8"/>
      <c r="AA39" s="26">
        <v>2.7000000000000002</v>
      </c>
      <c r="AB39" s="8"/>
    </row>
    <row r="40" ht="12" customHeight="1">
      <c r="A40" s="8" t="s">
        <v>141</v>
      </c>
      <c r="B40" s="8" t="s">
        <v>364</v>
      </c>
      <c r="C40" s="26">
        <v>3.1000000000000001</v>
      </c>
      <c r="D40" s="8"/>
      <c r="E40" s="26">
        <v>2.1000000000000001</v>
      </c>
      <c r="F40" s="8"/>
      <c r="G40" s="26">
        <v>2.3999999999999999</v>
      </c>
      <c r="H40" s="8"/>
      <c r="I40" s="26">
        <v>5.5999999999999996</v>
      </c>
      <c r="J40" s="8"/>
      <c r="K40" s="26">
        <v>3.7000000000000002</v>
      </c>
      <c r="L40" s="8"/>
      <c r="M40" s="26">
        <v>0.59999999999999998</v>
      </c>
      <c r="N40" s="8"/>
      <c r="O40" s="26">
        <v>-2.2000000000000002</v>
      </c>
      <c r="P40" s="8"/>
      <c r="Q40" s="26">
        <v>-6.7000000000000002</v>
      </c>
      <c r="R40" s="8"/>
      <c r="S40" s="26">
        <v>-4.4000000000000004</v>
      </c>
      <c r="T40" s="8"/>
      <c r="U40" s="26">
        <v>-1.8</v>
      </c>
      <c r="V40" s="8"/>
      <c r="W40" s="26">
        <v>0.29999999999999999</v>
      </c>
      <c r="X40" s="8"/>
      <c r="Y40" s="26">
        <v>1.8</v>
      </c>
      <c r="Z40" s="8"/>
      <c r="AA40" s="26">
        <v>1.3999999999999999</v>
      </c>
      <c r="AB40" s="8"/>
    </row>
    <row r="41" ht="12" customHeight="1">
      <c r="A41" s="8" t="s">
        <v>143</v>
      </c>
      <c r="B41" s="8" t="s">
        <v>365</v>
      </c>
      <c r="C41" s="26">
        <v>4.4000000000000004</v>
      </c>
      <c r="D41" s="8"/>
      <c r="E41" s="26">
        <v>-3.6000000000000001</v>
      </c>
      <c r="F41" s="8"/>
      <c r="G41" s="26">
        <v>-9.3000000000000007</v>
      </c>
      <c r="H41" s="8"/>
      <c r="I41" s="26">
        <v>3.8999999999999999</v>
      </c>
      <c r="J41" s="8"/>
      <c r="K41" s="26">
        <v>8.9000000000000004</v>
      </c>
      <c r="L41" s="8"/>
      <c r="M41" s="26">
        <v>9.5</v>
      </c>
      <c r="N41" s="8"/>
      <c r="O41" s="26">
        <v>12.9</v>
      </c>
      <c r="P41" s="8"/>
      <c r="Q41" s="26">
        <v>-2.6000000000000001</v>
      </c>
      <c r="R41" s="8"/>
      <c r="S41" s="26">
        <v>-3.7999999999999998</v>
      </c>
      <c r="T41" s="8"/>
      <c r="U41" s="26">
        <v>0.5</v>
      </c>
      <c r="V41" s="8"/>
      <c r="W41" s="26">
        <v>-3.1000000000000001</v>
      </c>
      <c r="X41" s="8"/>
      <c r="Y41" s="26">
        <v>1.1000000000000001</v>
      </c>
      <c r="Z41" s="8"/>
      <c r="AA41" s="26">
        <v>3.5</v>
      </c>
      <c r="AB41" s="8"/>
    </row>
    <row r="42" ht="12" customHeight="1">
      <c r="A42" s="8" t="s">
        <v>145</v>
      </c>
      <c r="B42" s="8" t="s">
        <v>366</v>
      </c>
      <c r="C42" s="26">
        <v>2.1000000000000001</v>
      </c>
      <c r="D42" s="8"/>
      <c r="E42" s="26">
        <v>-8.5</v>
      </c>
      <c r="F42" s="8"/>
      <c r="G42" s="26">
        <v>-15.1</v>
      </c>
      <c r="H42" s="8"/>
      <c r="I42" s="26">
        <v>3.7999999999999998</v>
      </c>
      <c r="J42" s="8"/>
      <c r="K42" s="26">
        <v>11.9</v>
      </c>
      <c r="L42" s="8"/>
      <c r="M42" s="26">
        <v>12.1</v>
      </c>
      <c r="N42" s="8"/>
      <c r="O42" s="26">
        <v>14.6</v>
      </c>
      <c r="P42" s="8"/>
      <c r="Q42" s="26">
        <v>-7.5999999999999996</v>
      </c>
      <c r="R42" s="8"/>
      <c r="S42" s="26">
        <v>-8.9000000000000004</v>
      </c>
      <c r="T42" s="8"/>
      <c r="U42" s="26">
        <v>-2.2999999999999998</v>
      </c>
      <c r="V42" s="8"/>
      <c r="W42" s="26">
        <v>-7.5999999999999996</v>
      </c>
      <c r="X42" s="8"/>
      <c r="Y42" s="26">
        <v>-1.5</v>
      </c>
      <c r="Z42" s="8"/>
      <c r="AA42" s="26">
        <v>2.2000000000000002</v>
      </c>
      <c r="AB42" s="8"/>
    </row>
    <row r="43" ht="12" customHeight="1">
      <c r="A43" s="8" t="s">
        <v>147</v>
      </c>
      <c r="B43" s="8" t="s">
        <v>367</v>
      </c>
      <c r="C43" s="26">
        <v>24</v>
      </c>
      <c r="D43" s="8"/>
      <c r="E43" s="26">
        <v>33.200000000000003</v>
      </c>
      <c r="F43" s="8"/>
      <c r="G43" s="26">
        <v>20</v>
      </c>
      <c r="H43" s="8"/>
      <c r="I43" s="26">
        <v>5.2000000000000002</v>
      </c>
      <c r="J43" s="8"/>
      <c r="K43" s="26">
        <v>-10.1</v>
      </c>
      <c r="L43" s="8"/>
      <c r="M43" s="26">
        <v>-12.699999999999999</v>
      </c>
      <c r="N43" s="8"/>
      <c r="O43" s="26">
        <v>-8.8000000000000007</v>
      </c>
      <c r="P43" s="8"/>
      <c r="Q43" s="26">
        <v>-8.6999999999999993</v>
      </c>
      <c r="R43" s="8"/>
      <c r="S43" s="26">
        <v>-2.7000000000000002</v>
      </c>
      <c r="T43" s="8"/>
      <c r="U43" s="26">
        <v>0.29999999999999999</v>
      </c>
      <c r="V43" s="8"/>
      <c r="W43" s="26">
        <v>3.5</v>
      </c>
      <c r="X43" s="8"/>
      <c r="Y43" s="26">
        <v>2.6000000000000001</v>
      </c>
      <c r="Z43" s="8"/>
      <c r="AA43" s="26">
        <v>1.7</v>
      </c>
      <c r="AB43" s="8"/>
    </row>
    <row r="44" ht="12" customHeight="1">
      <c r="A44" s="11" t="s">
        <v>149</v>
      </c>
      <c r="B44" s="8" t="s">
        <v>368</v>
      </c>
      <c r="C44" s="26">
        <v>1.7</v>
      </c>
      <c r="D44" s="8"/>
      <c r="E44" s="26">
        <v>1.8999999999999999</v>
      </c>
      <c r="F44" s="8"/>
      <c r="G44" s="26">
        <v>2.6000000000000001</v>
      </c>
      <c r="H44" s="8"/>
      <c r="I44" s="26">
        <v>2.8999999999999999</v>
      </c>
      <c r="J44" s="8"/>
      <c r="K44" s="26">
        <v>4.2999999999999998</v>
      </c>
      <c r="L44" s="8"/>
      <c r="M44" s="26">
        <v>4.9000000000000004</v>
      </c>
      <c r="N44" s="8"/>
      <c r="O44" s="26">
        <v>5.5999999999999996</v>
      </c>
      <c r="P44" s="8"/>
      <c r="Q44" s="26">
        <v>4.2999999999999998</v>
      </c>
      <c r="R44" s="8"/>
      <c r="S44" s="26">
        <v>5.2000000000000002</v>
      </c>
      <c r="T44" s="8"/>
      <c r="U44" s="26">
        <v>5.5</v>
      </c>
      <c r="V44" s="8"/>
      <c r="W44" s="26">
        <v>5.2000000000000002</v>
      </c>
      <c r="X44" s="8"/>
      <c r="Y44" s="26">
        <v>5.7999999999999998</v>
      </c>
      <c r="Z44" s="8"/>
      <c r="AA44" s="26">
        <v>6.2999999999999998</v>
      </c>
      <c r="AB44" s="8"/>
    </row>
    <row r="45" ht="12" customHeight="1">
      <c r="A45" s="8" t="s">
        <v>151</v>
      </c>
      <c r="B45" s="8" t="s">
        <v>369</v>
      </c>
      <c r="C45" s="26">
        <v>11.199999999999999</v>
      </c>
      <c r="D45" s="8"/>
      <c r="E45" s="26">
        <v>10.9</v>
      </c>
      <c r="F45" s="8"/>
      <c r="G45" s="26">
        <v>8.5999999999999996</v>
      </c>
      <c r="H45" s="8"/>
      <c r="I45" s="26">
        <v>8.3000000000000007</v>
      </c>
      <c r="J45" s="8"/>
      <c r="K45" s="26">
        <v>8.0999999999999996</v>
      </c>
      <c r="L45" s="8"/>
      <c r="M45" s="26">
        <v>6.5999999999999996</v>
      </c>
      <c r="N45" s="8"/>
      <c r="O45" s="26">
        <v>6.7000000000000002</v>
      </c>
      <c r="P45" s="8"/>
      <c r="Q45" s="26">
        <v>1.8999999999999999</v>
      </c>
      <c r="R45" s="8"/>
      <c r="S45" s="26">
        <v>1.2</v>
      </c>
      <c r="T45" s="8"/>
      <c r="U45" s="26">
        <v>1.6000000000000001</v>
      </c>
      <c r="V45" s="8"/>
      <c r="W45" s="26">
        <v>3.1000000000000001</v>
      </c>
      <c r="X45" s="8"/>
      <c r="Y45" s="26">
        <v>7.9000000000000004</v>
      </c>
      <c r="Z45" s="8"/>
      <c r="AA45" s="26">
        <v>8.4000000000000004</v>
      </c>
      <c r="AB45" s="8"/>
    </row>
    <row r="46" ht="12" customHeight="1">
      <c r="A46" s="8" t="s">
        <v>153</v>
      </c>
      <c r="B46" s="8" t="s">
        <v>370</v>
      </c>
      <c r="C46" s="26">
        <v>-15.5</v>
      </c>
      <c r="D46" s="8"/>
      <c r="E46" s="26">
        <v>-10.4</v>
      </c>
      <c r="F46" s="8"/>
      <c r="G46" s="26">
        <v>-24.899999999999999</v>
      </c>
      <c r="H46" s="8"/>
      <c r="I46" s="26">
        <v>-14.6</v>
      </c>
      <c r="J46" s="8"/>
      <c r="K46" s="26">
        <v>-0.5</v>
      </c>
      <c r="L46" s="8"/>
      <c r="M46" s="26">
        <v>-5</v>
      </c>
      <c r="N46" s="8"/>
      <c r="O46" s="26">
        <v>14.300000000000001</v>
      </c>
      <c r="P46" s="8"/>
      <c r="Q46" s="26">
        <v>3.1000000000000001</v>
      </c>
      <c r="R46" s="8"/>
      <c r="S46" s="26">
        <v>-11</v>
      </c>
      <c r="T46" s="8"/>
      <c r="U46" s="26">
        <v>-13</v>
      </c>
      <c r="V46" s="8"/>
      <c r="W46" s="26">
        <v>-25.5</v>
      </c>
      <c r="X46" s="8"/>
      <c r="Y46" s="26">
        <v>-15.1</v>
      </c>
      <c r="Z46" s="8"/>
      <c r="AA46" s="26">
        <v>-5.4000000000000004</v>
      </c>
      <c r="AB46" s="8"/>
    </row>
    <row r="47" ht="12" customHeight="1">
      <c r="A47" s="8" t="s">
        <v>155</v>
      </c>
      <c r="B47" s="8" t="s">
        <v>371</v>
      </c>
      <c r="C47" s="26">
        <v>2.1000000000000001</v>
      </c>
      <c r="D47" s="8"/>
      <c r="E47" s="26">
        <v>2.1000000000000001</v>
      </c>
      <c r="F47" s="8"/>
      <c r="G47" s="26">
        <v>3.6000000000000001</v>
      </c>
      <c r="H47" s="8"/>
      <c r="I47" s="26">
        <v>3.2999999999999998</v>
      </c>
      <c r="J47" s="8"/>
      <c r="K47" s="26">
        <v>4.4000000000000004</v>
      </c>
      <c r="L47" s="8"/>
      <c r="M47" s="26">
        <v>5.0999999999999996</v>
      </c>
      <c r="N47" s="8"/>
      <c r="O47" s="26">
        <v>5.2999999999999998</v>
      </c>
      <c r="P47" s="8"/>
      <c r="Q47" s="26">
        <v>4.4000000000000004</v>
      </c>
      <c r="R47" s="8"/>
      <c r="S47" s="26">
        <v>5.9000000000000004</v>
      </c>
      <c r="T47" s="8"/>
      <c r="U47" s="26">
        <v>6.7000000000000002</v>
      </c>
      <c r="V47" s="8"/>
      <c r="W47" s="26">
        <v>7.0999999999999996</v>
      </c>
      <c r="X47" s="8"/>
      <c r="Y47" s="26">
        <v>7.0999999999999996</v>
      </c>
      <c r="Z47" s="8"/>
      <c r="AA47" s="26">
        <v>7</v>
      </c>
      <c r="AB47" s="8"/>
    </row>
    <row r="48" ht="12" customHeight="1">
      <c r="A48" s="11" t="s">
        <v>157</v>
      </c>
      <c r="B48" s="8" t="s">
        <v>372</v>
      </c>
      <c r="C48" s="26">
        <v>5.0999999999999996</v>
      </c>
      <c r="D48" s="8"/>
      <c r="E48" s="26">
        <v>6.0999999999999996</v>
      </c>
      <c r="F48" s="8"/>
      <c r="G48" s="26">
        <v>6.2999999999999998</v>
      </c>
      <c r="H48" s="8"/>
      <c r="I48" s="26">
        <v>6.4000000000000004</v>
      </c>
      <c r="J48" s="8"/>
      <c r="K48" s="26">
        <v>5.0999999999999996</v>
      </c>
      <c r="L48" s="8"/>
      <c r="M48" s="26">
        <v>6.9000000000000004</v>
      </c>
      <c r="N48" s="8"/>
      <c r="O48" s="26">
        <v>5.2000000000000002</v>
      </c>
      <c r="P48" s="8"/>
      <c r="Q48" s="26">
        <v>3.6000000000000001</v>
      </c>
      <c r="R48" s="8"/>
      <c r="S48" s="26">
        <v>4</v>
      </c>
      <c r="T48" s="8"/>
      <c r="U48" s="26">
        <v>1.2</v>
      </c>
      <c r="V48" s="8"/>
      <c r="W48" s="26">
        <v>2.2999999999999998</v>
      </c>
      <c r="X48" s="8"/>
      <c r="Y48" s="26">
        <v>3.2999999999999998</v>
      </c>
      <c r="Z48" s="8"/>
      <c r="AA48" s="26">
        <v>2.6000000000000001</v>
      </c>
      <c r="AB48" s="8"/>
    </row>
    <row r="49" ht="12" customHeight="1">
      <c r="A49" s="8" t="s">
        <v>159</v>
      </c>
      <c r="B49" s="8" t="s">
        <v>373</v>
      </c>
      <c r="C49" s="26">
        <v>-8.5999999999999996</v>
      </c>
      <c r="D49" s="8"/>
      <c r="E49" s="26">
        <v>-5.7000000000000002</v>
      </c>
      <c r="F49" s="8"/>
      <c r="G49" s="26">
        <v>-8.8000000000000007</v>
      </c>
      <c r="H49" s="8"/>
      <c r="I49" s="26">
        <v>-10.4</v>
      </c>
      <c r="J49" s="8"/>
      <c r="K49" s="26">
        <v>-9.1999999999999993</v>
      </c>
      <c r="L49" s="8"/>
      <c r="M49" s="26">
        <v>-13.4</v>
      </c>
      <c r="N49" s="8"/>
      <c r="O49" s="26">
        <v>-9.9000000000000004</v>
      </c>
      <c r="P49" s="8"/>
      <c r="Q49" s="26">
        <v>-9.3000000000000007</v>
      </c>
      <c r="R49" s="8"/>
      <c r="S49" s="26">
        <v>-9.9000000000000004</v>
      </c>
      <c r="T49" s="8"/>
      <c r="U49" s="26">
        <v>-7.5999999999999996</v>
      </c>
      <c r="V49" s="8"/>
      <c r="W49" s="26">
        <v>-8.6999999999999993</v>
      </c>
      <c r="X49" s="8"/>
      <c r="Y49" s="26">
        <v>-9.6999999999999993</v>
      </c>
      <c r="Z49" s="8"/>
      <c r="AA49" s="26">
        <v>-10.699999999999999</v>
      </c>
      <c r="AB49" s="8"/>
    </row>
    <row r="50" ht="12" customHeight="1">
      <c r="A50" s="8" t="s">
        <v>161</v>
      </c>
      <c r="B50" s="8" t="s">
        <v>374</v>
      </c>
      <c r="C50" s="26">
        <v>8.0999999999999996</v>
      </c>
      <c r="D50" s="8"/>
      <c r="E50" s="26">
        <v>7.7999999999999998</v>
      </c>
      <c r="F50" s="8"/>
      <c r="G50" s="26">
        <v>2.2999999999999998</v>
      </c>
      <c r="H50" s="8"/>
      <c r="I50" s="26">
        <v>2.7999999999999998</v>
      </c>
      <c r="J50" s="8"/>
      <c r="K50" s="26">
        <v>0.20000000000000001</v>
      </c>
      <c r="L50" s="8"/>
      <c r="M50" s="26">
        <v>1.5</v>
      </c>
      <c r="N50" s="8"/>
      <c r="O50" s="26">
        <v>1.7</v>
      </c>
      <c r="P50" s="8"/>
      <c r="Q50" s="26">
        <v>-1.2</v>
      </c>
      <c r="R50" s="8"/>
      <c r="S50" s="26">
        <v>0.29999999999999999</v>
      </c>
      <c r="T50" s="8"/>
      <c r="U50" s="26">
        <v>-0.90000000000000002</v>
      </c>
      <c r="V50" s="8"/>
      <c r="W50" s="26">
        <v>1.1000000000000001</v>
      </c>
      <c r="X50" s="8"/>
      <c r="Y50" s="26">
        <v>2.8999999999999999</v>
      </c>
      <c r="Z50" s="8"/>
      <c r="AA50" s="26">
        <v>3</v>
      </c>
      <c r="AB50" s="8"/>
    </row>
    <row r="51" ht="12" customHeight="1">
      <c r="A51" s="8" t="s">
        <v>163</v>
      </c>
      <c r="B51" s="8" t="s">
        <v>375</v>
      </c>
      <c r="C51" s="26">
        <v>7.7999999999999998</v>
      </c>
      <c r="D51" s="8"/>
      <c r="E51" s="26">
        <v>8</v>
      </c>
      <c r="F51" s="8"/>
      <c r="G51" s="26">
        <v>10.5</v>
      </c>
      <c r="H51" s="8"/>
      <c r="I51" s="26">
        <v>8.6999999999999993</v>
      </c>
      <c r="J51" s="8"/>
      <c r="K51" s="26">
        <v>7</v>
      </c>
      <c r="L51" s="8"/>
      <c r="M51" s="26">
        <v>5.7000000000000002</v>
      </c>
      <c r="N51" s="8"/>
      <c r="O51" s="26">
        <v>1</v>
      </c>
      <c r="P51" s="8"/>
      <c r="Q51" s="26">
        <v>0.5</v>
      </c>
      <c r="R51" s="8"/>
      <c r="S51" s="26">
        <v>0.69999999999999996</v>
      </c>
      <c r="T51" s="8"/>
      <c r="U51" s="26">
        <v>0</v>
      </c>
      <c r="V51" s="8"/>
      <c r="W51" s="26">
        <v>-1.3</v>
      </c>
      <c r="X51" s="8"/>
      <c r="Y51" s="26">
        <v>-0.40000000000000002</v>
      </c>
      <c r="Z51" s="8"/>
      <c r="AA51" s="26">
        <v>-0.59999999999999998</v>
      </c>
      <c r="AB51" s="8"/>
    </row>
    <row r="52" ht="12" customHeight="1">
      <c r="A52" s="8" t="s">
        <v>165</v>
      </c>
      <c r="B52" s="8" t="s">
        <v>376</v>
      </c>
      <c r="C52" s="26">
        <v>1.8</v>
      </c>
      <c r="D52" s="8"/>
      <c r="E52" s="26">
        <v>2.8999999999999999</v>
      </c>
      <c r="F52" s="8"/>
      <c r="G52" s="26">
        <v>2.6000000000000001</v>
      </c>
      <c r="H52" s="8"/>
      <c r="I52" s="26">
        <v>5.2999999999999998</v>
      </c>
      <c r="J52" s="8"/>
      <c r="K52" s="26">
        <v>5.5999999999999996</v>
      </c>
      <c r="L52" s="8"/>
      <c r="M52" s="26">
        <v>8.4000000000000004</v>
      </c>
      <c r="N52" s="8"/>
      <c r="O52" s="26">
        <v>9.9000000000000004</v>
      </c>
      <c r="P52" s="8"/>
      <c r="Q52" s="26">
        <v>7.9000000000000004</v>
      </c>
      <c r="R52" s="8"/>
      <c r="S52" s="26">
        <v>6.5999999999999996</v>
      </c>
      <c r="T52" s="8"/>
      <c r="U52" s="26">
        <v>3</v>
      </c>
      <c r="V52" s="8"/>
      <c r="W52" s="26">
        <v>6.7999999999999998</v>
      </c>
      <c r="X52" s="8"/>
      <c r="Y52" s="26">
        <v>8.3000000000000007</v>
      </c>
      <c r="Z52" s="8"/>
      <c r="AA52" s="26">
        <v>7</v>
      </c>
      <c r="AB52" s="8"/>
    </row>
    <row r="53" ht="12" customHeight="1">
      <c r="A53" s="8" t="s">
        <v>167</v>
      </c>
      <c r="B53" s="8" t="s">
        <v>377</v>
      </c>
      <c r="C53" s="26">
        <v>6.7999999999999998</v>
      </c>
      <c r="D53" s="8"/>
      <c r="E53" s="26">
        <v>8.5</v>
      </c>
      <c r="F53" s="8"/>
      <c r="G53" s="26">
        <v>7.4000000000000004</v>
      </c>
      <c r="H53" s="8"/>
      <c r="I53" s="26">
        <v>9</v>
      </c>
      <c r="J53" s="8"/>
      <c r="K53" s="26">
        <v>6.5999999999999996</v>
      </c>
      <c r="L53" s="8"/>
      <c r="M53" s="26">
        <v>7.2000000000000002</v>
      </c>
      <c r="N53" s="8"/>
      <c r="O53" s="26">
        <v>6.7000000000000002</v>
      </c>
      <c r="P53" s="8"/>
      <c r="Q53" s="26">
        <v>4.5</v>
      </c>
      <c r="R53" s="8"/>
      <c r="S53" s="26">
        <v>5</v>
      </c>
      <c r="T53" s="8"/>
      <c r="U53" s="26">
        <v>2.7000000000000002</v>
      </c>
      <c r="V53" s="8"/>
      <c r="W53" s="26">
        <v>0.5</v>
      </c>
      <c r="X53" s="8"/>
      <c r="Y53" s="26">
        <v>2.1000000000000001</v>
      </c>
      <c r="Z53" s="8"/>
      <c r="AA53" s="26">
        <v>1.8999999999999999</v>
      </c>
      <c r="AB53" s="8"/>
    </row>
    <row r="54" ht="12" customHeight="1">
      <c r="A54" s="8" t="s">
        <v>169</v>
      </c>
      <c r="B54" s="8" t="s">
        <v>378</v>
      </c>
      <c r="C54" s="26">
        <v>12.300000000000001</v>
      </c>
      <c r="D54" s="8"/>
      <c r="E54" s="26">
        <v>10.699999999999999</v>
      </c>
      <c r="F54" s="8"/>
      <c r="G54" s="26">
        <v>12.4</v>
      </c>
      <c r="H54" s="8"/>
      <c r="I54" s="26">
        <v>8.1999999999999993</v>
      </c>
      <c r="J54" s="8"/>
      <c r="K54" s="26">
        <v>5.4000000000000004</v>
      </c>
      <c r="L54" s="8"/>
      <c r="M54" s="26">
        <v>11.4</v>
      </c>
      <c r="N54" s="8"/>
      <c r="O54" s="26">
        <v>5.0999999999999996</v>
      </c>
      <c r="P54" s="8"/>
      <c r="Q54" s="26">
        <v>3.1000000000000001</v>
      </c>
      <c r="R54" s="8"/>
      <c r="S54" s="26">
        <v>6.2999999999999998</v>
      </c>
      <c r="T54" s="8"/>
      <c r="U54" s="26">
        <v>1.7</v>
      </c>
      <c r="V54" s="8"/>
      <c r="W54" s="26">
        <v>6.0999999999999996</v>
      </c>
      <c r="X54" s="8"/>
      <c r="Y54" s="26">
        <v>7.0999999999999996</v>
      </c>
      <c r="Z54" s="8"/>
      <c r="AA54" s="26">
        <v>6.5999999999999996</v>
      </c>
      <c r="AB54" s="8"/>
    </row>
    <row r="55" ht="12" customHeight="1">
      <c r="A55" s="11" t="s">
        <v>171</v>
      </c>
      <c r="B55" s="8" t="s">
        <v>379</v>
      </c>
      <c r="C55" s="26">
        <v>1.7</v>
      </c>
      <c r="D55" s="8"/>
      <c r="E55" s="26">
        <v>3.3999999999999999</v>
      </c>
      <c r="F55" s="8"/>
      <c r="G55" s="26">
        <v>3.3999999999999999</v>
      </c>
      <c r="H55" s="8"/>
      <c r="I55" s="26">
        <v>3.3999999999999999</v>
      </c>
      <c r="J55" s="8"/>
      <c r="K55" s="26">
        <v>3.3999999999999999</v>
      </c>
      <c r="L55" s="8"/>
      <c r="M55" s="26">
        <v>5.5</v>
      </c>
      <c r="N55" s="8"/>
      <c r="O55" s="26">
        <v>5.5</v>
      </c>
      <c r="P55" s="8"/>
      <c r="Q55" s="26">
        <v>3.1000000000000001</v>
      </c>
      <c r="R55" s="8"/>
      <c r="S55" s="26">
        <v>3.1000000000000001</v>
      </c>
      <c r="T55" s="8"/>
      <c r="U55" s="26">
        <v>8.0999999999999996</v>
      </c>
      <c r="V55" s="8"/>
      <c r="W55" s="26">
        <v>8.0999999999999996</v>
      </c>
      <c r="X55" s="8"/>
      <c r="Y55" s="26">
        <v>10.5</v>
      </c>
      <c r="Z55" s="8"/>
      <c r="AA55" s="26">
        <v>10.5</v>
      </c>
      <c r="AB55" s="8"/>
    </row>
    <row r="56" ht="12" customHeight="1">
      <c r="A56" s="8" t="s">
        <v>173</v>
      </c>
      <c r="B56" s="8" t="s">
        <v>380</v>
      </c>
      <c r="C56" s="26">
        <v>3.8999999999999999</v>
      </c>
      <c r="D56" s="8"/>
      <c r="E56" s="26">
        <v>3.8999999999999999</v>
      </c>
      <c r="F56" s="8"/>
      <c r="G56" s="26">
        <v>3.8999999999999999</v>
      </c>
      <c r="H56" s="8"/>
      <c r="I56" s="26">
        <v>3.3999999999999999</v>
      </c>
      <c r="J56" s="8"/>
      <c r="K56" s="26">
        <v>3.3999999999999999</v>
      </c>
      <c r="L56" s="8"/>
      <c r="M56" s="26">
        <v>3.3999999999999999</v>
      </c>
      <c r="N56" s="8"/>
      <c r="O56" s="26">
        <v>3.3999999999999999</v>
      </c>
      <c r="P56" s="8"/>
      <c r="Q56" s="26">
        <v>-19.199999999999999</v>
      </c>
      <c r="R56" s="8"/>
      <c r="S56" s="26">
        <v>-19.199999999999999</v>
      </c>
      <c r="T56" s="8"/>
      <c r="U56" s="26">
        <v>-19.199999999999999</v>
      </c>
      <c r="V56" s="8"/>
      <c r="W56" s="26">
        <v>-19.199999999999999</v>
      </c>
      <c r="X56" s="8"/>
      <c r="Y56" s="26">
        <v>2.5</v>
      </c>
      <c r="Z56" s="8"/>
      <c r="AA56" s="26">
        <v>2.5</v>
      </c>
      <c r="AB56" s="8"/>
    </row>
    <row r="57" ht="12" customHeight="1">
      <c r="A57" s="8" t="s">
        <v>175</v>
      </c>
      <c r="B57" s="8" t="s">
        <v>381</v>
      </c>
      <c r="C57" s="26">
        <v>1.8</v>
      </c>
      <c r="D57" s="8"/>
      <c r="E57" s="26">
        <v>0.5</v>
      </c>
      <c r="F57" s="8"/>
      <c r="G57" s="26">
        <v>0.5</v>
      </c>
      <c r="H57" s="8"/>
      <c r="I57" s="26">
        <v>0.5</v>
      </c>
      <c r="J57" s="8"/>
      <c r="K57" s="26">
        <v>0.5</v>
      </c>
      <c r="L57" s="8"/>
      <c r="M57" s="26">
        <v>3.8999999999999999</v>
      </c>
      <c r="N57" s="8"/>
      <c r="O57" s="26">
        <v>3.8999999999999999</v>
      </c>
      <c r="P57" s="8"/>
      <c r="Q57" s="26">
        <v>3.8999999999999999</v>
      </c>
      <c r="R57" s="8"/>
      <c r="S57" s="26">
        <v>3.8999999999999999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</row>
    <row r="58" ht="12" customHeight="1">
      <c r="A58" s="8" t="s">
        <v>177</v>
      </c>
      <c r="B58" s="8" t="s">
        <v>382</v>
      </c>
      <c r="C58" s="26">
        <v>1.3999999999999999</v>
      </c>
      <c r="D58" s="8"/>
      <c r="E58" s="26">
        <v>4</v>
      </c>
      <c r="F58" s="8"/>
      <c r="G58" s="26">
        <v>4</v>
      </c>
      <c r="H58" s="8"/>
      <c r="I58" s="26">
        <v>4</v>
      </c>
      <c r="J58" s="8"/>
      <c r="K58" s="26">
        <v>4</v>
      </c>
      <c r="L58" s="8"/>
      <c r="M58" s="26">
        <v>6.2000000000000002</v>
      </c>
      <c r="N58" s="8"/>
      <c r="O58" s="26">
        <v>6.2000000000000002</v>
      </c>
      <c r="P58" s="8"/>
      <c r="Q58" s="26">
        <v>6.2000000000000002</v>
      </c>
      <c r="R58" s="8"/>
      <c r="S58" s="26">
        <v>6.2000000000000002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</row>
    <row r="59" ht="12" customHeight="1">
      <c r="A59" s="8" t="s">
        <v>179</v>
      </c>
      <c r="B59" s="8" t="s">
        <v>383</v>
      </c>
      <c r="C59" s="26">
        <v>0.90000000000000002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4.7999999999999998</v>
      </c>
      <c r="N59" s="8"/>
      <c r="O59" s="26">
        <v>4.7999999999999998</v>
      </c>
      <c r="P59" s="8"/>
      <c r="Q59" s="26">
        <v>4.7999999999999998</v>
      </c>
      <c r="R59" s="8"/>
      <c r="S59" s="26">
        <v>4.7999999999999998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</row>
    <row r="60" ht="12" customHeight="1">
      <c r="A60" s="11" t="s">
        <v>181</v>
      </c>
      <c r="B60" s="8" t="s">
        <v>384</v>
      </c>
      <c r="C60" s="26">
        <v>4.9000000000000004</v>
      </c>
      <c r="D60" s="8"/>
      <c r="E60" s="26">
        <v>6.0999999999999996</v>
      </c>
      <c r="F60" s="8"/>
      <c r="G60" s="26">
        <v>8.8000000000000007</v>
      </c>
      <c r="H60" s="8"/>
      <c r="I60" s="26">
        <v>11.1</v>
      </c>
      <c r="J60" s="8"/>
      <c r="K60" s="26">
        <v>12.199999999999999</v>
      </c>
      <c r="L60" s="8"/>
      <c r="M60" s="26">
        <v>13.6</v>
      </c>
      <c r="N60" s="8"/>
      <c r="O60" s="26">
        <v>13.300000000000001</v>
      </c>
      <c r="P60" s="8"/>
      <c r="Q60" s="26">
        <v>12.199999999999999</v>
      </c>
      <c r="R60" s="8"/>
      <c r="S60" s="26">
        <v>11.1</v>
      </c>
      <c r="T60" s="8"/>
      <c r="U60" s="26">
        <v>8.6999999999999993</v>
      </c>
      <c r="V60" s="8"/>
      <c r="W60" s="26">
        <v>6.9000000000000004</v>
      </c>
      <c r="X60" s="8"/>
      <c r="Y60" s="26">
        <v>5.5</v>
      </c>
      <c r="Z60" s="8"/>
      <c r="AA60" s="26">
        <v>4</v>
      </c>
      <c r="AB60" s="8"/>
    </row>
    <row r="61" ht="12" customHeight="1">
      <c r="A61" s="8" t="s">
        <v>183</v>
      </c>
      <c r="B61" s="8" t="s">
        <v>385</v>
      </c>
      <c r="C61" s="26">
        <v>7.7000000000000002</v>
      </c>
      <c r="D61" s="8"/>
      <c r="E61" s="26">
        <v>7.7000000000000002</v>
      </c>
      <c r="F61" s="8"/>
      <c r="G61" s="26">
        <v>7.7000000000000002</v>
      </c>
      <c r="H61" s="8"/>
      <c r="I61" s="26">
        <v>5.9000000000000004</v>
      </c>
      <c r="J61" s="8"/>
      <c r="K61" s="26">
        <v>2.5</v>
      </c>
      <c r="L61" s="8"/>
      <c r="M61" s="26">
        <v>0.80000000000000004</v>
      </c>
      <c r="N61" s="8"/>
      <c r="O61" s="26">
        <v>-0.5</v>
      </c>
      <c r="P61" s="8"/>
      <c r="Q61" s="26">
        <v>-0.10000000000000001</v>
      </c>
      <c r="R61" s="8"/>
      <c r="S61" s="26">
        <v>0.80000000000000004</v>
      </c>
      <c r="T61" s="8"/>
      <c r="U61" s="26">
        <v>1</v>
      </c>
      <c r="V61" s="8"/>
      <c r="W61" s="26">
        <v>1.8</v>
      </c>
      <c r="X61" s="8"/>
      <c r="Y61" s="26">
        <v>2.1000000000000001</v>
      </c>
      <c r="Z61" s="8"/>
      <c r="AA61" s="26">
        <v>1.8</v>
      </c>
      <c r="AB61" s="8"/>
    </row>
    <row r="62" ht="12" customHeight="1">
      <c r="A62" s="8" t="s">
        <v>185</v>
      </c>
      <c r="B62" s="8" t="s">
        <v>386</v>
      </c>
      <c r="C62" s="26">
        <v>9.5</v>
      </c>
      <c r="D62" s="8"/>
      <c r="E62" s="26">
        <v>7.7999999999999998</v>
      </c>
      <c r="F62" s="8"/>
      <c r="G62" s="26">
        <v>4.5</v>
      </c>
      <c r="H62" s="8"/>
      <c r="I62" s="26">
        <v>3.2999999999999998</v>
      </c>
      <c r="J62" s="8"/>
      <c r="K62" s="26">
        <v>2.2000000000000002</v>
      </c>
      <c r="L62" s="8"/>
      <c r="M62" s="26">
        <v>3.7999999999999998</v>
      </c>
      <c r="N62" s="8"/>
      <c r="O62" s="26">
        <v>7.0999999999999996</v>
      </c>
      <c r="P62" s="8"/>
      <c r="Q62" s="26">
        <v>7.9000000000000004</v>
      </c>
      <c r="R62" s="8"/>
      <c r="S62" s="26">
        <v>8</v>
      </c>
      <c r="T62" s="8"/>
      <c r="U62" s="26">
        <v>5.7000000000000002</v>
      </c>
      <c r="V62" s="8"/>
      <c r="W62" s="26">
        <v>5.9000000000000004</v>
      </c>
      <c r="X62" s="8"/>
      <c r="Y62" s="26">
        <v>5.2000000000000002</v>
      </c>
      <c r="Z62" s="8"/>
      <c r="AA62" s="26">
        <v>7</v>
      </c>
      <c r="AB62" s="8"/>
    </row>
    <row r="63" ht="12" customHeight="1">
      <c r="A63" s="8" t="s">
        <v>187</v>
      </c>
      <c r="B63" s="8" t="s">
        <v>387</v>
      </c>
      <c r="C63" s="26">
        <v>3.7000000000000002</v>
      </c>
      <c r="D63" s="8"/>
      <c r="E63" s="26">
        <v>5.7999999999999998</v>
      </c>
      <c r="F63" s="8"/>
      <c r="G63" s="26">
        <v>10</v>
      </c>
      <c r="H63" s="8"/>
      <c r="I63" s="26">
        <v>14.6</v>
      </c>
      <c r="J63" s="8"/>
      <c r="K63" s="26">
        <v>17.399999999999999</v>
      </c>
      <c r="L63" s="8"/>
      <c r="M63" s="26">
        <v>20</v>
      </c>
      <c r="N63" s="8"/>
      <c r="O63" s="26">
        <v>19.800000000000001</v>
      </c>
      <c r="P63" s="8"/>
      <c r="Q63" s="26">
        <v>18</v>
      </c>
      <c r="R63" s="8"/>
      <c r="S63" s="26">
        <v>15.800000000000001</v>
      </c>
      <c r="T63" s="8"/>
      <c r="U63" s="26">
        <v>12.1</v>
      </c>
      <c r="V63" s="8"/>
      <c r="W63" s="26">
        <v>9</v>
      </c>
      <c r="X63" s="8"/>
      <c r="Y63" s="26">
        <v>6.7000000000000002</v>
      </c>
      <c r="Z63" s="8"/>
      <c r="AA63" s="26">
        <v>4.5999999999999996</v>
      </c>
      <c r="AB63" s="8"/>
    </row>
    <row r="64" ht="12" customHeight="1">
      <c r="A64" s="8" t="s">
        <v>189</v>
      </c>
      <c r="B64" s="8" t="s">
        <v>388</v>
      </c>
      <c r="C64" s="26">
        <v>-0.90000000000000002</v>
      </c>
      <c r="D64" s="8"/>
      <c r="E64" s="26">
        <v>-2</v>
      </c>
      <c r="F64" s="8"/>
      <c r="G64" s="26">
        <v>4</v>
      </c>
      <c r="H64" s="8"/>
      <c r="I64" s="26">
        <v>-3.7000000000000002</v>
      </c>
      <c r="J64" s="8"/>
      <c r="K64" s="26">
        <v>-1.1000000000000001</v>
      </c>
      <c r="L64" s="8"/>
      <c r="M64" s="26">
        <v>0</v>
      </c>
      <c r="N64" s="8"/>
      <c r="O64" s="26">
        <v>0</v>
      </c>
      <c r="P64" s="8"/>
      <c r="Q64" s="26">
        <v>-3.6000000000000001</v>
      </c>
      <c r="R64" s="8"/>
      <c r="S64" s="26">
        <v>-4.7000000000000002</v>
      </c>
      <c r="T64" s="8"/>
      <c r="U64" s="26">
        <v>-4.7000000000000002</v>
      </c>
      <c r="V64" s="8"/>
      <c r="W64" s="26">
        <v>-5.4000000000000004</v>
      </c>
      <c r="X64" s="8"/>
      <c r="Y64" s="26">
        <v>-1.8999999999999999</v>
      </c>
      <c r="Z64" s="8"/>
      <c r="AA64" s="26">
        <v>-0.69999999999999996</v>
      </c>
      <c r="AB64" s="8"/>
    </row>
    <row r="65" ht="12" customHeight="1">
      <c r="A65" s="8" t="s">
        <v>191</v>
      </c>
      <c r="B65" s="8" t="s">
        <v>389</v>
      </c>
      <c r="C65" s="26">
        <v>6.0999999999999996</v>
      </c>
      <c r="D65" s="8"/>
      <c r="E65" s="26">
        <v>5.0999999999999996</v>
      </c>
      <c r="F65" s="8"/>
      <c r="G65" s="26">
        <v>3.7000000000000002</v>
      </c>
      <c r="H65" s="8"/>
      <c r="I65" s="26">
        <v>4.5</v>
      </c>
      <c r="J65" s="8"/>
      <c r="K65" s="26">
        <v>5.4000000000000004</v>
      </c>
      <c r="L65" s="8"/>
      <c r="M65" s="26">
        <v>5.2999999999999998</v>
      </c>
      <c r="N65" s="8"/>
      <c r="O65" s="26">
        <v>5.2000000000000002</v>
      </c>
      <c r="P65" s="8"/>
      <c r="Q65" s="26">
        <v>3.6000000000000001</v>
      </c>
      <c r="R65" s="8"/>
      <c r="S65" s="26">
        <v>3</v>
      </c>
      <c r="T65" s="8"/>
      <c r="U65" s="26">
        <v>2.3999999999999999</v>
      </c>
      <c r="V65" s="8"/>
      <c r="W65" s="26">
        <v>3</v>
      </c>
      <c r="X65" s="8"/>
      <c r="Y65" s="26">
        <v>2.1000000000000001</v>
      </c>
      <c r="Z65" s="8"/>
      <c r="AA65" s="26">
        <v>1.7</v>
      </c>
      <c r="AB65" s="8"/>
    </row>
    <row r="66" ht="12" customHeight="1">
      <c r="A66" s="11" t="s">
        <v>193</v>
      </c>
      <c r="B66" s="8" t="s">
        <v>390</v>
      </c>
      <c r="C66" s="26">
        <v>43.200000000000003</v>
      </c>
      <c r="D66" s="8"/>
      <c r="E66" s="26">
        <v>36.399999999999999</v>
      </c>
      <c r="F66" s="8"/>
      <c r="G66" s="26">
        <v>28.199999999999999</v>
      </c>
      <c r="H66" s="8"/>
      <c r="I66" s="26">
        <v>26.699999999999999</v>
      </c>
      <c r="J66" s="8"/>
      <c r="K66" s="26">
        <v>30.399999999999999</v>
      </c>
      <c r="L66" s="8"/>
      <c r="M66" s="26">
        <v>27.600000000000001</v>
      </c>
      <c r="N66" s="8"/>
      <c r="O66" s="26">
        <v>26</v>
      </c>
      <c r="P66" s="8"/>
      <c r="Q66" s="26">
        <v>17.699999999999999</v>
      </c>
      <c r="R66" s="8"/>
      <c r="S66" s="26">
        <v>7</v>
      </c>
      <c r="T66" s="8"/>
      <c r="U66" s="26">
        <v>0.59999999999999998</v>
      </c>
      <c r="V66" s="8"/>
      <c r="W66" s="26">
        <v>-7.2000000000000002</v>
      </c>
      <c r="X66" s="8"/>
      <c r="Y66" s="26">
        <v>-13.4</v>
      </c>
      <c r="Z66" s="8"/>
      <c r="AA66" s="26">
        <v>-16.199999999999999</v>
      </c>
      <c r="AB66" s="8"/>
    </row>
    <row r="67" ht="12" customHeight="1">
      <c r="A67" s="8" t="s">
        <v>195</v>
      </c>
      <c r="B67" s="8" t="s">
        <v>391</v>
      </c>
      <c r="C67" s="26">
        <v>43.200000000000003</v>
      </c>
      <c r="D67" s="8"/>
      <c r="E67" s="26">
        <v>36.399999999999999</v>
      </c>
      <c r="F67" s="8"/>
      <c r="G67" s="26">
        <v>28.199999999999999</v>
      </c>
      <c r="H67" s="8"/>
      <c r="I67" s="26">
        <v>26.699999999999999</v>
      </c>
      <c r="J67" s="8"/>
      <c r="K67" s="26">
        <v>30.399999999999999</v>
      </c>
      <c r="L67" s="8"/>
      <c r="M67" s="26">
        <v>27.600000000000001</v>
      </c>
      <c r="N67" s="8"/>
      <c r="O67" s="26">
        <v>26</v>
      </c>
      <c r="P67" s="8"/>
      <c r="Q67" s="26">
        <v>17.699999999999999</v>
      </c>
      <c r="R67" s="8"/>
      <c r="S67" s="26">
        <v>7</v>
      </c>
      <c r="T67" s="8"/>
      <c r="U67" s="26">
        <v>0.59999999999999998</v>
      </c>
      <c r="V67" s="8"/>
      <c r="W67" s="26">
        <v>-7.2000000000000002</v>
      </c>
      <c r="X67" s="8"/>
      <c r="Y67" s="26">
        <v>-13.4</v>
      </c>
      <c r="Z67" s="8"/>
      <c r="AA67" s="26">
        <v>-16.199999999999999</v>
      </c>
      <c r="AB67" s="8"/>
    </row>
    <row r="68" ht="12" customHeight="1">
      <c r="A68" s="13" t="s">
        <v>69</v>
      </c>
      <c r="B68" s="10" t="s">
        <v>46</v>
      </c>
      <c r="C68" s="27">
        <v>7.4000000000000004</v>
      </c>
      <c r="D68" s="10"/>
      <c r="E68" s="27">
        <v>7.0999999999999996</v>
      </c>
      <c r="F68" s="10"/>
      <c r="G68" s="27">
        <v>6.7999999999999998</v>
      </c>
      <c r="H68" s="10"/>
      <c r="I68" s="27">
        <v>6.7000000000000002</v>
      </c>
      <c r="J68" s="10"/>
      <c r="K68" s="27">
        <v>6.0999999999999996</v>
      </c>
      <c r="L68" s="10"/>
      <c r="M68" s="27">
        <v>5.2000000000000002</v>
      </c>
      <c r="N68" s="10"/>
      <c r="O68" s="27">
        <v>4.5999999999999996</v>
      </c>
      <c r="P68" s="10"/>
      <c r="Q68" s="27">
        <v>3.8999999999999999</v>
      </c>
      <c r="R68" s="10"/>
      <c r="S68" s="27">
        <v>3.6000000000000001</v>
      </c>
      <c r="T68" s="10"/>
      <c r="U68" s="27">
        <v>3.8999999999999999</v>
      </c>
      <c r="V68" s="10"/>
      <c r="W68" s="27">
        <v>4.0999999999999996</v>
      </c>
      <c r="X68" s="10"/>
      <c r="Y68" s="27">
        <v>3.8999999999999999</v>
      </c>
      <c r="Z68" s="10"/>
      <c r="AA68" s="27">
        <v>3.7999999999999998</v>
      </c>
      <c r="AB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394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395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396</v>
      </c>
      <c r="C8" s="19">
        <v>1230</v>
      </c>
      <c r="D8" s="19"/>
      <c r="E8" s="19">
        <v>1283</v>
      </c>
      <c r="F8" s="19"/>
      <c r="G8" s="19">
        <v>1307</v>
      </c>
      <c r="H8" s="19"/>
      <c r="I8" s="19">
        <v>1313</v>
      </c>
      <c r="J8" s="19"/>
      <c r="K8" s="19">
        <v>1299</v>
      </c>
      <c r="L8" s="19"/>
      <c r="M8" s="19">
        <v>1302</v>
      </c>
      <c r="N8" s="19"/>
      <c r="O8" s="19">
        <v>1295</v>
      </c>
      <c r="P8" s="19"/>
      <c r="Q8" s="19">
        <v>1313</v>
      </c>
      <c r="R8" s="19"/>
      <c r="S8" s="19">
        <v>1309</v>
      </c>
      <c r="T8" s="19"/>
      <c r="U8" s="19">
        <v>1336</v>
      </c>
      <c r="V8" s="19"/>
      <c r="W8" s="19">
        <v>1359</v>
      </c>
      <c r="X8" s="19"/>
      <c r="Y8" s="19">
        <v>1386</v>
      </c>
      <c r="Z8" s="19"/>
      <c r="AA8" s="19">
        <v>1372</v>
      </c>
      <c r="AB8" s="19"/>
      <c r="AC8" s="18"/>
      <c r="AE8" s="18"/>
      <c r="AG8" s="18"/>
    </row>
    <row r="9" ht="12" customHeight="1">
      <c r="A9" s="8" t="s">
        <v>79</v>
      </c>
      <c r="B9" s="8" t="s">
        <v>397</v>
      </c>
      <c r="C9" s="24">
        <v>1415</v>
      </c>
      <c r="D9" s="8"/>
      <c r="E9" s="24">
        <v>1558</v>
      </c>
      <c r="F9" s="8"/>
      <c r="G9" s="24">
        <v>1538</v>
      </c>
      <c r="H9" s="8"/>
      <c r="I9" s="24">
        <v>1545</v>
      </c>
      <c r="J9" s="8"/>
      <c r="K9" s="24">
        <v>1485</v>
      </c>
      <c r="L9" s="8"/>
      <c r="M9" s="24">
        <v>1450</v>
      </c>
      <c r="N9" s="8"/>
      <c r="O9" s="24">
        <v>1314</v>
      </c>
      <c r="P9" s="8"/>
      <c r="Q9" s="24">
        <v>1360</v>
      </c>
      <c r="R9" s="8"/>
      <c r="S9" s="24">
        <v>1325</v>
      </c>
      <c r="T9" s="8"/>
      <c r="U9" s="24">
        <v>1346</v>
      </c>
      <c r="V9" s="8"/>
      <c r="W9" s="24">
        <v>1384</v>
      </c>
      <c r="X9" s="8"/>
      <c r="Y9" s="24">
        <v>1498</v>
      </c>
      <c r="Z9" s="8"/>
      <c r="AA9" s="24">
        <v>1378</v>
      </c>
      <c r="AB9" s="8"/>
      <c r="AC9" s="8"/>
      <c r="AE9" s="8"/>
      <c r="AG9" s="8"/>
    </row>
    <row r="10" ht="12" customHeight="1">
      <c r="A10" s="8" t="s">
        <v>81</v>
      </c>
      <c r="B10" s="8" t="s">
        <v>398</v>
      </c>
      <c r="C10" s="24">
        <v>1236</v>
      </c>
      <c r="D10" s="8"/>
      <c r="E10" s="24">
        <v>1255</v>
      </c>
      <c r="F10" s="8"/>
      <c r="G10" s="24">
        <v>1274</v>
      </c>
      <c r="H10" s="8"/>
      <c r="I10" s="24">
        <v>1280</v>
      </c>
      <c r="J10" s="8"/>
      <c r="K10" s="24">
        <v>1266</v>
      </c>
      <c r="L10" s="8"/>
      <c r="M10" s="24">
        <v>1263</v>
      </c>
      <c r="N10" s="8"/>
      <c r="O10" s="24">
        <v>1267</v>
      </c>
      <c r="P10" s="8"/>
      <c r="Q10" s="24">
        <v>1288</v>
      </c>
      <c r="R10" s="8"/>
      <c r="S10" s="24">
        <v>1297</v>
      </c>
      <c r="T10" s="8"/>
      <c r="U10" s="24">
        <v>1317</v>
      </c>
      <c r="V10" s="8"/>
      <c r="W10" s="24">
        <v>1335</v>
      </c>
      <c r="X10" s="8"/>
      <c r="Y10" s="24">
        <v>1383</v>
      </c>
      <c r="Z10" s="8"/>
      <c r="AA10" s="24">
        <v>1393</v>
      </c>
      <c r="AB10" s="8"/>
      <c r="AC10" s="8"/>
      <c r="AE10" s="8"/>
      <c r="AG10" s="8"/>
    </row>
    <row r="11" ht="12" customHeight="1">
      <c r="A11" s="8" t="s">
        <v>83</v>
      </c>
      <c r="B11" s="8" t="s">
        <v>399</v>
      </c>
      <c r="C11" s="24">
        <v>1163</v>
      </c>
      <c r="D11" s="8"/>
      <c r="E11" s="24">
        <v>1214</v>
      </c>
      <c r="F11" s="8"/>
      <c r="G11" s="24">
        <v>1246</v>
      </c>
      <c r="H11" s="8"/>
      <c r="I11" s="24">
        <v>1246</v>
      </c>
      <c r="J11" s="8"/>
      <c r="K11" s="24">
        <v>1234</v>
      </c>
      <c r="L11" s="8"/>
      <c r="M11" s="24">
        <v>1248</v>
      </c>
      <c r="N11" s="8"/>
      <c r="O11" s="24">
        <v>1262</v>
      </c>
      <c r="P11" s="8"/>
      <c r="Q11" s="24">
        <v>1275</v>
      </c>
      <c r="R11" s="8"/>
      <c r="S11" s="24">
        <v>1273</v>
      </c>
      <c r="T11" s="8"/>
      <c r="U11" s="24">
        <v>1311</v>
      </c>
      <c r="V11" s="8"/>
      <c r="W11" s="24">
        <v>1332</v>
      </c>
      <c r="X11" s="8"/>
      <c r="Y11" s="24">
        <v>1338</v>
      </c>
      <c r="Z11" s="8"/>
      <c r="AA11" s="24">
        <v>1333</v>
      </c>
      <c r="AB11" s="8"/>
      <c r="AC11" s="8"/>
      <c r="AE11" s="8"/>
      <c r="AG11" s="8"/>
    </row>
    <row r="12" ht="12" customHeight="1">
      <c r="A12" s="8" t="s">
        <v>85</v>
      </c>
      <c r="B12" s="8" t="s">
        <v>400</v>
      </c>
      <c r="C12" s="24">
        <v>1124</v>
      </c>
      <c r="D12" s="8"/>
      <c r="E12" s="24">
        <v>1153</v>
      </c>
      <c r="F12" s="8"/>
      <c r="G12" s="24">
        <v>1185</v>
      </c>
      <c r="H12" s="8"/>
      <c r="I12" s="24">
        <v>1191</v>
      </c>
      <c r="J12" s="8"/>
      <c r="K12" s="24">
        <v>1193</v>
      </c>
      <c r="L12" s="8"/>
      <c r="M12" s="24">
        <v>1205</v>
      </c>
      <c r="N12" s="8"/>
      <c r="O12" s="24">
        <v>1230</v>
      </c>
      <c r="P12" s="8"/>
      <c r="Q12" s="24">
        <v>1237</v>
      </c>
      <c r="R12" s="8"/>
      <c r="S12" s="24">
        <v>1237</v>
      </c>
      <c r="T12" s="8"/>
      <c r="U12" s="24">
        <v>1268</v>
      </c>
      <c r="V12" s="8"/>
      <c r="W12" s="24">
        <v>1301</v>
      </c>
      <c r="X12" s="8"/>
      <c r="Y12" s="24">
        <v>1292</v>
      </c>
      <c r="Z12" s="8"/>
      <c r="AA12" s="24">
        <v>1299</v>
      </c>
      <c r="AB12" s="8"/>
      <c r="AC12" s="8"/>
      <c r="AE12" s="8"/>
      <c r="AG12" s="8"/>
    </row>
    <row r="13" ht="12" customHeight="1">
      <c r="A13" s="8" t="s">
        <v>87</v>
      </c>
      <c r="B13" s="8" t="s">
        <v>401</v>
      </c>
      <c r="C13" s="24">
        <v>1347</v>
      </c>
      <c r="D13" s="8"/>
      <c r="E13" s="24">
        <v>1372</v>
      </c>
      <c r="F13" s="8"/>
      <c r="G13" s="24">
        <v>1415</v>
      </c>
      <c r="H13" s="8"/>
      <c r="I13" s="24">
        <v>1439</v>
      </c>
      <c r="J13" s="8"/>
      <c r="K13" s="24">
        <v>1452</v>
      </c>
      <c r="L13" s="8"/>
      <c r="M13" s="24">
        <v>1466</v>
      </c>
      <c r="N13" s="8"/>
      <c r="O13" s="24">
        <v>1484</v>
      </c>
      <c r="P13" s="8"/>
      <c r="Q13" s="24">
        <v>1492</v>
      </c>
      <c r="R13" s="8"/>
      <c r="S13" s="24">
        <v>1498</v>
      </c>
      <c r="T13" s="8"/>
      <c r="U13" s="24">
        <v>1502</v>
      </c>
      <c r="V13" s="8"/>
      <c r="W13" s="24">
        <v>1516</v>
      </c>
      <c r="X13" s="8"/>
      <c r="Y13" s="24">
        <v>1527</v>
      </c>
      <c r="Z13" s="8"/>
      <c r="AA13" s="24">
        <v>1535</v>
      </c>
      <c r="AB13" s="8"/>
      <c r="AC13" s="8"/>
      <c r="AE13" s="8"/>
      <c r="AG13" s="8"/>
    </row>
    <row r="14" ht="12" customHeight="1">
      <c r="A14" s="11" t="s">
        <v>89</v>
      </c>
      <c r="B14" s="8" t="s">
        <v>402</v>
      </c>
      <c r="C14" s="24">
        <v>1503</v>
      </c>
      <c r="D14" s="8"/>
      <c r="E14" s="24">
        <v>1582</v>
      </c>
      <c r="F14" s="8"/>
      <c r="G14" s="24">
        <v>1594</v>
      </c>
      <c r="H14" s="8"/>
      <c r="I14" s="24">
        <v>1611</v>
      </c>
      <c r="J14" s="8"/>
      <c r="K14" s="24">
        <v>1639</v>
      </c>
      <c r="L14" s="8"/>
      <c r="M14" s="24">
        <v>1711</v>
      </c>
      <c r="N14" s="8"/>
      <c r="O14" s="24">
        <v>1721</v>
      </c>
      <c r="P14" s="8"/>
      <c r="Q14" s="24">
        <v>1729</v>
      </c>
      <c r="R14" s="8"/>
      <c r="S14" s="24">
        <v>1733</v>
      </c>
      <c r="T14" s="8"/>
      <c r="U14" s="24">
        <v>1768</v>
      </c>
      <c r="V14" s="8"/>
      <c r="W14" s="24">
        <v>1765</v>
      </c>
      <c r="X14" s="8"/>
      <c r="Y14" s="24">
        <v>1770</v>
      </c>
      <c r="Z14" s="8"/>
      <c r="AA14" s="24">
        <v>1769</v>
      </c>
      <c r="AB14" s="8"/>
      <c r="AC14" s="8"/>
      <c r="AE14" s="8"/>
      <c r="AG14" s="8"/>
    </row>
    <row r="15" ht="12" customHeight="1">
      <c r="A15" s="8" t="s">
        <v>91</v>
      </c>
      <c r="B15" s="8" t="s">
        <v>403</v>
      </c>
      <c r="C15" s="24">
        <v>1139</v>
      </c>
      <c r="D15" s="8"/>
      <c r="E15" s="24">
        <v>1158</v>
      </c>
      <c r="F15" s="8"/>
      <c r="G15" s="24">
        <v>1181</v>
      </c>
      <c r="H15" s="8"/>
      <c r="I15" s="24">
        <v>1202</v>
      </c>
      <c r="J15" s="8"/>
      <c r="K15" s="24">
        <v>1202</v>
      </c>
      <c r="L15" s="8"/>
      <c r="M15" s="24">
        <v>1214</v>
      </c>
      <c r="N15" s="8"/>
      <c r="O15" s="24">
        <v>1232</v>
      </c>
      <c r="P15" s="8"/>
      <c r="Q15" s="24">
        <v>1239</v>
      </c>
      <c r="R15" s="8"/>
      <c r="S15" s="24">
        <v>1234</v>
      </c>
      <c r="T15" s="8"/>
      <c r="U15" s="24">
        <v>1245</v>
      </c>
      <c r="V15" s="8"/>
      <c r="W15" s="24">
        <v>1240</v>
      </c>
      <c r="X15" s="8"/>
      <c r="Y15" s="24">
        <v>1246</v>
      </c>
      <c r="Z15" s="8"/>
      <c r="AA15" s="24">
        <v>1233</v>
      </c>
      <c r="AB15" s="8"/>
      <c r="AC15" s="8"/>
      <c r="AE15" s="8"/>
      <c r="AG15" s="8"/>
    </row>
    <row r="16" ht="12" customHeight="1">
      <c r="A16" s="8" t="s">
        <v>93</v>
      </c>
      <c r="B16" s="8" t="s">
        <v>404</v>
      </c>
      <c r="C16" s="24">
        <v>1950</v>
      </c>
      <c r="D16" s="8"/>
      <c r="E16" s="24">
        <v>2098</v>
      </c>
      <c r="F16" s="8"/>
      <c r="G16" s="24">
        <v>2100</v>
      </c>
      <c r="H16" s="8"/>
      <c r="I16" s="24">
        <v>2112</v>
      </c>
      <c r="J16" s="8"/>
      <c r="K16" s="24">
        <v>2172</v>
      </c>
      <c r="L16" s="8"/>
      <c r="M16" s="24">
        <v>2314</v>
      </c>
      <c r="N16" s="8"/>
      <c r="O16" s="24">
        <v>2315</v>
      </c>
      <c r="P16" s="8"/>
      <c r="Q16" s="24">
        <v>2324</v>
      </c>
      <c r="R16" s="8"/>
      <c r="S16" s="24">
        <v>2340</v>
      </c>
      <c r="T16" s="8"/>
      <c r="U16" s="24">
        <v>2431</v>
      </c>
      <c r="V16" s="8"/>
      <c r="W16" s="24">
        <v>2437</v>
      </c>
      <c r="X16" s="8"/>
      <c r="Y16" s="24">
        <v>2436</v>
      </c>
      <c r="Z16" s="8"/>
      <c r="AA16" s="24">
        <v>2474</v>
      </c>
      <c r="AB16" s="8"/>
      <c r="AC16" s="8"/>
      <c r="AE16" s="8"/>
      <c r="AG16" s="8"/>
    </row>
    <row r="17" ht="12" customHeight="1">
      <c r="A17" s="11" t="s">
        <v>95</v>
      </c>
      <c r="B17" s="8" t="s">
        <v>405</v>
      </c>
      <c r="C17" s="24">
        <v>1058</v>
      </c>
      <c r="D17" s="8"/>
      <c r="E17" s="24">
        <v>1053</v>
      </c>
      <c r="F17" s="8"/>
      <c r="G17" s="24">
        <v>1086</v>
      </c>
      <c r="H17" s="8"/>
      <c r="I17" s="24">
        <v>1089</v>
      </c>
      <c r="J17" s="8"/>
      <c r="K17" s="24">
        <v>1099</v>
      </c>
      <c r="L17" s="8"/>
      <c r="M17" s="24">
        <v>1102</v>
      </c>
      <c r="N17" s="8"/>
      <c r="O17" s="24">
        <v>1104</v>
      </c>
      <c r="P17" s="8"/>
      <c r="Q17" s="24">
        <v>1098</v>
      </c>
      <c r="R17" s="8"/>
      <c r="S17" s="24">
        <v>1088</v>
      </c>
      <c r="T17" s="8"/>
      <c r="U17" s="24">
        <v>1089</v>
      </c>
      <c r="V17" s="8"/>
      <c r="W17" s="24">
        <v>1091</v>
      </c>
      <c r="X17" s="8"/>
      <c r="Y17" s="24">
        <v>1098</v>
      </c>
      <c r="Z17" s="8"/>
      <c r="AA17" s="24">
        <v>1107</v>
      </c>
      <c r="AB17" s="8"/>
      <c r="AC17" s="8"/>
      <c r="AE17" s="8"/>
      <c r="AG17" s="8"/>
    </row>
    <row r="18" ht="12" customHeight="1">
      <c r="A18" s="8" t="s">
        <v>97</v>
      </c>
      <c r="B18" s="8" t="s">
        <v>406</v>
      </c>
      <c r="C18" s="24">
        <v>1063</v>
      </c>
      <c r="D18" s="8"/>
      <c r="E18" s="24">
        <v>1058</v>
      </c>
      <c r="F18" s="8"/>
      <c r="G18" s="24">
        <v>1094</v>
      </c>
      <c r="H18" s="8"/>
      <c r="I18" s="24">
        <v>1098</v>
      </c>
      <c r="J18" s="8"/>
      <c r="K18" s="24">
        <v>1110</v>
      </c>
      <c r="L18" s="8"/>
      <c r="M18" s="24">
        <v>1113</v>
      </c>
      <c r="N18" s="8"/>
      <c r="O18" s="24">
        <v>1114</v>
      </c>
      <c r="P18" s="8"/>
      <c r="Q18" s="24">
        <v>1107</v>
      </c>
      <c r="R18" s="8"/>
      <c r="S18" s="24">
        <v>1095</v>
      </c>
      <c r="T18" s="8"/>
      <c r="U18" s="24">
        <v>1093</v>
      </c>
      <c r="V18" s="8"/>
      <c r="W18" s="24">
        <v>1100</v>
      </c>
      <c r="X18" s="8"/>
      <c r="Y18" s="24">
        <v>1104</v>
      </c>
      <c r="Z18" s="8"/>
      <c r="AA18" s="24">
        <v>1117</v>
      </c>
      <c r="AB18" s="8"/>
      <c r="AC18" s="8"/>
      <c r="AE18" s="8"/>
      <c r="AG18" s="8"/>
    </row>
    <row r="19" ht="12" customHeight="1">
      <c r="A19" s="8" t="s">
        <v>99</v>
      </c>
      <c r="B19" s="8" t="s">
        <v>407</v>
      </c>
      <c r="C19" s="24">
        <v>1070</v>
      </c>
      <c r="D19" s="8"/>
      <c r="E19" s="24">
        <v>1075</v>
      </c>
      <c r="F19" s="8"/>
      <c r="G19" s="24">
        <v>1076</v>
      </c>
      <c r="H19" s="8"/>
      <c r="I19" s="24">
        <v>1071</v>
      </c>
      <c r="J19" s="8"/>
      <c r="K19" s="24">
        <v>1064</v>
      </c>
      <c r="L19" s="8"/>
      <c r="M19" s="24">
        <v>1072</v>
      </c>
      <c r="N19" s="8"/>
      <c r="O19" s="24">
        <v>1076</v>
      </c>
      <c r="P19" s="8"/>
      <c r="Q19" s="24">
        <v>1076</v>
      </c>
      <c r="R19" s="8"/>
      <c r="S19" s="24">
        <v>1081</v>
      </c>
      <c r="T19" s="8"/>
      <c r="U19" s="24">
        <v>1101</v>
      </c>
      <c r="V19" s="8"/>
      <c r="W19" s="24">
        <v>1075</v>
      </c>
      <c r="X19" s="8"/>
      <c r="Y19" s="24">
        <v>1095</v>
      </c>
      <c r="Z19" s="8"/>
      <c r="AA19" s="24">
        <v>1091</v>
      </c>
      <c r="AB19" s="8"/>
      <c r="AC19" s="8"/>
      <c r="AE19" s="8"/>
      <c r="AG19" s="8"/>
    </row>
    <row r="20" ht="12" customHeight="1">
      <c r="A20" s="11" t="s">
        <v>101</v>
      </c>
      <c r="B20" s="8" t="s">
        <v>408</v>
      </c>
      <c r="C20" s="24">
        <v>1288</v>
      </c>
      <c r="D20" s="8"/>
      <c r="E20" s="24">
        <v>1303</v>
      </c>
      <c r="F20" s="8"/>
      <c r="G20" s="24">
        <v>1322</v>
      </c>
      <c r="H20" s="8"/>
      <c r="I20" s="24">
        <v>1353</v>
      </c>
      <c r="J20" s="8"/>
      <c r="K20" s="24">
        <v>1367</v>
      </c>
      <c r="L20" s="8"/>
      <c r="M20" s="24">
        <v>1378</v>
      </c>
      <c r="N20" s="8"/>
      <c r="O20" s="24">
        <v>1397</v>
      </c>
      <c r="P20" s="8"/>
      <c r="Q20" s="24">
        <v>1442</v>
      </c>
      <c r="R20" s="8"/>
      <c r="S20" s="24">
        <v>1451</v>
      </c>
      <c r="T20" s="8"/>
      <c r="U20" s="24">
        <v>1463</v>
      </c>
      <c r="V20" s="8"/>
      <c r="W20" s="24">
        <v>1483</v>
      </c>
      <c r="X20" s="8"/>
      <c r="Y20" s="24">
        <v>1527</v>
      </c>
      <c r="Z20" s="8"/>
      <c r="AA20" s="24">
        <v>1534</v>
      </c>
      <c r="AB20" s="8"/>
      <c r="AC20" s="8"/>
      <c r="AE20" s="8"/>
      <c r="AG20" s="8"/>
    </row>
    <row r="21" ht="12" customHeight="1">
      <c r="A21" s="8" t="s">
        <v>103</v>
      </c>
      <c r="B21" s="8" t="s">
        <v>409</v>
      </c>
      <c r="C21" s="24">
        <v>1304</v>
      </c>
      <c r="D21" s="8"/>
      <c r="E21" s="24">
        <v>1320</v>
      </c>
      <c r="F21" s="8"/>
      <c r="G21" s="24">
        <v>1338</v>
      </c>
      <c r="H21" s="8"/>
      <c r="I21" s="24">
        <v>1356</v>
      </c>
      <c r="J21" s="8"/>
      <c r="K21" s="24">
        <v>1372</v>
      </c>
      <c r="L21" s="8"/>
      <c r="M21" s="24">
        <v>1390</v>
      </c>
      <c r="N21" s="8"/>
      <c r="O21" s="24">
        <v>1408</v>
      </c>
      <c r="P21" s="8"/>
      <c r="Q21" s="24">
        <v>1422</v>
      </c>
      <c r="R21" s="8"/>
      <c r="S21" s="24">
        <v>1434</v>
      </c>
      <c r="T21" s="8"/>
      <c r="U21" s="24">
        <v>1444</v>
      </c>
      <c r="V21" s="8"/>
      <c r="W21" s="24">
        <v>1456</v>
      </c>
      <c r="X21" s="8"/>
      <c r="Y21" s="24">
        <v>1460</v>
      </c>
      <c r="Z21" s="8"/>
      <c r="AA21" s="24">
        <v>1462</v>
      </c>
      <c r="AB21" s="8"/>
      <c r="AC21" s="8"/>
      <c r="AE21" s="8"/>
      <c r="AG21" s="8"/>
    </row>
    <row r="22" ht="12" customHeight="1">
      <c r="A22" s="8" t="s">
        <v>105</v>
      </c>
      <c r="B22" s="8" t="s">
        <v>410</v>
      </c>
      <c r="C22" s="24">
        <v>1304</v>
      </c>
      <c r="D22" s="8"/>
      <c r="E22" s="24">
        <v>1320</v>
      </c>
      <c r="F22" s="8"/>
      <c r="G22" s="24">
        <v>1338</v>
      </c>
      <c r="H22" s="8"/>
      <c r="I22" s="24">
        <v>1356</v>
      </c>
      <c r="J22" s="8"/>
      <c r="K22" s="24">
        <v>1372</v>
      </c>
      <c r="L22" s="8"/>
      <c r="M22" s="24">
        <v>1390</v>
      </c>
      <c r="N22" s="8"/>
      <c r="O22" s="24">
        <v>1408</v>
      </c>
      <c r="P22" s="8"/>
      <c r="Q22" s="24">
        <v>1422</v>
      </c>
      <c r="R22" s="8"/>
      <c r="S22" s="24">
        <v>1434</v>
      </c>
      <c r="T22" s="8"/>
      <c r="U22" s="24">
        <v>1444</v>
      </c>
      <c r="V22" s="8"/>
      <c r="W22" s="24">
        <v>1456</v>
      </c>
      <c r="X22" s="8"/>
      <c r="Y22" s="24">
        <v>1460</v>
      </c>
      <c r="Z22" s="8"/>
      <c r="AA22" s="24">
        <v>1462</v>
      </c>
      <c r="AB22" s="8"/>
      <c r="AC22" s="8"/>
      <c r="AE22" s="8"/>
      <c r="AG22" s="8"/>
    </row>
    <row r="23" ht="12" customHeight="1">
      <c r="A23" s="8" t="s">
        <v>107</v>
      </c>
      <c r="B23" s="8" t="s">
        <v>411</v>
      </c>
      <c r="C23" s="24">
        <v>1342</v>
      </c>
      <c r="D23" s="8"/>
      <c r="E23" s="24">
        <v>1341</v>
      </c>
      <c r="F23" s="8"/>
      <c r="G23" s="24">
        <v>1370</v>
      </c>
      <c r="H23" s="8"/>
      <c r="I23" s="24">
        <v>1381</v>
      </c>
      <c r="J23" s="8"/>
      <c r="K23" s="24">
        <v>1383</v>
      </c>
      <c r="L23" s="8"/>
      <c r="M23" s="24">
        <v>1383</v>
      </c>
      <c r="N23" s="8"/>
      <c r="O23" s="24">
        <v>1404</v>
      </c>
      <c r="P23" s="8"/>
      <c r="Q23" s="24">
        <v>1420</v>
      </c>
      <c r="R23" s="8"/>
      <c r="S23" s="24">
        <v>1417</v>
      </c>
      <c r="T23" s="8"/>
      <c r="U23" s="24">
        <v>1424</v>
      </c>
      <c r="V23" s="8"/>
      <c r="W23" s="24">
        <v>1429</v>
      </c>
      <c r="X23" s="8"/>
      <c r="Y23" s="24">
        <v>1439</v>
      </c>
      <c r="Z23" s="8"/>
      <c r="AA23" s="24">
        <v>1451</v>
      </c>
      <c r="AB23" s="8"/>
      <c r="AC23" s="8"/>
      <c r="AE23" s="8"/>
      <c r="AG23" s="8"/>
    </row>
    <row r="24" ht="12" customHeight="1">
      <c r="A24" s="8" t="s">
        <v>109</v>
      </c>
      <c r="B24" s="8" t="s">
        <v>412</v>
      </c>
      <c r="C24" s="24">
        <v>1520</v>
      </c>
      <c r="D24" s="8"/>
      <c r="E24" s="24">
        <v>1520</v>
      </c>
      <c r="F24" s="8"/>
      <c r="G24" s="24">
        <v>1522</v>
      </c>
      <c r="H24" s="8"/>
      <c r="I24" s="24">
        <v>1666</v>
      </c>
      <c r="J24" s="8"/>
      <c r="K24" s="24">
        <v>1667</v>
      </c>
      <c r="L24" s="8"/>
      <c r="M24" s="24">
        <v>1667</v>
      </c>
      <c r="N24" s="8"/>
      <c r="O24" s="24">
        <v>1669</v>
      </c>
      <c r="P24" s="8"/>
      <c r="Q24" s="24">
        <v>1865</v>
      </c>
      <c r="R24" s="8"/>
      <c r="S24" s="24">
        <v>1866</v>
      </c>
      <c r="T24" s="8"/>
      <c r="U24" s="24">
        <v>1866</v>
      </c>
      <c r="V24" s="8"/>
      <c r="W24" s="24">
        <v>1866</v>
      </c>
      <c r="X24" s="8"/>
      <c r="Y24" s="24">
        <v>2023</v>
      </c>
      <c r="Z24" s="8"/>
      <c r="AA24" s="24">
        <v>2023</v>
      </c>
      <c r="AB24" s="8"/>
      <c r="AC24" s="8"/>
      <c r="AE24" s="8"/>
      <c r="AG24" s="8"/>
    </row>
    <row r="25" ht="12" customHeight="1">
      <c r="A25" s="8" t="s">
        <v>111</v>
      </c>
      <c r="B25" s="8" t="s">
        <v>413</v>
      </c>
      <c r="C25" s="24">
        <v>1544</v>
      </c>
      <c r="D25" s="8"/>
      <c r="E25" s="24">
        <v>1544</v>
      </c>
      <c r="F25" s="8"/>
      <c r="G25" s="24">
        <v>1544</v>
      </c>
      <c r="H25" s="8"/>
      <c r="I25" s="24">
        <v>1694</v>
      </c>
      <c r="J25" s="8"/>
      <c r="K25" s="24">
        <v>1694</v>
      </c>
      <c r="L25" s="8"/>
      <c r="M25" s="24">
        <v>1694</v>
      </c>
      <c r="N25" s="8"/>
      <c r="O25" s="24">
        <v>1694</v>
      </c>
      <c r="P25" s="8"/>
      <c r="Q25" s="24">
        <v>1899</v>
      </c>
      <c r="R25" s="8"/>
      <c r="S25" s="24">
        <v>1899</v>
      </c>
      <c r="T25" s="8"/>
      <c r="U25" s="24">
        <v>1899</v>
      </c>
      <c r="V25" s="8"/>
      <c r="W25" s="24">
        <v>1899</v>
      </c>
      <c r="X25" s="8"/>
      <c r="Y25" s="24">
        <v>2066</v>
      </c>
      <c r="Z25" s="8"/>
      <c r="AA25" s="24">
        <v>2066</v>
      </c>
      <c r="AB25" s="8"/>
      <c r="AC25" s="8"/>
      <c r="AE25" s="8"/>
      <c r="AG25" s="8"/>
    </row>
    <row r="26" ht="12" customHeight="1">
      <c r="A26" s="8" t="s">
        <v>113</v>
      </c>
      <c r="B26" s="8" t="s">
        <v>414</v>
      </c>
      <c r="C26" s="24">
        <v>1110</v>
      </c>
      <c r="D26" s="8"/>
      <c r="E26" s="24">
        <v>1135</v>
      </c>
      <c r="F26" s="8"/>
      <c r="G26" s="24">
        <v>1167</v>
      </c>
      <c r="H26" s="8"/>
      <c r="I26" s="24">
        <v>1152</v>
      </c>
      <c r="J26" s="8"/>
      <c r="K26" s="24">
        <v>1173</v>
      </c>
      <c r="L26" s="8"/>
      <c r="M26" s="24">
        <v>1178</v>
      </c>
      <c r="N26" s="8"/>
      <c r="O26" s="24">
        <v>1212</v>
      </c>
      <c r="P26" s="8"/>
      <c r="Q26" s="24">
        <v>1222</v>
      </c>
      <c r="R26" s="8"/>
      <c r="S26" s="24">
        <v>1231</v>
      </c>
      <c r="T26" s="8"/>
      <c r="U26" s="24">
        <v>1259</v>
      </c>
      <c r="V26" s="8"/>
      <c r="W26" s="24">
        <v>1320</v>
      </c>
      <c r="X26" s="8"/>
      <c r="Y26" s="24">
        <v>1359</v>
      </c>
      <c r="Z26" s="8"/>
      <c r="AA26" s="24">
        <v>1379</v>
      </c>
      <c r="AB26" s="8"/>
      <c r="AC26" s="8"/>
      <c r="AE26" s="8"/>
      <c r="AG26" s="8"/>
    </row>
    <row r="27" ht="12" customHeight="1">
      <c r="A27" s="8" t="s">
        <v>115</v>
      </c>
      <c r="B27" s="8" t="s">
        <v>415</v>
      </c>
      <c r="C27" s="24">
        <v>1098</v>
      </c>
      <c r="D27" s="8"/>
      <c r="E27" s="24">
        <v>1123</v>
      </c>
      <c r="F27" s="8"/>
      <c r="G27" s="24">
        <v>1153</v>
      </c>
      <c r="H27" s="8"/>
      <c r="I27" s="24">
        <v>1133</v>
      </c>
      <c r="J27" s="8"/>
      <c r="K27" s="24">
        <v>1153</v>
      </c>
      <c r="L27" s="8"/>
      <c r="M27" s="24">
        <v>1159</v>
      </c>
      <c r="N27" s="8"/>
      <c r="O27" s="24">
        <v>1194</v>
      </c>
      <c r="P27" s="8"/>
      <c r="Q27" s="24">
        <v>1201</v>
      </c>
      <c r="R27" s="8"/>
      <c r="S27" s="24">
        <v>1208</v>
      </c>
      <c r="T27" s="8"/>
      <c r="U27" s="24">
        <v>1234</v>
      </c>
      <c r="V27" s="8"/>
      <c r="W27" s="24">
        <v>1296</v>
      </c>
      <c r="X27" s="8"/>
      <c r="Y27" s="24">
        <v>1337</v>
      </c>
      <c r="Z27" s="8"/>
      <c r="AA27" s="24">
        <v>1354</v>
      </c>
      <c r="AB27" s="8"/>
      <c r="AC27" s="8"/>
      <c r="AE27" s="8"/>
      <c r="AG27" s="8"/>
    </row>
    <row r="28" ht="12" customHeight="1">
      <c r="A28" s="11" t="s">
        <v>117</v>
      </c>
      <c r="B28" s="8" t="s">
        <v>416</v>
      </c>
      <c r="C28" s="24">
        <v>1143</v>
      </c>
      <c r="D28" s="8"/>
      <c r="E28" s="24">
        <v>1142</v>
      </c>
      <c r="F28" s="8"/>
      <c r="G28" s="24">
        <v>1173</v>
      </c>
      <c r="H28" s="8"/>
      <c r="I28" s="24">
        <v>1158</v>
      </c>
      <c r="J28" s="8"/>
      <c r="K28" s="24">
        <v>1165</v>
      </c>
      <c r="L28" s="8"/>
      <c r="M28" s="24">
        <v>1152</v>
      </c>
      <c r="N28" s="8"/>
      <c r="O28" s="24">
        <v>1160</v>
      </c>
      <c r="P28" s="8"/>
      <c r="Q28" s="24">
        <v>1158</v>
      </c>
      <c r="R28" s="8"/>
      <c r="S28" s="24">
        <v>1154</v>
      </c>
      <c r="T28" s="8"/>
      <c r="U28" s="24">
        <v>1148</v>
      </c>
      <c r="V28" s="8"/>
      <c r="W28" s="24">
        <v>1151</v>
      </c>
      <c r="X28" s="8"/>
      <c r="Y28" s="24">
        <v>1139</v>
      </c>
      <c r="Z28" s="8"/>
      <c r="AA28" s="24">
        <v>1149</v>
      </c>
      <c r="AB28" s="8"/>
      <c r="AC28" s="8"/>
      <c r="AE28" s="8"/>
      <c r="AG28" s="8"/>
    </row>
    <row r="29" ht="12" customHeight="1">
      <c r="A29" s="8" t="s">
        <v>119</v>
      </c>
      <c r="B29" s="8" t="s">
        <v>417</v>
      </c>
      <c r="C29" s="24">
        <v>1222</v>
      </c>
      <c r="D29" s="8"/>
      <c r="E29" s="24">
        <v>1200</v>
      </c>
      <c r="F29" s="8"/>
      <c r="G29" s="24">
        <v>1236</v>
      </c>
      <c r="H29" s="8"/>
      <c r="I29" s="24">
        <v>1210</v>
      </c>
      <c r="J29" s="8"/>
      <c r="K29" s="24">
        <v>1204</v>
      </c>
      <c r="L29" s="8"/>
      <c r="M29" s="24">
        <v>1159</v>
      </c>
      <c r="N29" s="8"/>
      <c r="O29" s="24">
        <v>1160</v>
      </c>
      <c r="P29" s="8"/>
      <c r="Q29" s="24">
        <v>1186</v>
      </c>
      <c r="R29" s="8"/>
      <c r="S29" s="24">
        <v>1191</v>
      </c>
      <c r="T29" s="8"/>
      <c r="U29" s="24">
        <v>1179</v>
      </c>
      <c r="V29" s="8"/>
      <c r="W29" s="24">
        <v>1162</v>
      </c>
      <c r="X29" s="8"/>
      <c r="Y29" s="24">
        <v>1134</v>
      </c>
      <c r="Z29" s="8"/>
      <c r="AA29" s="24">
        <v>1184</v>
      </c>
      <c r="AB29" s="8"/>
      <c r="AC29" s="8"/>
      <c r="AE29" s="8"/>
      <c r="AG29" s="8"/>
    </row>
    <row r="30" ht="12" customHeight="1">
      <c r="A30" s="8" t="s">
        <v>121</v>
      </c>
      <c r="B30" s="8" t="s">
        <v>418</v>
      </c>
      <c r="C30" s="24">
        <v>1129</v>
      </c>
      <c r="D30" s="8"/>
      <c r="E30" s="24">
        <v>1145</v>
      </c>
      <c r="F30" s="8"/>
      <c r="G30" s="24">
        <v>1149</v>
      </c>
      <c r="H30" s="8"/>
      <c r="I30" s="24">
        <v>1119</v>
      </c>
      <c r="J30" s="8"/>
      <c r="K30" s="24">
        <v>1199</v>
      </c>
      <c r="L30" s="8"/>
      <c r="M30" s="24">
        <v>1149</v>
      </c>
      <c r="N30" s="8"/>
      <c r="O30" s="24">
        <v>1287</v>
      </c>
      <c r="P30" s="8"/>
      <c r="Q30" s="24">
        <v>1215</v>
      </c>
      <c r="R30" s="8"/>
      <c r="S30" s="24">
        <v>1122</v>
      </c>
      <c r="T30" s="8"/>
      <c r="U30" s="24">
        <v>1171</v>
      </c>
      <c r="V30" s="8"/>
      <c r="W30" s="24">
        <v>1214</v>
      </c>
      <c r="X30" s="8"/>
      <c r="Y30" s="24">
        <v>1201</v>
      </c>
      <c r="Z30" s="8"/>
      <c r="AA30" s="24">
        <v>1177</v>
      </c>
      <c r="AB30" s="8"/>
      <c r="AC30" s="8"/>
      <c r="AE30" s="8"/>
      <c r="AG30" s="8"/>
    </row>
    <row r="31" ht="12" customHeight="1">
      <c r="A31" s="8" t="s">
        <v>123</v>
      </c>
      <c r="B31" s="8" t="s">
        <v>419</v>
      </c>
      <c r="C31" s="24">
        <v>1088</v>
      </c>
      <c r="D31" s="8"/>
      <c r="E31" s="24">
        <v>1074</v>
      </c>
      <c r="F31" s="8"/>
      <c r="G31" s="24">
        <v>1116</v>
      </c>
      <c r="H31" s="8"/>
      <c r="I31" s="24">
        <v>1102</v>
      </c>
      <c r="J31" s="8"/>
      <c r="K31" s="24">
        <v>1098</v>
      </c>
      <c r="L31" s="8"/>
      <c r="M31" s="24">
        <v>1086</v>
      </c>
      <c r="N31" s="8"/>
      <c r="O31" s="24">
        <v>1081</v>
      </c>
      <c r="P31" s="8"/>
      <c r="Q31" s="24">
        <v>1065</v>
      </c>
      <c r="R31" s="8"/>
      <c r="S31" s="24">
        <v>1077</v>
      </c>
      <c r="T31" s="8"/>
      <c r="U31" s="24">
        <v>1064</v>
      </c>
      <c r="V31" s="8"/>
      <c r="W31" s="24">
        <v>1072</v>
      </c>
      <c r="X31" s="8"/>
      <c r="Y31" s="24">
        <v>1069</v>
      </c>
      <c r="Z31" s="8"/>
      <c r="AA31" s="24">
        <v>1074</v>
      </c>
      <c r="AB31" s="8"/>
      <c r="AC31" s="8"/>
      <c r="AE31" s="8"/>
      <c r="AG31" s="8"/>
    </row>
    <row r="32" ht="12" customHeight="1">
      <c r="A32" s="8" t="s">
        <v>125</v>
      </c>
      <c r="B32" s="8" t="s">
        <v>420</v>
      </c>
      <c r="C32" s="24">
        <v>1166</v>
      </c>
      <c r="D32" s="8"/>
      <c r="E32" s="24">
        <v>1121</v>
      </c>
      <c r="F32" s="8"/>
      <c r="G32" s="24">
        <v>1150</v>
      </c>
      <c r="H32" s="8"/>
      <c r="I32" s="24">
        <v>1129</v>
      </c>
      <c r="J32" s="8"/>
      <c r="K32" s="24">
        <v>1196</v>
      </c>
      <c r="L32" s="8"/>
      <c r="M32" s="24">
        <v>1227</v>
      </c>
      <c r="N32" s="8"/>
      <c r="O32" s="24">
        <v>1215</v>
      </c>
      <c r="P32" s="8"/>
      <c r="Q32" s="24">
        <v>1178</v>
      </c>
      <c r="R32" s="8"/>
      <c r="S32" s="24">
        <v>1209</v>
      </c>
      <c r="T32" s="8"/>
      <c r="U32" s="24">
        <v>1230</v>
      </c>
      <c r="V32" s="8"/>
      <c r="W32" s="24">
        <v>1214</v>
      </c>
      <c r="X32" s="8"/>
      <c r="Y32" s="24">
        <v>1203</v>
      </c>
      <c r="Z32" s="8"/>
      <c r="AA32" s="24">
        <v>1175</v>
      </c>
      <c r="AB32" s="8"/>
      <c r="AC32" s="8"/>
      <c r="AE32" s="8"/>
      <c r="AG32" s="8"/>
    </row>
    <row r="33" ht="12" customHeight="1">
      <c r="A33" s="8" t="s">
        <v>127</v>
      </c>
      <c r="B33" s="8" t="s">
        <v>421</v>
      </c>
      <c r="C33" s="24">
        <v>1095</v>
      </c>
      <c r="D33" s="8"/>
      <c r="E33" s="24">
        <v>1101</v>
      </c>
      <c r="F33" s="8"/>
      <c r="G33" s="24">
        <v>1146</v>
      </c>
      <c r="H33" s="8"/>
      <c r="I33" s="24">
        <v>1146</v>
      </c>
      <c r="J33" s="8"/>
      <c r="K33" s="24">
        <v>1143</v>
      </c>
      <c r="L33" s="8"/>
      <c r="M33" s="24">
        <v>1156</v>
      </c>
      <c r="N33" s="8"/>
      <c r="O33" s="24">
        <v>1116</v>
      </c>
      <c r="P33" s="8"/>
      <c r="Q33" s="24">
        <v>1109</v>
      </c>
      <c r="R33" s="8"/>
      <c r="S33" s="24">
        <v>1112</v>
      </c>
      <c r="T33" s="8"/>
      <c r="U33" s="24">
        <v>1101</v>
      </c>
      <c r="V33" s="8"/>
      <c r="W33" s="24">
        <v>1106</v>
      </c>
      <c r="X33" s="8"/>
      <c r="Y33" s="24">
        <v>1106</v>
      </c>
      <c r="Z33" s="8"/>
      <c r="AA33" s="24">
        <v>1083</v>
      </c>
      <c r="AB33" s="8"/>
      <c r="AC33" s="8"/>
      <c r="AE33" s="8"/>
      <c r="AG33" s="8"/>
    </row>
    <row r="34" ht="12" customHeight="1">
      <c r="A34" s="8" t="s">
        <v>129</v>
      </c>
      <c r="B34" s="8" t="s">
        <v>422</v>
      </c>
      <c r="C34" s="24">
        <v>1156</v>
      </c>
      <c r="D34" s="8"/>
      <c r="E34" s="24">
        <v>1182</v>
      </c>
      <c r="F34" s="8"/>
      <c r="G34" s="24">
        <v>1205</v>
      </c>
      <c r="H34" s="8"/>
      <c r="I34" s="24">
        <v>1198</v>
      </c>
      <c r="J34" s="8"/>
      <c r="K34" s="24">
        <v>1197</v>
      </c>
      <c r="L34" s="8"/>
      <c r="M34" s="24">
        <v>1204</v>
      </c>
      <c r="N34" s="8"/>
      <c r="O34" s="24">
        <v>1207</v>
      </c>
      <c r="P34" s="8"/>
      <c r="Q34" s="24">
        <v>1224</v>
      </c>
      <c r="R34" s="8"/>
      <c r="S34" s="24">
        <v>1217</v>
      </c>
      <c r="T34" s="8"/>
      <c r="U34" s="24">
        <v>1204</v>
      </c>
      <c r="V34" s="8"/>
      <c r="W34" s="24">
        <v>1223</v>
      </c>
      <c r="X34" s="8"/>
      <c r="Y34" s="24">
        <v>1219</v>
      </c>
      <c r="Z34" s="8"/>
      <c r="AA34" s="24">
        <v>1215</v>
      </c>
      <c r="AB34" s="8"/>
      <c r="AC34" s="8"/>
      <c r="AE34" s="8"/>
      <c r="AG34" s="8"/>
    </row>
    <row r="35" ht="12" customHeight="1">
      <c r="A35" s="11" t="s">
        <v>131</v>
      </c>
      <c r="B35" s="8" t="s">
        <v>423</v>
      </c>
      <c r="C35" s="24">
        <v>1131</v>
      </c>
      <c r="D35" s="8"/>
      <c r="E35" s="24">
        <v>1136</v>
      </c>
      <c r="F35" s="8"/>
      <c r="G35" s="24">
        <v>1150</v>
      </c>
      <c r="H35" s="8"/>
      <c r="I35" s="24">
        <v>1086</v>
      </c>
      <c r="J35" s="8"/>
      <c r="K35" s="24">
        <v>1101</v>
      </c>
      <c r="L35" s="8"/>
      <c r="M35" s="24">
        <v>1120</v>
      </c>
      <c r="N35" s="8"/>
      <c r="O35" s="24">
        <v>1124</v>
      </c>
      <c r="P35" s="8"/>
      <c r="Q35" s="24">
        <v>1214</v>
      </c>
      <c r="R35" s="8"/>
      <c r="S35" s="24">
        <v>1198</v>
      </c>
      <c r="T35" s="8"/>
      <c r="U35" s="24">
        <v>1202</v>
      </c>
      <c r="V35" s="8"/>
      <c r="W35" s="24">
        <v>1203</v>
      </c>
      <c r="X35" s="8"/>
      <c r="Y35" s="24">
        <v>1206</v>
      </c>
      <c r="Z35" s="8"/>
      <c r="AA35" s="24">
        <v>1205</v>
      </c>
      <c r="AB35" s="8"/>
      <c r="AC35" s="8"/>
      <c r="AE35" s="8"/>
      <c r="AG35" s="8"/>
    </row>
    <row r="36" ht="12" customHeight="1">
      <c r="A36" s="8" t="s">
        <v>133</v>
      </c>
      <c r="B36" s="8" t="s">
        <v>424</v>
      </c>
      <c r="C36" s="24">
        <v>1036</v>
      </c>
      <c r="D36" s="8"/>
      <c r="E36" s="24">
        <v>1038</v>
      </c>
      <c r="F36" s="8"/>
      <c r="G36" s="24">
        <v>1050</v>
      </c>
      <c r="H36" s="8"/>
      <c r="I36" s="24">
        <v>883</v>
      </c>
      <c r="J36" s="8"/>
      <c r="K36" s="24">
        <v>885</v>
      </c>
      <c r="L36" s="8"/>
      <c r="M36" s="24">
        <v>881</v>
      </c>
      <c r="N36" s="8"/>
      <c r="O36" s="24">
        <v>887</v>
      </c>
      <c r="P36" s="8"/>
      <c r="Q36" s="24">
        <v>1075</v>
      </c>
      <c r="R36" s="8"/>
      <c r="S36" s="24">
        <v>1008</v>
      </c>
      <c r="T36" s="8"/>
      <c r="U36" s="24">
        <v>1011</v>
      </c>
      <c r="V36" s="8"/>
      <c r="W36" s="24">
        <v>1006</v>
      </c>
      <c r="X36" s="8"/>
      <c r="Y36" s="24">
        <v>980</v>
      </c>
      <c r="Z36" s="8"/>
      <c r="AA36" s="24">
        <v>958</v>
      </c>
      <c r="AB36" s="8"/>
      <c r="AC36" s="8"/>
      <c r="AE36" s="8"/>
      <c r="AG36" s="8"/>
    </row>
    <row r="37" ht="12" customHeight="1">
      <c r="A37" s="8" t="s">
        <v>135</v>
      </c>
      <c r="B37" s="8" t="s">
        <v>425</v>
      </c>
      <c r="C37" s="24">
        <v>1198</v>
      </c>
      <c r="D37" s="8"/>
      <c r="E37" s="24">
        <v>1205</v>
      </c>
      <c r="F37" s="8"/>
      <c r="G37" s="24">
        <v>1220</v>
      </c>
      <c r="H37" s="8"/>
      <c r="I37" s="24">
        <v>1234</v>
      </c>
      <c r="J37" s="8"/>
      <c r="K37" s="24">
        <v>1260</v>
      </c>
      <c r="L37" s="8"/>
      <c r="M37" s="24">
        <v>1296</v>
      </c>
      <c r="N37" s="8"/>
      <c r="O37" s="24">
        <v>1298</v>
      </c>
      <c r="P37" s="8"/>
      <c r="Q37" s="24">
        <v>1314</v>
      </c>
      <c r="R37" s="8"/>
      <c r="S37" s="24">
        <v>1335</v>
      </c>
      <c r="T37" s="8"/>
      <c r="U37" s="24">
        <v>1341</v>
      </c>
      <c r="V37" s="8"/>
      <c r="W37" s="24">
        <v>1345</v>
      </c>
      <c r="X37" s="8"/>
      <c r="Y37" s="24">
        <v>1368</v>
      </c>
      <c r="Z37" s="8"/>
      <c r="AA37" s="24">
        <v>1379</v>
      </c>
      <c r="AB37" s="8"/>
      <c r="AC37" s="8"/>
      <c r="AE37" s="8"/>
      <c r="AG37" s="8"/>
    </row>
    <row r="38" ht="12" customHeight="1">
      <c r="A38" s="8" t="s">
        <v>137</v>
      </c>
      <c r="B38" s="8" t="s">
        <v>426</v>
      </c>
      <c r="C38" s="24">
        <v>1387</v>
      </c>
      <c r="D38" s="8"/>
      <c r="E38" s="24">
        <v>1412</v>
      </c>
      <c r="F38" s="8"/>
      <c r="G38" s="24">
        <v>1444</v>
      </c>
      <c r="H38" s="8"/>
      <c r="I38" s="24">
        <v>1499</v>
      </c>
      <c r="J38" s="8"/>
      <c r="K38" s="24">
        <v>1574</v>
      </c>
      <c r="L38" s="8"/>
      <c r="M38" s="24">
        <v>1605</v>
      </c>
      <c r="N38" s="8"/>
      <c r="O38" s="24">
        <v>1618</v>
      </c>
      <c r="P38" s="8"/>
      <c r="Q38" s="24">
        <v>1727</v>
      </c>
      <c r="R38" s="8"/>
      <c r="S38" s="24">
        <v>1749</v>
      </c>
      <c r="T38" s="8"/>
      <c r="U38" s="24">
        <v>1750</v>
      </c>
      <c r="V38" s="8"/>
      <c r="W38" s="24">
        <v>1765</v>
      </c>
      <c r="X38" s="8"/>
      <c r="Y38" s="24">
        <v>1791</v>
      </c>
      <c r="Z38" s="8"/>
      <c r="AA38" s="24">
        <v>1810</v>
      </c>
      <c r="AB38" s="8"/>
      <c r="AC38" s="8"/>
      <c r="AE38" s="8"/>
      <c r="AG38" s="8"/>
    </row>
    <row r="39" ht="12" customHeight="1">
      <c r="A39" s="11" t="s">
        <v>139</v>
      </c>
      <c r="B39" s="8" t="s">
        <v>427</v>
      </c>
      <c r="C39" s="24">
        <v>1111</v>
      </c>
      <c r="D39" s="8"/>
      <c r="E39" s="24">
        <v>1097</v>
      </c>
      <c r="F39" s="8"/>
      <c r="G39" s="24">
        <v>1077</v>
      </c>
      <c r="H39" s="8"/>
      <c r="I39" s="24">
        <v>1172</v>
      </c>
      <c r="J39" s="8"/>
      <c r="K39" s="24">
        <v>1170</v>
      </c>
      <c r="L39" s="8"/>
      <c r="M39" s="24">
        <v>1150</v>
      </c>
      <c r="N39" s="8"/>
      <c r="O39" s="24">
        <v>1150</v>
      </c>
      <c r="P39" s="8"/>
      <c r="Q39" s="24">
        <v>1121</v>
      </c>
      <c r="R39" s="8"/>
      <c r="S39" s="24">
        <v>1129</v>
      </c>
      <c r="T39" s="8"/>
      <c r="U39" s="24">
        <v>1149</v>
      </c>
      <c r="V39" s="8"/>
      <c r="W39" s="24">
        <v>1134</v>
      </c>
      <c r="X39" s="8"/>
      <c r="Y39" s="24">
        <v>1139</v>
      </c>
      <c r="Z39" s="8"/>
      <c r="AA39" s="24">
        <v>1160</v>
      </c>
      <c r="AB39" s="8"/>
      <c r="AC39" s="8"/>
      <c r="AE39" s="8"/>
      <c r="AG39" s="8"/>
    </row>
    <row r="40" ht="12" customHeight="1">
      <c r="A40" s="8" t="s">
        <v>141</v>
      </c>
      <c r="B40" s="8" t="s">
        <v>428</v>
      </c>
      <c r="C40" s="24">
        <v>1107</v>
      </c>
      <c r="D40" s="8"/>
      <c r="E40" s="24">
        <v>1117</v>
      </c>
      <c r="F40" s="8"/>
      <c r="G40" s="24">
        <v>1130</v>
      </c>
      <c r="H40" s="8"/>
      <c r="I40" s="24">
        <v>1160</v>
      </c>
      <c r="J40" s="8"/>
      <c r="K40" s="24">
        <v>1135</v>
      </c>
      <c r="L40" s="8"/>
      <c r="M40" s="24">
        <v>1121</v>
      </c>
      <c r="N40" s="8"/>
      <c r="O40" s="24">
        <v>1090</v>
      </c>
      <c r="P40" s="8"/>
      <c r="Q40" s="24">
        <v>1068</v>
      </c>
      <c r="R40" s="8"/>
      <c r="S40" s="24">
        <v>1091</v>
      </c>
      <c r="T40" s="8"/>
      <c r="U40" s="24">
        <v>1095</v>
      </c>
      <c r="V40" s="8"/>
      <c r="W40" s="24">
        <v>1105</v>
      </c>
      <c r="X40" s="8"/>
      <c r="Y40" s="24">
        <v>1103</v>
      </c>
      <c r="Z40" s="8"/>
      <c r="AA40" s="24">
        <v>1107</v>
      </c>
      <c r="AB40" s="8"/>
      <c r="AC40" s="8"/>
      <c r="AE40" s="8"/>
      <c r="AG40" s="8"/>
    </row>
    <row r="41" ht="12" customHeight="1">
      <c r="A41" s="8" t="s">
        <v>143</v>
      </c>
      <c r="B41" s="8" t="s">
        <v>429</v>
      </c>
      <c r="C41" s="24">
        <v>1087</v>
      </c>
      <c r="D41" s="8"/>
      <c r="E41" s="24">
        <v>1065</v>
      </c>
      <c r="F41" s="8"/>
      <c r="G41" s="24">
        <v>1052</v>
      </c>
      <c r="H41" s="8"/>
      <c r="I41" s="24">
        <v>1178</v>
      </c>
      <c r="J41" s="8"/>
      <c r="K41" s="24">
        <v>1186</v>
      </c>
      <c r="L41" s="8"/>
      <c r="M41" s="24">
        <v>1169</v>
      </c>
      <c r="N41" s="8"/>
      <c r="O41" s="24">
        <v>1194</v>
      </c>
      <c r="P41" s="8"/>
      <c r="Q41" s="24">
        <v>1145</v>
      </c>
      <c r="R41" s="8"/>
      <c r="S41" s="24">
        <v>1135</v>
      </c>
      <c r="T41" s="8"/>
      <c r="U41" s="24">
        <v>1171</v>
      </c>
      <c r="V41" s="8"/>
      <c r="W41" s="24">
        <v>1150</v>
      </c>
      <c r="X41" s="8"/>
      <c r="Y41" s="24">
        <v>1155</v>
      </c>
      <c r="Z41" s="8"/>
      <c r="AA41" s="24">
        <v>1175</v>
      </c>
      <c r="AB41" s="8"/>
      <c r="AC41" s="8"/>
      <c r="AE41" s="8"/>
      <c r="AG41" s="8"/>
    </row>
    <row r="42" ht="12" customHeight="1">
      <c r="A42" s="8" t="s">
        <v>145</v>
      </c>
      <c r="B42" s="8" t="s">
        <v>430</v>
      </c>
      <c r="C42" s="24">
        <v>1192</v>
      </c>
      <c r="D42" s="8"/>
      <c r="E42" s="24">
        <v>1162</v>
      </c>
      <c r="F42" s="8"/>
      <c r="G42" s="24">
        <v>1144</v>
      </c>
      <c r="H42" s="8"/>
      <c r="I42" s="24">
        <v>1333</v>
      </c>
      <c r="J42" s="8"/>
      <c r="K42" s="24">
        <v>1334</v>
      </c>
      <c r="L42" s="8"/>
      <c r="M42" s="24">
        <v>1302</v>
      </c>
      <c r="N42" s="8"/>
      <c r="O42" s="24">
        <v>1311</v>
      </c>
      <c r="P42" s="8"/>
      <c r="Q42" s="24">
        <v>1229</v>
      </c>
      <c r="R42" s="8"/>
      <c r="S42" s="24">
        <v>1212</v>
      </c>
      <c r="T42" s="8"/>
      <c r="U42" s="24">
        <v>1268</v>
      </c>
      <c r="V42" s="8"/>
      <c r="W42" s="24">
        <v>1207</v>
      </c>
      <c r="X42" s="8"/>
      <c r="Y42" s="24">
        <v>1209</v>
      </c>
      <c r="Z42" s="8"/>
      <c r="AA42" s="24">
        <v>1239</v>
      </c>
      <c r="AB42" s="8"/>
      <c r="AC42" s="8"/>
      <c r="AE42" s="8"/>
      <c r="AG42" s="8"/>
    </row>
    <row r="43" ht="12" customHeight="1">
      <c r="A43" s="8" t="s">
        <v>147</v>
      </c>
      <c r="B43" s="8" t="s">
        <v>431</v>
      </c>
      <c r="C43" s="24">
        <v>1276</v>
      </c>
      <c r="D43" s="8"/>
      <c r="E43" s="24">
        <v>1253</v>
      </c>
      <c r="F43" s="8"/>
      <c r="G43" s="24">
        <v>1152</v>
      </c>
      <c r="H43" s="8"/>
      <c r="I43" s="24">
        <v>1225</v>
      </c>
      <c r="J43" s="8"/>
      <c r="K43" s="24">
        <v>1214</v>
      </c>
      <c r="L43" s="8"/>
      <c r="M43" s="24">
        <v>1176</v>
      </c>
      <c r="N43" s="8"/>
      <c r="O43" s="24">
        <v>1119</v>
      </c>
      <c r="P43" s="8"/>
      <c r="Q43" s="24">
        <v>1158</v>
      </c>
      <c r="R43" s="8"/>
      <c r="S43" s="24">
        <v>1215</v>
      </c>
      <c r="T43" s="8"/>
      <c r="U43" s="24">
        <v>1175</v>
      </c>
      <c r="V43" s="8"/>
      <c r="W43" s="24">
        <v>1145</v>
      </c>
      <c r="X43" s="8"/>
      <c r="Y43" s="24">
        <v>1161</v>
      </c>
      <c r="Z43" s="8"/>
      <c r="AA43" s="24">
        <v>1224</v>
      </c>
      <c r="AB43" s="8"/>
      <c r="AC43" s="8"/>
      <c r="AE43" s="8"/>
      <c r="AG43" s="8"/>
    </row>
    <row r="44" ht="12" customHeight="1">
      <c r="A44" s="11" t="s">
        <v>149</v>
      </c>
      <c r="B44" s="8" t="s">
        <v>432</v>
      </c>
      <c r="C44" s="24">
        <v>930</v>
      </c>
      <c r="D44" s="8"/>
      <c r="E44" s="24">
        <v>934</v>
      </c>
      <c r="F44" s="8"/>
      <c r="G44" s="24">
        <v>937</v>
      </c>
      <c r="H44" s="8"/>
      <c r="I44" s="24">
        <v>953</v>
      </c>
      <c r="J44" s="8"/>
      <c r="K44" s="24">
        <v>970</v>
      </c>
      <c r="L44" s="8"/>
      <c r="M44" s="24">
        <v>977</v>
      </c>
      <c r="N44" s="8"/>
      <c r="O44" s="24">
        <v>987</v>
      </c>
      <c r="P44" s="8"/>
      <c r="Q44" s="24">
        <v>991</v>
      </c>
      <c r="R44" s="8"/>
      <c r="S44" s="24">
        <v>1016</v>
      </c>
      <c r="T44" s="8"/>
      <c r="U44" s="24">
        <v>1027</v>
      </c>
      <c r="V44" s="8"/>
      <c r="W44" s="24">
        <v>1035</v>
      </c>
      <c r="X44" s="8"/>
      <c r="Y44" s="24">
        <v>1045</v>
      </c>
      <c r="Z44" s="8"/>
      <c r="AA44" s="24">
        <v>1078</v>
      </c>
      <c r="AB44" s="8"/>
      <c r="AC44" s="8"/>
      <c r="AE44" s="8"/>
      <c r="AG44" s="8"/>
    </row>
    <row r="45" ht="12" customHeight="1">
      <c r="A45" s="8" t="s">
        <v>151</v>
      </c>
      <c r="B45" s="8" t="s">
        <v>433</v>
      </c>
      <c r="C45" s="24">
        <v>1429</v>
      </c>
      <c r="D45" s="8"/>
      <c r="E45" s="24">
        <v>1447</v>
      </c>
      <c r="F45" s="8"/>
      <c r="G45" s="24">
        <v>1429</v>
      </c>
      <c r="H45" s="8"/>
      <c r="I45" s="24">
        <v>1519</v>
      </c>
      <c r="J45" s="8"/>
      <c r="K45" s="24">
        <v>1545</v>
      </c>
      <c r="L45" s="8"/>
      <c r="M45" s="24">
        <v>1510</v>
      </c>
      <c r="N45" s="8"/>
      <c r="O45" s="24">
        <v>1496</v>
      </c>
      <c r="P45" s="8"/>
      <c r="Q45" s="24">
        <v>1526</v>
      </c>
      <c r="R45" s="8"/>
      <c r="S45" s="24">
        <v>1527</v>
      </c>
      <c r="T45" s="8"/>
      <c r="U45" s="24">
        <v>1521</v>
      </c>
      <c r="V45" s="8"/>
      <c r="W45" s="24">
        <v>1536</v>
      </c>
      <c r="X45" s="8"/>
      <c r="Y45" s="24">
        <v>1651</v>
      </c>
      <c r="Z45" s="8"/>
      <c r="AA45" s="24">
        <v>1655</v>
      </c>
      <c r="AB45" s="8"/>
      <c r="AC45" s="8"/>
      <c r="AE45" s="8"/>
      <c r="AG45" s="8"/>
    </row>
    <row r="46" ht="12" customHeight="1">
      <c r="A46" s="8" t="s">
        <v>153</v>
      </c>
      <c r="B46" s="8" t="s">
        <v>434</v>
      </c>
      <c r="C46" s="24">
        <v>303</v>
      </c>
      <c r="D46" s="8"/>
      <c r="E46" s="24">
        <v>307</v>
      </c>
      <c r="F46" s="8"/>
      <c r="G46" s="24">
        <v>277</v>
      </c>
      <c r="H46" s="8"/>
      <c r="I46" s="24">
        <v>259</v>
      </c>
      <c r="J46" s="8"/>
      <c r="K46" s="24">
        <v>301</v>
      </c>
      <c r="L46" s="8"/>
      <c r="M46" s="24">
        <v>292</v>
      </c>
      <c r="N46" s="8"/>
      <c r="O46" s="24">
        <v>316</v>
      </c>
      <c r="P46" s="8"/>
      <c r="Q46" s="24">
        <v>268</v>
      </c>
      <c r="R46" s="8"/>
      <c r="S46" s="24">
        <v>268</v>
      </c>
      <c r="T46" s="8"/>
      <c r="U46" s="24">
        <v>254</v>
      </c>
      <c r="V46" s="8"/>
      <c r="W46" s="24">
        <v>236</v>
      </c>
      <c r="X46" s="8"/>
      <c r="Y46" s="24">
        <v>228</v>
      </c>
      <c r="Z46" s="8"/>
      <c r="AA46" s="24">
        <v>253</v>
      </c>
      <c r="AB46" s="8"/>
      <c r="AC46" s="8"/>
      <c r="AE46" s="8"/>
      <c r="AG46" s="8"/>
    </row>
    <row r="47" ht="12" customHeight="1">
      <c r="A47" s="8" t="s">
        <v>155</v>
      </c>
      <c r="B47" s="8" t="s">
        <v>435</v>
      </c>
      <c r="C47" s="24">
        <v>959</v>
      </c>
      <c r="D47" s="8"/>
      <c r="E47" s="24">
        <v>962</v>
      </c>
      <c r="F47" s="8"/>
      <c r="G47" s="24">
        <v>970</v>
      </c>
      <c r="H47" s="8"/>
      <c r="I47" s="24">
        <v>988</v>
      </c>
      <c r="J47" s="8"/>
      <c r="K47" s="24">
        <v>1001</v>
      </c>
      <c r="L47" s="8"/>
      <c r="M47" s="24">
        <v>1011</v>
      </c>
      <c r="N47" s="8"/>
      <c r="O47" s="24">
        <v>1018</v>
      </c>
      <c r="P47" s="8"/>
      <c r="Q47" s="24">
        <v>1029</v>
      </c>
      <c r="R47" s="8"/>
      <c r="S47" s="24">
        <v>1056</v>
      </c>
      <c r="T47" s="8"/>
      <c r="U47" s="24">
        <v>1073</v>
      </c>
      <c r="V47" s="8"/>
      <c r="W47" s="24">
        <v>1088</v>
      </c>
      <c r="X47" s="8"/>
      <c r="Y47" s="24">
        <v>1099</v>
      </c>
      <c r="Z47" s="8"/>
      <c r="AA47" s="24">
        <v>1130</v>
      </c>
      <c r="AB47" s="8"/>
      <c r="AC47" s="8"/>
      <c r="AE47" s="8"/>
      <c r="AG47" s="8"/>
    </row>
    <row r="48" ht="12" customHeight="1">
      <c r="A48" s="11" t="s">
        <v>157</v>
      </c>
      <c r="B48" s="8" t="s">
        <v>436</v>
      </c>
      <c r="C48" s="24">
        <v>1169</v>
      </c>
      <c r="D48" s="8"/>
      <c r="E48" s="24">
        <v>1180</v>
      </c>
      <c r="F48" s="8"/>
      <c r="G48" s="24">
        <v>1183</v>
      </c>
      <c r="H48" s="8"/>
      <c r="I48" s="24">
        <v>1200</v>
      </c>
      <c r="J48" s="8"/>
      <c r="K48" s="24">
        <v>1221</v>
      </c>
      <c r="L48" s="8"/>
      <c r="M48" s="24">
        <v>1244</v>
      </c>
      <c r="N48" s="8"/>
      <c r="O48" s="24">
        <v>1224</v>
      </c>
      <c r="P48" s="8"/>
      <c r="Q48" s="24">
        <v>1227</v>
      </c>
      <c r="R48" s="8"/>
      <c r="S48" s="24">
        <v>1252</v>
      </c>
      <c r="T48" s="8"/>
      <c r="U48" s="24">
        <v>1249</v>
      </c>
      <c r="V48" s="8"/>
      <c r="W48" s="24">
        <v>1258</v>
      </c>
      <c r="X48" s="8"/>
      <c r="Y48" s="24">
        <v>1267</v>
      </c>
      <c r="Z48" s="8"/>
      <c r="AA48" s="24">
        <v>1284</v>
      </c>
      <c r="AB48" s="8"/>
      <c r="AC48" s="8"/>
      <c r="AE48" s="8"/>
      <c r="AG48" s="8"/>
    </row>
    <row r="49" ht="12" customHeight="1">
      <c r="A49" s="8" t="s">
        <v>159</v>
      </c>
      <c r="B49" s="8" t="s">
        <v>437</v>
      </c>
      <c r="C49" s="24">
        <v>424</v>
      </c>
      <c r="D49" s="8"/>
      <c r="E49" s="24">
        <v>404</v>
      </c>
      <c r="F49" s="8"/>
      <c r="G49" s="24">
        <v>337</v>
      </c>
      <c r="H49" s="8"/>
      <c r="I49" s="24">
        <v>351</v>
      </c>
      <c r="J49" s="8"/>
      <c r="K49" s="24">
        <v>377</v>
      </c>
      <c r="L49" s="8"/>
      <c r="M49" s="24">
        <v>341</v>
      </c>
      <c r="N49" s="8"/>
      <c r="O49" s="24">
        <v>304</v>
      </c>
      <c r="P49" s="8"/>
      <c r="Q49" s="24">
        <v>321</v>
      </c>
      <c r="R49" s="8"/>
      <c r="S49" s="24">
        <v>345</v>
      </c>
      <c r="T49" s="8"/>
      <c r="U49" s="24">
        <v>324</v>
      </c>
      <c r="V49" s="8"/>
      <c r="W49" s="24">
        <v>287</v>
      </c>
      <c r="X49" s="8"/>
      <c r="Y49" s="24">
        <v>292</v>
      </c>
      <c r="Z49" s="8"/>
      <c r="AA49" s="24">
        <v>315</v>
      </c>
      <c r="AB49" s="8"/>
      <c r="AC49" s="8"/>
      <c r="AE49" s="8"/>
      <c r="AG49" s="8"/>
    </row>
    <row r="50" ht="12" customHeight="1">
      <c r="A50" s="8" t="s">
        <v>161</v>
      </c>
      <c r="B50" s="8" t="s">
        <v>438</v>
      </c>
      <c r="C50" s="24">
        <v>1267</v>
      </c>
      <c r="D50" s="8"/>
      <c r="E50" s="24">
        <v>1288</v>
      </c>
      <c r="F50" s="8"/>
      <c r="G50" s="24">
        <v>1287</v>
      </c>
      <c r="H50" s="8"/>
      <c r="I50" s="24">
        <v>1297</v>
      </c>
      <c r="J50" s="8"/>
      <c r="K50" s="24">
        <v>1287</v>
      </c>
      <c r="L50" s="8"/>
      <c r="M50" s="24">
        <v>1311</v>
      </c>
      <c r="N50" s="8"/>
      <c r="O50" s="24">
        <v>1313</v>
      </c>
      <c r="P50" s="8"/>
      <c r="Q50" s="24">
        <v>1282</v>
      </c>
      <c r="R50" s="8"/>
      <c r="S50" s="24">
        <v>1292</v>
      </c>
      <c r="T50" s="8"/>
      <c r="U50" s="24">
        <v>1301</v>
      </c>
      <c r="V50" s="8"/>
      <c r="W50" s="24">
        <v>1324</v>
      </c>
      <c r="X50" s="8"/>
      <c r="Y50" s="24">
        <v>1320</v>
      </c>
      <c r="Z50" s="8"/>
      <c r="AA50" s="24">
        <v>1330</v>
      </c>
      <c r="AB50" s="8"/>
      <c r="AC50" s="8"/>
      <c r="AE50" s="8"/>
      <c r="AG50" s="8"/>
    </row>
    <row r="51" ht="12" customHeight="1">
      <c r="A51" s="8" t="s">
        <v>163</v>
      </c>
      <c r="B51" s="8" t="s">
        <v>439</v>
      </c>
      <c r="C51" s="24">
        <v>1289</v>
      </c>
      <c r="D51" s="8"/>
      <c r="E51" s="24">
        <v>1312</v>
      </c>
      <c r="F51" s="8"/>
      <c r="G51" s="24">
        <v>1370</v>
      </c>
      <c r="H51" s="8"/>
      <c r="I51" s="24">
        <v>1372</v>
      </c>
      <c r="J51" s="8"/>
      <c r="K51" s="24">
        <v>1381</v>
      </c>
      <c r="L51" s="8"/>
      <c r="M51" s="24">
        <v>1391</v>
      </c>
      <c r="N51" s="8"/>
      <c r="O51" s="24">
        <v>1369</v>
      </c>
      <c r="P51" s="8"/>
      <c r="Q51" s="24">
        <v>1383</v>
      </c>
      <c r="R51" s="8"/>
      <c r="S51" s="24">
        <v>1399</v>
      </c>
      <c r="T51" s="8"/>
      <c r="U51" s="24">
        <v>1392</v>
      </c>
      <c r="V51" s="8"/>
      <c r="W51" s="24">
        <v>1366</v>
      </c>
      <c r="X51" s="8"/>
      <c r="Y51" s="24">
        <v>1380</v>
      </c>
      <c r="Z51" s="8"/>
      <c r="AA51" s="24">
        <v>1388</v>
      </c>
      <c r="AB51" s="8"/>
      <c r="AC51" s="8"/>
      <c r="AE51" s="8"/>
      <c r="AG51" s="8"/>
    </row>
    <row r="52" ht="12" customHeight="1">
      <c r="A52" s="8" t="s">
        <v>165</v>
      </c>
      <c r="B52" s="8" t="s">
        <v>440</v>
      </c>
      <c r="C52" s="24">
        <v>1071</v>
      </c>
      <c r="D52" s="8"/>
      <c r="E52" s="24">
        <v>1081</v>
      </c>
      <c r="F52" s="8"/>
      <c r="G52" s="24">
        <v>1090</v>
      </c>
      <c r="H52" s="8"/>
      <c r="I52" s="24">
        <v>1102</v>
      </c>
      <c r="J52" s="8"/>
      <c r="K52" s="24">
        <v>1127</v>
      </c>
      <c r="L52" s="8"/>
      <c r="M52" s="24">
        <v>1164</v>
      </c>
      <c r="N52" s="8"/>
      <c r="O52" s="24">
        <v>1184</v>
      </c>
      <c r="P52" s="8"/>
      <c r="Q52" s="24">
        <v>1177</v>
      </c>
      <c r="R52" s="8"/>
      <c r="S52" s="24">
        <v>1195</v>
      </c>
      <c r="T52" s="8"/>
      <c r="U52" s="24">
        <v>1198</v>
      </c>
      <c r="V52" s="8"/>
      <c r="W52" s="24">
        <v>1270</v>
      </c>
      <c r="X52" s="8"/>
      <c r="Y52" s="24">
        <v>1275</v>
      </c>
      <c r="Z52" s="8"/>
      <c r="AA52" s="24">
        <v>1276</v>
      </c>
      <c r="AB52" s="8"/>
      <c r="AC52" s="8"/>
      <c r="AE52" s="8"/>
      <c r="AG52" s="8"/>
    </row>
    <row r="53" ht="12" customHeight="1">
      <c r="A53" s="8" t="s">
        <v>167</v>
      </c>
      <c r="B53" s="8" t="s">
        <v>441</v>
      </c>
      <c r="C53" s="24">
        <v>1477</v>
      </c>
      <c r="D53" s="8"/>
      <c r="E53" s="24">
        <v>1477</v>
      </c>
      <c r="F53" s="8"/>
      <c r="G53" s="24">
        <v>1516</v>
      </c>
      <c r="H53" s="8"/>
      <c r="I53" s="24">
        <v>1556</v>
      </c>
      <c r="J53" s="8"/>
      <c r="K53" s="24">
        <v>1564</v>
      </c>
      <c r="L53" s="8"/>
      <c r="M53" s="24">
        <v>1581</v>
      </c>
      <c r="N53" s="8"/>
      <c r="O53" s="24">
        <v>1609</v>
      </c>
      <c r="P53" s="8"/>
      <c r="Q53" s="24">
        <v>1622</v>
      </c>
      <c r="R53" s="8"/>
      <c r="S53" s="24">
        <v>1638</v>
      </c>
      <c r="T53" s="8"/>
      <c r="U53" s="24">
        <v>1627</v>
      </c>
      <c r="V53" s="8"/>
      <c r="W53" s="24">
        <v>1623</v>
      </c>
      <c r="X53" s="8"/>
      <c r="Y53" s="24">
        <v>1658</v>
      </c>
      <c r="Z53" s="8"/>
      <c r="AA53" s="24">
        <v>1675</v>
      </c>
      <c r="AB53" s="8"/>
      <c r="AC53" s="8"/>
      <c r="AE53" s="8"/>
      <c r="AG53" s="8"/>
    </row>
    <row r="54" ht="12" customHeight="1">
      <c r="A54" s="8" t="s">
        <v>169</v>
      </c>
      <c r="B54" s="8" t="s">
        <v>442</v>
      </c>
      <c r="C54" s="24">
        <v>1898</v>
      </c>
      <c r="D54" s="8"/>
      <c r="E54" s="24">
        <v>1979</v>
      </c>
      <c r="F54" s="8"/>
      <c r="G54" s="24">
        <v>1865</v>
      </c>
      <c r="H54" s="8"/>
      <c r="I54" s="24">
        <v>1916</v>
      </c>
      <c r="J54" s="8"/>
      <c r="K54" s="24">
        <v>1962</v>
      </c>
      <c r="L54" s="8"/>
      <c r="M54" s="24">
        <v>2088</v>
      </c>
      <c r="N54" s="8"/>
      <c r="O54" s="24">
        <v>1892</v>
      </c>
      <c r="P54" s="8"/>
      <c r="Q54" s="24">
        <v>1866</v>
      </c>
      <c r="R54" s="8"/>
      <c r="S54" s="24">
        <v>1956</v>
      </c>
      <c r="T54" s="8"/>
      <c r="U54" s="24">
        <v>2000</v>
      </c>
      <c r="V54" s="8"/>
      <c r="W54" s="24">
        <v>2038</v>
      </c>
      <c r="X54" s="8"/>
      <c r="Y54" s="24">
        <v>2044</v>
      </c>
      <c r="Z54" s="8"/>
      <c r="AA54" s="24">
        <v>2105</v>
      </c>
      <c r="AB54" s="8"/>
      <c r="AC54" s="8"/>
      <c r="AE54" s="8"/>
      <c r="AG54" s="8"/>
    </row>
    <row r="55" ht="12" customHeight="1">
      <c r="A55" s="11" t="s">
        <v>171</v>
      </c>
      <c r="B55" s="8" t="s">
        <v>443</v>
      </c>
      <c r="C55" s="24">
        <v>1024</v>
      </c>
      <c r="D55" s="8"/>
      <c r="E55" s="24">
        <v>1054</v>
      </c>
      <c r="F55" s="8"/>
      <c r="G55" s="24">
        <v>1054</v>
      </c>
      <c r="H55" s="8"/>
      <c r="I55" s="24">
        <v>1061</v>
      </c>
      <c r="J55" s="8"/>
      <c r="K55" s="24">
        <v>1061</v>
      </c>
      <c r="L55" s="8"/>
      <c r="M55" s="24">
        <v>1111</v>
      </c>
      <c r="N55" s="8"/>
      <c r="O55" s="24">
        <v>1111</v>
      </c>
      <c r="P55" s="8"/>
      <c r="Q55" s="24">
        <v>1067</v>
      </c>
      <c r="R55" s="8"/>
      <c r="S55" s="24">
        <v>1067</v>
      </c>
      <c r="T55" s="8"/>
      <c r="U55" s="24">
        <v>1204</v>
      </c>
      <c r="V55" s="8"/>
      <c r="W55" s="24">
        <v>1204</v>
      </c>
      <c r="X55" s="8"/>
      <c r="Y55" s="24">
        <v>1207</v>
      </c>
      <c r="Z55" s="8"/>
      <c r="AA55" s="24">
        <v>1207</v>
      </c>
      <c r="AB55" s="8"/>
      <c r="AC55" s="8"/>
      <c r="AE55" s="8"/>
      <c r="AG55" s="8"/>
    </row>
    <row r="56" ht="12" customHeight="1">
      <c r="A56" s="8" t="s">
        <v>173</v>
      </c>
      <c r="B56" s="8" t="s">
        <v>444</v>
      </c>
      <c r="C56" s="24">
        <v>1219</v>
      </c>
      <c r="D56" s="8"/>
      <c r="E56" s="24">
        <v>1219</v>
      </c>
      <c r="F56" s="8"/>
      <c r="G56" s="24">
        <v>1219</v>
      </c>
      <c r="H56" s="8"/>
      <c r="I56" s="24">
        <v>1262</v>
      </c>
      <c r="J56" s="8"/>
      <c r="K56" s="24">
        <v>1262</v>
      </c>
      <c r="L56" s="8"/>
      <c r="M56" s="24">
        <v>1262</v>
      </c>
      <c r="N56" s="8"/>
      <c r="O56" s="24">
        <v>1262</v>
      </c>
      <c r="P56" s="8"/>
      <c r="Q56" s="24">
        <v>999</v>
      </c>
      <c r="R56" s="8"/>
      <c r="S56" s="24">
        <v>999</v>
      </c>
      <c r="T56" s="8"/>
      <c r="U56" s="24">
        <v>999</v>
      </c>
      <c r="V56" s="8"/>
      <c r="W56" s="24">
        <v>999</v>
      </c>
      <c r="X56" s="8"/>
      <c r="Y56" s="24">
        <v>1023</v>
      </c>
      <c r="Z56" s="8"/>
      <c r="AA56" s="24">
        <v>1023</v>
      </c>
      <c r="AB56" s="8"/>
      <c r="AC56" s="8"/>
      <c r="AE56" s="8"/>
      <c r="AG56" s="8"/>
    </row>
    <row r="57" ht="12" customHeight="1">
      <c r="A57" s="8" t="s">
        <v>175</v>
      </c>
      <c r="B57" s="8" t="s">
        <v>445</v>
      </c>
      <c r="C57" s="24">
        <v>1115</v>
      </c>
      <c r="D57" s="8"/>
      <c r="E57" s="24">
        <v>1138</v>
      </c>
      <c r="F57" s="8"/>
      <c r="G57" s="24">
        <v>1138</v>
      </c>
      <c r="H57" s="8"/>
      <c r="I57" s="24">
        <v>1138</v>
      </c>
      <c r="J57" s="8"/>
      <c r="K57" s="24">
        <v>1138</v>
      </c>
      <c r="L57" s="8"/>
      <c r="M57" s="24">
        <v>1186</v>
      </c>
      <c r="N57" s="8"/>
      <c r="O57" s="24">
        <v>1186</v>
      </c>
      <c r="P57" s="8"/>
      <c r="Q57" s="24">
        <v>1186</v>
      </c>
      <c r="R57" s="8"/>
      <c r="S57" s="24">
        <v>1186</v>
      </c>
      <c r="T57" s="8"/>
      <c r="U57" s="24">
        <v>1235</v>
      </c>
      <c r="V57" s="8"/>
      <c r="W57" s="24">
        <v>1235</v>
      </c>
      <c r="X57" s="8"/>
      <c r="Y57" s="24">
        <v>1235</v>
      </c>
      <c r="Z57" s="8"/>
      <c r="AA57" s="24">
        <v>1235</v>
      </c>
      <c r="AB57" s="8"/>
      <c r="AC57" s="8"/>
      <c r="AE57" s="8"/>
      <c r="AG57" s="8"/>
    </row>
    <row r="58" ht="12" customHeight="1">
      <c r="A58" s="8" t="s">
        <v>177</v>
      </c>
      <c r="B58" s="8" t="s">
        <v>446</v>
      </c>
      <c r="C58" s="24">
        <v>948</v>
      </c>
      <c r="D58" s="8"/>
      <c r="E58" s="24">
        <v>988</v>
      </c>
      <c r="F58" s="8"/>
      <c r="G58" s="24">
        <v>988</v>
      </c>
      <c r="H58" s="8"/>
      <c r="I58" s="24">
        <v>988</v>
      </c>
      <c r="J58" s="8"/>
      <c r="K58" s="24">
        <v>988</v>
      </c>
      <c r="L58" s="8"/>
      <c r="M58" s="24">
        <v>1052</v>
      </c>
      <c r="N58" s="8"/>
      <c r="O58" s="24">
        <v>1052</v>
      </c>
      <c r="P58" s="8"/>
      <c r="Q58" s="24">
        <v>1052</v>
      </c>
      <c r="R58" s="8"/>
      <c r="S58" s="24">
        <v>1052</v>
      </c>
      <c r="T58" s="8"/>
      <c r="U58" s="24">
        <v>1290</v>
      </c>
      <c r="V58" s="8"/>
      <c r="W58" s="24">
        <v>1290</v>
      </c>
      <c r="X58" s="8"/>
      <c r="Y58" s="24">
        <v>1290</v>
      </c>
      <c r="Z58" s="8"/>
      <c r="AA58" s="24">
        <v>1290</v>
      </c>
      <c r="AB58" s="8"/>
      <c r="AC58" s="8"/>
      <c r="AE58" s="8"/>
      <c r="AG58" s="8"/>
    </row>
    <row r="59" ht="12" customHeight="1">
      <c r="A59" s="8" t="s">
        <v>179</v>
      </c>
      <c r="B59" s="8" t="s">
        <v>447</v>
      </c>
      <c r="C59" s="24">
        <v>1127</v>
      </c>
      <c r="D59" s="8"/>
      <c r="E59" s="24">
        <v>1190</v>
      </c>
      <c r="F59" s="8"/>
      <c r="G59" s="24">
        <v>1190</v>
      </c>
      <c r="H59" s="8"/>
      <c r="I59" s="24">
        <v>1190</v>
      </c>
      <c r="J59" s="8"/>
      <c r="K59" s="24">
        <v>1190</v>
      </c>
      <c r="L59" s="8"/>
      <c r="M59" s="24">
        <v>1241</v>
      </c>
      <c r="N59" s="8"/>
      <c r="O59" s="24">
        <v>1241</v>
      </c>
      <c r="P59" s="8"/>
      <c r="Q59" s="24">
        <v>1241</v>
      </c>
      <c r="R59" s="8"/>
      <c r="S59" s="24">
        <v>1241</v>
      </c>
      <c r="T59" s="8"/>
      <c r="U59" s="24">
        <v>1304</v>
      </c>
      <c r="V59" s="8"/>
      <c r="W59" s="24">
        <v>1304</v>
      </c>
      <c r="X59" s="8"/>
      <c r="Y59" s="24">
        <v>1304</v>
      </c>
      <c r="Z59" s="8"/>
      <c r="AA59" s="24">
        <v>1304</v>
      </c>
      <c r="AB59" s="8"/>
      <c r="AC59" s="8"/>
      <c r="AE59" s="8"/>
      <c r="AG59" s="8"/>
    </row>
    <row r="60" ht="12" customHeight="1">
      <c r="A60" s="11" t="s">
        <v>181</v>
      </c>
      <c r="B60" s="8" t="s">
        <v>448</v>
      </c>
      <c r="C60" s="24">
        <v>1301</v>
      </c>
      <c r="D60" s="8"/>
      <c r="E60" s="24">
        <v>1329</v>
      </c>
      <c r="F60" s="8"/>
      <c r="G60" s="24">
        <v>1369</v>
      </c>
      <c r="H60" s="8"/>
      <c r="I60" s="24">
        <v>1406</v>
      </c>
      <c r="J60" s="8"/>
      <c r="K60" s="24">
        <v>1442</v>
      </c>
      <c r="L60" s="8"/>
      <c r="M60" s="24">
        <v>1487</v>
      </c>
      <c r="N60" s="8"/>
      <c r="O60" s="24">
        <v>1526</v>
      </c>
      <c r="P60" s="8"/>
      <c r="Q60" s="24">
        <v>1554</v>
      </c>
      <c r="R60" s="8"/>
      <c r="S60" s="24">
        <v>1578</v>
      </c>
      <c r="T60" s="8"/>
      <c r="U60" s="24">
        <v>1595</v>
      </c>
      <c r="V60" s="8"/>
      <c r="W60" s="24">
        <v>1612</v>
      </c>
      <c r="X60" s="8"/>
      <c r="Y60" s="24">
        <v>1617</v>
      </c>
      <c r="Z60" s="8"/>
      <c r="AA60" s="24">
        <v>1619</v>
      </c>
      <c r="AB60" s="8"/>
      <c r="AC60" s="8"/>
      <c r="AE60" s="8"/>
      <c r="AG60" s="8"/>
    </row>
    <row r="61" ht="12" customHeight="1">
      <c r="A61" s="8" t="s">
        <v>183</v>
      </c>
      <c r="B61" s="8" t="s">
        <v>449</v>
      </c>
      <c r="C61" s="24">
        <v>1114</v>
      </c>
      <c r="D61" s="8"/>
      <c r="E61" s="24">
        <v>1137</v>
      </c>
      <c r="F61" s="8"/>
      <c r="G61" s="24">
        <v>1162</v>
      </c>
      <c r="H61" s="8"/>
      <c r="I61" s="24">
        <v>1155</v>
      </c>
      <c r="J61" s="8"/>
      <c r="K61" s="24">
        <v>1143</v>
      </c>
      <c r="L61" s="8"/>
      <c r="M61" s="24">
        <v>1145</v>
      </c>
      <c r="N61" s="8"/>
      <c r="O61" s="24">
        <v>1146</v>
      </c>
      <c r="P61" s="8"/>
      <c r="Q61" s="24">
        <v>1142</v>
      </c>
      <c r="R61" s="8"/>
      <c r="S61" s="24">
        <v>1142</v>
      </c>
      <c r="T61" s="8"/>
      <c r="U61" s="24">
        <v>1148</v>
      </c>
      <c r="V61" s="8"/>
      <c r="W61" s="24">
        <v>1161</v>
      </c>
      <c r="X61" s="8"/>
      <c r="Y61" s="24">
        <v>1164</v>
      </c>
      <c r="Z61" s="8"/>
      <c r="AA61" s="24">
        <v>1162</v>
      </c>
      <c r="AB61" s="8"/>
      <c r="AC61" s="8"/>
      <c r="AE61" s="8"/>
      <c r="AG61" s="8"/>
    </row>
    <row r="62" ht="12" customHeight="1">
      <c r="A62" s="8" t="s">
        <v>185</v>
      </c>
      <c r="B62" s="8" t="s">
        <v>450</v>
      </c>
      <c r="C62" s="24">
        <v>1142</v>
      </c>
      <c r="D62" s="8"/>
      <c r="E62" s="24">
        <v>1139</v>
      </c>
      <c r="F62" s="8"/>
      <c r="G62" s="24">
        <v>1122</v>
      </c>
      <c r="H62" s="8"/>
      <c r="I62" s="24">
        <v>1145</v>
      </c>
      <c r="J62" s="8"/>
      <c r="K62" s="24">
        <v>1162</v>
      </c>
      <c r="L62" s="8"/>
      <c r="M62" s="24">
        <v>1168</v>
      </c>
      <c r="N62" s="8"/>
      <c r="O62" s="24">
        <v>1185</v>
      </c>
      <c r="P62" s="8"/>
      <c r="Q62" s="24">
        <v>1188</v>
      </c>
      <c r="R62" s="8"/>
      <c r="S62" s="24">
        <v>1189</v>
      </c>
      <c r="T62" s="8"/>
      <c r="U62" s="24">
        <v>1186</v>
      </c>
      <c r="V62" s="8"/>
      <c r="W62" s="24">
        <v>1213</v>
      </c>
      <c r="X62" s="8"/>
      <c r="Y62" s="24">
        <v>1228</v>
      </c>
      <c r="Z62" s="8"/>
      <c r="AA62" s="24">
        <v>1259</v>
      </c>
      <c r="AB62" s="8"/>
      <c r="AC62" s="8"/>
      <c r="AE62" s="8"/>
      <c r="AG62" s="8"/>
    </row>
    <row r="63" ht="12" customHeight="1">
      <c r="A63" s="8" t="s">
        <v>187</v>
      </c>
      <c r="B63" s="8" t="s">
        <v>451</v>
      </c>
      <c r="C63" s="24">
        <v>1379</v>
      </c>
      <c r="D63" s="8"/>
      <c r="E63" s="24">
        <v>1416</v>
      </c>
      <c r="F63" s="8"/>
      <c r="G63" s="24">
        <v>1476</v>
      </c>
      <c r="H63" s="8"/>
      <c r="I63" s="24">
        <v>1543</v>
      </c>
      <c r="J63" s="8"/>
      <c r="K63" s="24">
        <v>1611</v>
      </c>
      <c r="L63" s="8"/>
      <c r="M63" s="24">
        <v>1689</v>
      </c>
      <c r="N63" s="8"/>
      <c r="O63" s="24">
        <v>1759</v>
      </c>
      <c r="P63" s="8"/>
      <c r="Q63" s="24">
        <v>1811</v>
      </c>
      <c r="R63" s="8"/>
      <c r="S63" s="24">
        <v>1855</v>
      </c>
      <c r="T63" s="8"/>
      <c r="U63" s="24">
        <v>1880</v>
      </c>
      <c r="V63" s="8"/>
      <c r="W63" s="24">
        <v>1900</v>
      </c>
      <c r="X63" s="8"/>
      <c r="Y63" s="24">
        <v>1909</v>
      </c>
      <c r="Z63" s="8"/>
      <c r="AA63" s="24">
        <v>1910</v>
      </c>
      <c r="AB63" s="8"/>
      <c r="AC63" s="8"/>
      <c r="AE63" s="8"/>
      <c r="AG63" s="8"/>
    </row>
    <row r="64" ht="12" customHeight="1">
      <c r="A64" s="8" t="s">
        <v>189</v>
      </c>
      <c r="B64" s="8" t="s">
        <v>452</v>
      </c>
      <c r="C64" s="24">
        <v>719</v>
      </c>
      <c r="D64" s="8"/>
      <c r="E64" s="24">
        <v>716</v>
      </c>
      <c r="F64" s="8"/>
      <c r="G64" s="24">
        <v>716</v>
      </c>
      <c r="H64" s="8"/>
      <c r="I64" s="24">
        <v>716</v>
      </c>
      <c r="J64" s="8"/>
      <c r="K64" s="24">
        <v>716</v>
      </c>
      <c r="L64" s="8"/>
      <c r="M64" s="24">
        <v>716</v>
      </c>
      <c r="N64" s="8"/>
      <c r="O64" s="24">
        <v>716</v>
      </c>
      <c r="P64" s="8"/>
      <c r="Q64" s="24">
        <v>700</v>
      </c>
      <c r="R64" s="8"/>
      <c r="S64" s="24">
        <v>696</v>
      </c>
      <c r="T64" s="8"/>
      <c r="U64" s="24">
        <v>696</v>
      </c>
      <c r="V64" s="8"/>
      <c r="W64" s="24">
        <v>692</v>
      </c>
      <c r="X64" s="8"/>
      <c r="Y64" s="24">
        <v>691</v>
      </c>
      <c r="Z64" s="8"/>
      <c r="AA64" s="24">
        <v>691</v>
      </c>
      <c r="AB64" s="8"/>
      <c r="AC64" s="8"/>
      <c r="AE64" s="8"/>
      <c r="AG64" s="8"/>
    </row>
    <row r="65" ht="12" customHeight="1">
      <c r="A65" s="8" t="s">
        <v>191</v>
      </c>
      <c r="B65" s="8" t="s">
        <v>453</v>
      </c>
      <c r="C65" s="24">
        <v>1457</v>
      </c>
      <c r="D65" s="8"/>
      <c r="E65" s="24">
        <v>1471</v>
      </c>
      <c r="F65" s="8"/>
      <c r="G65" s="24">
        <v>1477</v>
      </c>
      <c r="H65" s="8"/>
      <c r="I65" s="24">
        <v>1513</v>
      </c>
      <c r="J65" s="8"/>
      <c r="K65" s="24">
        <v>1530</v>
      </c>
      <c r="L65" s="8"/>
      <c r="M65" s="24">
        <v>1548</v>
      </c>
      <c r="N65" s="8"/>
      <c r="O65" s="24">
        <v>1557</v>
      </c>
      <c r="P65" s="8"/>
      <c r="Q65" s="24">
        <v>1570</v>
      </c>
      <c r="R65" s="8"/>
      <c r="S65" s="24">
        <v>1577</v>
      </c>
      <c r="T65" s="8"/>
      <c r="U65" s="24">
        <v>1587</v>
      </c>
      <c r="V65" s="8"/>
      <c r="W65" s="24">
        <v>1607</v>
      </c>
      <c r="X65" s="8"/>
      <c r="Y65" s="24">
        <v>1594</v>
      </c>
      <c r="Z65" s="8"/>
      <c r="AA65" s="24">
        <v>1594</v>
      </c>
      <c r="AB65" s="8"/>
      <c r="AC65" s="8"/>
      <c r="AE65" s="8"/>
      <c r="AG65" s="8"/>
    </row>
    <row r="66" ht="12" customHeight="1">
      <c r="A66" s="11" t="s">
        <v>193</v>
      </c>
      <c r="B66" s="8" t="s">
        <v>454</v>
      </c>
      <c r="C66" s="24">
        <v>1440</v>
      </c>
      <c r="D66" s="8"/>
      <c r="E66" s="24">
        <v>1536</v>
      </c>
      <c r="F66" s="8"/>
      <c r="G66" s="24">
        <v>1586</v>
      </c>
      <c r="H66" s="8"/>
      <c r="I66" s="24">
        <v>1715</v>
      </c>
      <c r="J66" s="8"/>
      <c r="K66" s="24">
        <v>1878</v>
      </c>
      <c r="L66" s="8"/>
      <c r="M66" s="24">
        <v>1961</v>
      </c>
      <c r="N66" s="8"/>
      <c r="O66" s="24">
        <v>2002</v>
      </c>
      <c r="P66" s="8"/>
      <c r="Q66" s="24">
        <v>2021</v>
      </c>
      <c r="R66" s="8"/>
      <c r="S66" s="24">
        <v>2009</v>
      </c>
      <c r="T66" s="8"/>
      <c r="U66" s="24">
        <v>1972</v>
      </c>
      <c r="V66" s="8"/>
      <c r="W66" s="24">
        <v>1856</v>
      </c>
      <c r="X66" s="8"/>
      <c r="Y66" s="24">
        <v>1748</v>
      </c>
      <c r="Z66" s="8"/>
      <c r="AA66" s="24">
        <v>1682</v>
      </c>
      <c r="AB66" s="8"/>
      <c r="AC66" s="8"/>
      <c r="AE66" s="8"/>
      <c r="AG66" s="8"/>
    </row>
    <row r="67" ht="12" customHeight="1">
      <c r="A67" s="8" t="s">
        <v>195</v>
      </c>
      <c r="B67" s="8" t="s">
        <v>455</v>
      </c>
      <c r="C67" s="24">
        <v>1440</v>
      </c>
      <c r="D67" s="8"/>
      <c r="E67" s="24">
        <v>1536</v>
      </c>
      <c r="F67" s="8"/>
      <c r="G67" s="24">
        <v>1586</v>
      </c>
      <c r="H67" s="8"/>
      <c r="I67" s="24">
        <v>1715</v>
      </c>
      <c r="J67" s="8"/>
      <c r="K67" s="24">
        <v>1878</v>
      </c>
      <c r="L67" s="8"/>
      <c r="M67" s="24">
        <v>1961</v>
      </c>
      <c r="N67" s="8"/>
      <c r="O67" s="24">
        <v>2002</v>
      </c>
      <c r="P67" s="8"/>
      <c r="Q67" s="24">
        <v>2021</v>
      </c>
      <c r="R67" s="8"/>
      <c r="S67" s="24">
        <v>2009</v>
      </c>
      <c r="T67" s="8"/>
      <c r="U67" s="24">
        <v>1972</v>
      </c>
      <c r="V67" s="8"/>
      <c r="W67" s="24">
        <v>1856</v>
      </c>
      <c r="X67" s="8"/>
      <c r="Y67" s="24">
        <v>1748</v>
      </c>
      <c r="Z67" s="8"/>
      <c r="AA67" s="24">
        <v>1682</v>
      </c>
      <c r="AB67" s="8"/>
      <c r="AC67" s="8"/>
      <c r="AE67" s="8"/>
      <c r="AG67" s="8"/>
    </row>
    <row r="68" ht="12" customHeight="1">
      <c r="A68" s="13" t="s">
        <v>69</v>
      </c>
      <c r="B68" s="10" t="s">
        <v>48</v>
      </c>
      <c r="C68" s="25">
        <v>1232</v>
      </c>
      <c r="D68" s="10"/>
      <c r="E68" s="25">
        <v>1256</v>
      </c>
      <c r="F68" s="10"/>
      <c r="G68" s="25">
        <v>1272</v>
      </c>
      <c r="H68" s="10"/>
      <c r="I68" s="25">
        <v>1301</v>
      </c>
      <c r="J68" s="10"/>
      <c r="K68" s="25">
        <v>1314</v>
      </c>
      <c r="L68" s="10"/>
      <c r="M68" s="25">
        <v>1326</v>
      </c>
      <c r="N68" s="10"/>
      <c r="O68" s="25">
        <v>1334</v>
      </c>
      <c r="P68" s="10"/>
      <c r="Q68" s="25">
        <v>1353</v>
      </c>
      <c r="R68" s="10"/>
      <c r="S68" s="25">
        <v>1359</v>
      </c>
      <c r="T68" s="10"/>
      <c r="U68" s="25">
        <v>1375</v>
      </c>
      <c r="V68" s="10"/>
      <c r="W68" s="25">
        <v>1384</v>
      </c>
      <c r="X68" s="10"/>
      <c r="Y68" s="25">
        <v>1402</v>
      </c>
      <c r="Z68" s="10"/>
      <c r="AA68" s="25">
        <v>1405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456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395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396</v>
      </c>
      <c r="C8" s="22">
        <v>2.2999999999999998</v>
      </c>
      <c r="D8" s="22"/>
      <c r="E8" s="22">
        <v>4.2999999999999998</v>
      </c>
      <c r="F8" s="22"/>
      <c r="G8" s="22">
        <v>1.8999999999999999</v>
      </c>
      <c r="H8" s="22"/>
      <c r="I8" s="22">
        <v>0.5</v>
      </c>
      <c r="J8" s="22"/>
      <c r="K8" s="22">
        <v>-1.1000000000000001</v>
      </c>
      <c r="L8" s="22"/>
      <c r="M8" s="22">
        <v>0.20000000000000001</v>
      </c>
      <c r="N8" s="22"/>
      <c r="O8" s="22">
        <v>-0.5</v>
      </c>
      <c r="P8" s="22"/>
      <c r="Q8" s="22">
        <v>1.3999999999999999</v>
      </c>
      <c r="R8" s="22"/>
      <c r="S8" s="22">
        <v>-0.29999999999999999</v>
      </c>
      <c r="T8" s="22"/>
      <c r="U8" s="22">
        <v>2.1000000000000001</v>
      </c>
      <c r="V8" s="22"/>
      <c r="W8" s="22">
        <v>1.7</v>
      </c>
      <c r="X8" s="22"/>
      <c r="Y8" s="22">
        <v>2</v>
      </c>
      <c r="Z8" s="22"/>
      <c r="AA8" s="22">
        <v>-1</v>
      </c>
      <c r="AB8" s="22"/>
      <c r="AC8" s="22"/>
    </row>
    <row r="9" ht="12" customHeight="1">
      <c r="A9" s="8" t="s">
        <v>79</v>
      </c>
      <c r="B9" s="8" t="s">
        <v>397</v>
      </c>
      <c r="C9" s="26">
        <v>-2.1000000000000001</v>
      </c>
      <c r="D9" s="8"/>
      <c r="E9" s="26">
        <v>10.1</v>
      </c>
      <c r="F9" s="8"/>
      <c r="G9" s="26">
        <v>-1.3</v>
      </c>
      <c r="H9" s="8"/>
      <c r="I9" s="26">
        <v>0.5</v>
      </c>
      <c r="J9" s="8"/>
      <c r="K9" s="26">
        <v>-3.8999999999999999</v>
      </c>
      <c r="L9" s="8"/>
      <c r="M9" s="26">
        <v>-2.3999999999999999</v>
      </c>
      <c r="N9" s="8"/>
      <c r="O9" s="26">
        <v>-9.4000000000000004</v>
      </c>
      <c r="P9" s="8"/>
      <c r="Q9" s="26">
        <v>3.5</v>
      </c>
      <c r="R9" s="8"/>
      <c r="S9" s="26">
        <v>-2.6000000000000001</v>
      </c>
      <c r="T9" s="8"/>
      <c r="U9" s="26">
        <v>1.6000000000000001</v>
      </c>
      <c r="V9" s="8"/>
      <c r="W9" s="26">
        <v>2.7999999999999998</v>
      </c>
      <c r="X9" s="8"/>
      <c r="Y9" s="26">
        <v>8.1999999999999993</v>
      </c>
      <c r="Z9" s="8"/>
      <c r="AA9" s="26">
        <v>-8</v>
      </c>
      <c r="AB9" s="8"/>
      <c r="AC9" s="8"/>
    </row>
    <row r="10" ht="12" customHeight="1">
      <c r="A10" s="8" t="s">
        <v>81</v>
      </c>
      <c r="B10" s="8" t="s">
        <v>398</v>
      </c>
      <c r="C10" s="26">
        <v>4.2000000000000002</v>
      </c>
      <c r="D10" s="8"/>
      <c r="E10" s="26">
        <v>1.5</v>
      </c>
      <c r="F10" s="8"/>
      <c r="G10" s="26">
        <v>1.5</v>
      </c>
      <c r="H10" s="8"/>
      <c r="I10" s="26">
        <v>0.5</v>
      </c>
      <c r="J10" s="8"/>
      <c r="K10" s="26">
        <v>-1.1000000000000001</v>
      </c>
      <c r="L10" s="8"/>
      <c r="M10" s="26">
        <v>-0.20000000000000001</v>
      </c>
      <c r="N10" s="8"/>
      <c r="O10" s="26">
        <v>0.29999999999999999</v>
      </c>
      <c r="P10" s="8"/>
      <c r="Q10" s="26">
        <v>1.7</v>
      </c>
      <c r="R10" s="8"/>
      <c r="S10" s="26">
        <v>0.69999999999999996</v>
      </c>
      <c r="T10" s="8"/>
      <c r="U10" s="26">
        <v>1.5</v>
      </c>
      <c r="V10" s="8"/>
      <c r="W10" s="26">
        <v>1.3999999999999999</v>
      </c>
      <c r="X10" s="8"/>
      <c r="Y10" s="26">
        <v>3.6000000000000001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399</v>
      </c>
      <c r="C11" s="26">
        <v>3.5</v>
      </c>
      <c r="D11" s="8"/>
      <c r="E11" s="26">
        <v>4.4000000000000004</v>
      </c>
      <c r="F11" s="8"/>
      <c r="G11" s="26">
        <v>2.6000000000000001</v>
      </c>
      <c r="H11" s="8"/>
      <c r="I11" s="26">
        <v>0</v>
      </c>
      <c r="J11" s="8"/>
      <c r="K11" s="26">
        <v>-1</v>
      </c>
      <c r="L11" s="8"/>
      <c r="M11" s="26">
        <v>1.1000000000000001</v>
      </c>
      <c r="N11" s="8"/>
      <c r="O11" s="26">
        <v>1.1000000000000001</v>
      </c>
      <c r="P11" s="8"/>
      <c r="Q11" s="26">
        <v>1</v>
      </c>
      <c r="R11" s="8"/>
      <c r="S11" s="26">
        <v>-0.20000000000000001</v>
      </c>
      <c r="T11" s="8"/>
      <c r="U11" s="26">
        <v>3</v>
      </c>
      <c r="V11" s="8"/>
      <c r="W11" s="26">
        <v>1.6000000000000001</v>
      </c>
      <c r="X11" s="8"/>
      <c r="Y11" s="26">
        <v>0.5</v>
      </c>
      <c r="Z11" s="8"/>
      <c r="AA11" s="26">
        <v>-0.40000000000000002</v>
      </c>
      <c r="AB11" s="8"/>
      <c r="AC11" s="8"/>
    </row>
    <row r="12" ht="12" customHeight="1">
      <c r="A12" s="8" t="s">
        <v>85</v>
      </c>
      <c r="B12" s="8" t="s">
        <v>400</v>
      </c>
      <c r="C12" s="26">
        <v>3</v>
      </c>
      <c r="D12" s="8"/>
      <c r="E12" s="26">
        <v>2.6000000000000001</v>
      </c>
      <c r="F12" s="8"/>
      <c r="G12" s="26">
        <v>2.7999999999999998</v>
      </c>
      <c r="H12" s="8"/>
      <c r="I12" s="26">
        <v>0.5</v>
      </c>
      <c r="J12" s="8"/>
      <c r="K12" s="26">
        <v>0.20000000000000001</v>
      </c>
      <c r="L12" s="8"/>
      <c r="M12" s="26">
        <v>1</v>
      </c>
      <c r="N12" s="8"/>
      <c r="O12" s="26">
        <v>2.1000000000000001</v>
      </c>
      <c r="P12" s="8"/>
      <c r="Q12" s="26">
        <v>0.59999999999999998</v>
      </c>
      <c r="R12" s="8"/>
      <c r="S12" s="26">
        <v>0</v>
      </c>
      <c r="T12" s="8"/>
      <c r="U12" s="26">
        <v>2.5</v>
      </c>
      <c r="V12" s="8"/>
      <c r="W12" s="26">
        <v>2.6000000000000001</v>
      </c>
      <c r="X12" s="8"/>
      <c r="Y12" s="26">
        <v>-0.69999999999999996</v>
      </c>
      <c r="Z12" s="8"/>
      <c r="AA12" s="26">
        <v>0.5</v>
      </c>
      <c r="AB12" s="8"/>
      <c r="AC12" s="8"/>
    </row>
    <row r="13" ht="12" customHeight="1">
      <c r="A13" s="8" t="s">
        <v>87</v>
      </c>
      <c r="B13" s="8" t="s">
        <v>401</v>
      </c>
      <c r="C13" s="26">
        <v>2.2000000000000002</v>
      </c>
      <c r="D13" s="8"/>
      <c r="E13" s="26">
        <v>1.8999999999999999</v>
      </c>
      <c r="F13" s="8"/>
      <c r="G13" s="26">
        <v>3.1000000000000001</v>
      </c>
      <c r="H13" s="8"/>
      <c r="I13" s="26">
        <v>1.7</v>
      </c>
      <c r="J13" s="8"/>
      <c r="K13" s="26">
        <v>0.90000000000000002</v>
      </c>
      <c r="L13" s="8"/>
      <c r="M13" s="26">
        <v>1</v>
      </c>
      <c r="N13" s="8"/>
      <c r="O13" s="26">
        <v>1.2</v>
      </c>
      <c r="P13" s="8"/>
      <c r="Q13" s="26">
        <v>0.5</v>
      </c>
      <c r="R13" s="8"/>
      <c r="S13" s="26">
        <v>0.40000000000000002</v>
      </c>
      <c r="T13" s="8"/>
      <c r="U13" s="26">
        <v>0.29999999999999999</v>
      </c>
      <c r="V13" s="8"/>
      <c r="W13" s="26">
        <v>0.90000000000000002</v>
      </c>
      <c r="X13" s="8"/>
      <c r="Y13" s="26">
        <v>0.69999999999999996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402</v>
      </c>
      <c r="C14" s="26">
        <v>0.59999999999999998</v>
      </c>
      <c r="D14" s="8"/>
      <c r="E14" s="26">
        <v>5.2999999999999998</v>
      </c>
      <c r="F14" s="8"/>
      <c r="G14" s="26">
        <v>0.80000000000000004</v>
      </c>
      <c r="H14" s="8"/>
      <c r="I14" s="26">
        <v>1.1000000000000001</v>
      </c>
      <c r="J14" s="8"/>
      <c r="K14" s="26">
        <v>1.7</v>
      </c>
      <c r="L14" s="8"/>
      <c r="M14" s="26">
        <v>4.4000000000000004</v>
      </c>
      <c r="N14" s="8"/>
      <c r="O14" s="26">
        <v>0.59999999999999998</v>
      </c>
      <c r="P14" s="8"/>
      <c r="Q14" s="26">
        <v>0.5</v>
      </c>
      <c r="R14" s="8"/>
      <c r="S14" s="26">
        <v>0.20000000000000001</v>
      </c>
      <c r="T14" s="8"/>
      <c r="U14" s="26">
        <v>2</v>
      </c>
      <c r="V14" s="8"/>
      <c r="W14" s="26">
        <v>-0.20000000000000001</v>
      </c>
      <c r="X14" s="8"/>
      <c r="Y14" s="26">
        <v>0.29999999999999999</v>
      </c>
      <c r="Z14" s="8"/>
      <c r="AA14" s="26">
        <v>-0.10000000000000001</v>
      </c>
      <c r="AB14" s="8"/>
      <c r="AC14" s="8"/>
    </row>
    <row r="15" ht="12" customHeight="1">
      <c r="A15" s="8" t="s">
        <v>91</v>
      </c>
      <c r="B15" s="8" t="s">
        <v>403</v>
      </c>
      <c r="C15" s="26">
        <v>0.59999999999999998</v>
      </c>
      <c r="D15" s="8"/>
      <c r="E15" s="26">
        <v>1.7</v>
      </c>
      <c r="F15" s="8"/>
      <c r="G15" s="26">
        <v>2</v>
      </c>
      <c r="H15" s="8"/>
      <c r="I15" s="26">
        <v>1.8</v>
      </c>
      <c r="J15" s="8"/>
      <c r="K15" s="26">
        <v>0</v>
      </c>
      <c r="L15" s="8"/>
      <c r="M15" s="26">
        <v>1</v>
      </c>
      <c r="N15" s="8"/>
      <c r="O15" s="26">
        <v>1.5</v>
      </c>
      <c r="P15" s="8"/>
      <c r="Q15" s="26">
        <v>0.59999999999999998</v>
      </c>
      <c r="R15" s="8"/>
      <c r="S15" s="26">
        <v>-0.40000000000000002</v>
      </c>
      <c r="T15" s="8"/>
      <c r="U15" s="26">
        <v>0.90000000000000002</v>
      </c>
      <c r="V15" s="8"/>
      <c r="W15" s="26">
        <v>-0.40000000000000002</v>
      </c>
      <c r="X15" s="8"/>
      <c r="Y15" s="26">
        <v>0.5</v>
      </c>
      <c r="Z15" s="8"/>
      <c r="AA15" s="26">
        <v>-1</v>
      </c>
      <c r="AB15" s="8"/>
      <c r="AC15" s="8"/>
    </row>
    <row r="16" ht="12" customHeight="1">
      <c r="A16" s="8" t="s">
        <v>93</v>
      </c>
      <c r="B16" s="8" t="s">
        <v>404</v>
      </c>
      <c r="C16" s="26">
        <v>0.59999999999999998</v>
      </c>
      <c r="D16" s="8"/>
      <c r="E16" s="26">
        <v>7.5999999999999996</v>
      </c>
      <c r="F16" s="8"/>
      <c r="G16" s="26">
        <v>0.10000000000000001</v>
      </c>
      <c r="H16" s="8"/>
      <c r="I16" s="26">
        <v>0.59999999999999998</v>
      </c>
      <c r="J16" s="8"/>
      <c r="K16" s="26">
        <v>2.7999999999999998</v>
      </c>
      <c r="L16" s="8"/>
      <c r="M16" s="26">
        <v>6.5</v>
      </c>
      <c r="N16" s="8"/>
      <c r="O16" s="26">
        <v>0</v>
      </c>
      <c r="P16" s="8"/>
      <c r="Q16" s="26">
        <v>0.40000000000000002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405</v>
      </c>
      <c r="C17" s="26">
        <v>1.3</v>
      </c>
      <c r="D17" s="8"/>
      <c r="E17" s="26">
        <v>-0.5</v>
      </c>
      <c r="F17" s="8"/>
      <c r="G17" s="26">
        <v>3.1000000000000001</v>
      </c>
      <c r="H17" s="8"/>
      <c r="I17" s="26">
        <v>0.29999999999999999</v>
      </c>
      <c r="J17" s="8"/>
      <c r="K17" s="26">
        <v>0.90000000000000002</v>
      </c>
      <c r="L17" s="8"/>
      <c r="M17" s="26">
        <v>0.29999999999999999</v>
      </c>
      <c r="N17" s="8"/>
      <c r="O17" s="26">
        <v>0.20000000000000001</v>
      </c>
      <c r="P17" s="8"/>
      <c r="Q17" s="26">
        <v>-0.5</v>
      </c>
      <c r="R17" s="8"/>
      <c r="S17" s="26">
        <v>-0.90000000000000002</v>
      </c>
      <c r="T17" s="8"/>
      <c r="U17" s="26">
        <v>0.10000000000000001</v>
      </c>
      <c r="V17" s="8"/>
      <c r="W17" s="26">
        <v>0.20000000000000001</v>
      </c>
      <c r="X17" s="8"/>
      <c r="Y17" s="26">
        <v>0.59999999999999998</v>
      </c>
      <c r="Z17" s="8"/>
      <c r="AA17" s="26">
        <v>0.80000000000000004</v>
      </c>
      <c r="AB17" s="8"/>
      <c r="AC17" s="8"/>
    </row>
    <row r="18" ht="12" customHeight="1">
      <c r="A18" s="8" t="s">
        <v>97</v>
      </c>
      <c r="B18" s="8" t="s">
        <v>406</v>
      </c>
      <c r="C18" s="26">
        <v>1</v>
      </c>
      <c r="D18" s="8"/>
      <c r="E18" s="26">
        <v>-0.5</v>
      </c>
      <c r="F18" s="8"/>
      <c r="G18" s="26">
        <v>3.3999999999999999</v>
      </c>
      <c r="H18" s="8"/>
      <c r="I18" s="26">
        <v>0.40000000000000002</v>
      </c>
      <c r="J18" s="8"/>
      <c r="K18" s="26">
        <v>1.1000000000000001</v>
      </c>
      <c r="L18" s="8"/>
      <c r="M18" s="26">
        <v>0.29999999999999999</v>
      </c>
      <c r="N18" s="8"/>
      <c r="O18" s="26">
        <v>0.10000000000000001</v>
      </c>
      <c r="P18" s="8"/>
      <c r="Q18" s="26">
        <v>-0.59999999999999998</v>
      </c>
      <c r="R18" s="8"/>
      <c r="S18" s="26">
        <v>-1.1000000000000001</v>
      </c>
      <c r="T18" s="8"/>
      <c r="U18" s="26">
        <v>-0.20000000000000001</v>
      </c>
      <c r="V18" s="8"/>
      <c r="W18" s="26">
        <v>0.59999999999999998</v>
      </c>
      <c r="X18" s="8"/>
      <c r="Y18" s="26">
        <v>0.40000000000000002</v>
      </c>
      <c r="Z18" s="8"/>
      <c r="AA18" s="26">
        <v>1.2</v>
      </c>
      <c r="AB18" s="8"/>
      <c r="AC18" s="8"/>
    </row>
    <row r="19" ht="12" customHeight="1">
      <c r="A19" s="8" t="s">
        <v>99</v>
      </c>
      <c r="B19" s="8" t="s">
        <v>407</v>
      </c>
      <c r="C19" s="26">
        <v>3.7999999999999998</v>
      </c>
      <c r="D19" s="8"/>
      <c r="E19" s="26">
        <v>0.5</v>
      </c>
      <c r="F19" s="8"/>
      <c r="G19" s="26">
        <v>0.10000000000000001</v>
      </c>
      <c r="H19" s="8"/>
      <c r="I19" s="26">
        <v>-0.5</v>
      </c>
      <c r="J19" s="8"/>
      <c r="K19" s="26">
        <v>-0.69999999999999996</v>
      </c>
      <c r="L19" s="8"/>
      <c r="M19" s="26">
        <v>0.80000000000000004</v>
      </c>
      <c r="N19" s="8"/>
      <c r="O19" s="26">
        <v>0.40000000000000002</v>
      </c>
      <c r="P19" s="8"/>
      <c r="Q19" s="26">
        <v>0</v>
      </c>
      <c r="R19" s="8"/>
      <c r="S19" s="26">
        <v>0.5</v>
      </c>
      <c r="T19" s="8"/>
      <c r="U19" s="26">
        <v>1.8999999999999999</v>
      </c>
      <c r="V19" s="8"/>
      <c r="W19" s="26">
        <v>-2.3999999999999999</v>
      </c>
      <c r="X19" s="8"/>
      <c r="Y19" s="26">
        <v>1.8999999999999999</v>
      </c>
      <c r="Z19" s="8"/>
      <c r="AA19" s="26">
        <v>-0.40000000000000002</v>
      </c>
      <c r="AB19" s="8"/>
      <c r="AC19" s="8"/>
    </row>
    <row r="20" ht="12" customHeight="1">
      <c r="A20" s="11" t="s">
        <v>101</v>
      </c>
      <c r="B20" s="8" t="s">
        <v>408</v>
      </c>
      <c r="C20" s="26">
        <v>0.90000000000000002</v>
      </c>
      <c r="D20" s="8"/>
      <c r="E20" s="26">
        <v>1.2</v>
      </c>
      <c r="F20" s="8"/>
      <c r="G20" s="26">
        <v>1.5</v>
      </c>
      <c r="H20" s="8"/>
      <c r="I20" s="26">
        <v>2.2999999999999998</v>
      </c>
      <c r="J20" s="8"/>
      <c r="K20" s="26">
        <v>1</v>
      </c>
      <c r="L20" s="8"/>
      <c r="M20" s="26">
        <v>0.80000000000000004</v>
      </c>
      <c r="N20" s="8"/>
      <c r="O20" s="26">
        <v>1.3999999999999999</v>
      </c>
      <c r="P20" s="8"/>
      <c r="Q20" s="26">
        <v>3.2000000000000002</v>
      </c>
      <c r="R20" s="8"/>
      <c r="S20" s="26">
        <v>0.59999999999999998</v>
      </c>
      <c r="T20" s="8"/>
      <c r="U20" s="26">
        <v>0.80000000000000004</v>
      </c>
      <c r="V20" s="8"/>
      <c r="W20" s="26">
        <v>1.3999999999999999</v>
      </c>
      <c r="X20" s="8"/>
      <c r="Y20" s="26">
        <v>3</v>
      </c>
      <c r="Z20" s="8"/>
      <c r="AA20" s="26">
        <v>0.5</v>
      </c>
      <c r="AB20" s="8"/>
      <c r="AC20" s="8"/>
    </row>
    <row r="21" ht="12" customHeight="1">
      <c r="A21" s="8" t="s">
        <v>103</v>
      </c>
      <c r="B21" s="8" t="s">
        <v>409</v>
      </c>
      <c r="C21" s="26">
        <v>1.2</v>
      </c>
      <c r="D21" s="8"/>
      <c r="E21" s="26">
        <v>1.2</v>
      </c>
      <c r="F21" s="8"/>
      <c r="G21" s="26">
        <v>1.3999999999999999</v>
      </c>
      <c r="H21" s="8"/>
      <c r="I21" s="26">
        <v>1.3</v>
      </c>
      <c r="J21" s="8"/>
      <c r="K21" s="26">
        <v>1.2</v>
      </c>
      <c r="L21" s="8"/>
      <c r="M21" s="26">
        <v>1.3</v>
      </c>
      <c r="N21" s="8"/>
      <c r="O21" s="26">
        <v>1.3</v>
      </c>
      <c r="P21" s="8"/>
      <c r="Q21" s="26">
        <v>1</v>
      </c>
      <c r="R21" s="8"/>
      <c r="S21" s="26">
        <v>0.80000000000000004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410</v>
      </c>
      <c r="C22" s="26">
        <v>1.2</v>
      </c>
      <c r="D22" s="8"/>
      <c r="E22" s="26">
        <v>1.2</v>
      </c>
      <c r="F22" s="8"/>
      <c r="G22" s="26">
        <v>1.3999999999999999</v>
      </c>
      <c r="H22" s="8"/>
      <c r="I22" s="26">
        <v>1.3</v>
      </c>
      <c r="J22" s="8"/>
      <c r="K22" s="26">
        <v>1.2</v>
      </c>
      <c r="L22" s="8"/>
      <c r="M22" s="26">
        <v>1.3</v>
      </c>
      <c r="N22" s="8"/>
      <c r="O22" s="26">
        <v>1.3</v>
      </c>
      <c r="P22" s="8"/>
      <c r="Q22" s="26">
        <v>1</v>
      </c>
      <c r="R22" s="8"/>
      <c r="S22" s="26">
        <v>0.80000000000000004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411</v>
      </c>
      <c r="C23" s="26">
        <v>1.1000000000000001</v>
      </c>
      <c r="D23" s="8"/>
      <c r="E23" s="26">
        <v>-0.10000000000000001</v>
      </c>
      <c r="F23" s="8"/>
      <c r="G23" s="26">
        <v>2.2000000000000002</v>
      </c>
      <c r="H23" s="8"/>
      <c r="I23" s="26">
        <v>0.80000000000000004</v>
      </c>
      <c r="J23" s="8"/>
      <c r="K23" s="26">
        <v>0.10000000000000001</v>
      </c>
      <c r="L23" s="8"/>
      <c r="M23" s="26">
        <v>0</v>
      </c>
      <c r="N23" s="8"/>
      <c r="O23" s="26">
        <v>1.5</v>
      </c>
      <c r="P23" s="8"/>
      <c r="Q23" s="26">
        <v>1.1000000000000001</v>
      </c>
      <c r="R23" s="8"/>
      <c r="S23" s="26">
        <v>-0.20000000000000001</v>
      </c>
      <c r="T23" s="8"/>
      <c r="U23" s="26">
        <v>0.5</v>
      </c>
      <c r="V23" s="8"/>
      <c r="W23" s="26">
        <v>0.40000000000000002</v>
      </c>
      <c r="X23" s="8"/>
      <c r="Y23" s="26">
        <v>0.69999999999999996</v>
      </c>
      <c r="Z23" s="8"/>
      <c r="AA23" s="26">
        <v>0.80000000000000004</v>
      </c>
      <c r="AB23" s="8"/>
      <c r="AC23" s="8"/>
    </row>
    <row r="24" ht="12" customHeight="1">
      <c r="A24" s="8" t="s">
        <v>109</v>
      </c>
      <c r="B24" s="8" t="s">
        <v>412</v>
      </c>
      <c r="C24" s="26">
        <v>0</v>
      </c>
      <c r="D24" s="8"/>
      <c r="E24" s="26">
        <v>0</v>
      </c>
      <c r="F24" s="8"/>
      <c r="G24" s="26">
        <v>0.10000000000000001</v>
      </c>
      <c r="H24" s="8"/>
      <c r="I24" s="26">
        <v>9.5</v>
      </c>
      <c r="J24" s="8"/>
      <c r="K24" s="26">
        <v>0.10000000000000001</v>
      </c>
      <c r="L24" s="8"/>
      <c r="M24" s="26">
        <v>0</v>
      </c>
      <c r="N24" s="8"/>
      <c r="O24" s="26">
        <v>0.10000000000000001</v>
      </c>
      <c r="P24" s="8"/>
      <c r="Q24" s="26">
        <v>11.699999999999999</v>
      </c>
      <c r="R24" s="8"/>
      <c r="S24" s="26">
        <v>0.10000000000000001</v>
      </c>
      <c r="T24" s="8"/>
      <c r="U24" s="26">
        <v>0</v>
      </c>
      <c r="V24" s="8"/>
      <c r="W24" s="26">
        <v>0</v>
      </c>
      <c r="X24" s="8"/>
      <c r="Y24" s="26">
        <v>8.4000000000000004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413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12.1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414</v>
      </c>
      <c r="C26" s="26">
        <v>1</v>
      </c>
      <c r="D26" s="8"/>
      <c r="E26" s="26">
        <v>2.2999999999999998</v>
      </c>
      <c r="F26" s="8"/>
      <c r="G26" s="26">
        <v>2.7999999999999998</v>
      </c>
      <c r="H26" s="8"/>
      <c r="I26" s="26">
        <v>-1.3</v>
      </c>
      <c r="J26" s="8"/>
      <c r="K26" s="26">
        <v>1.8</v>
      </c>
      <c r="L26" s="8"/>
      <c r="M26" s="26">
        <v>0.40000000000000002</v>
      </c>
      <c r="N26" s="8"/>
      <c r="O26" s="26">
        <v>2.8999999999999999</v>
      </c>
      <c r="P26" s="8"/>
      <c r="Q26" s="26">
        <v>0.80000000000000004</v>
      </c>
      <c r="R26" s="8"/>
      <c r="S26" s="26">
        <v>0.69999999999999996</v>
      </c>
      <c r="T26" s="8"/>
      <c r="U26" s="26">
        <v>2.2999999999999998</v>
      </c>
      <c r="V26" s="8"/>
      <c r="W26" s="26">
        <v>4.7999999999999998</v>
      </c>
      <c r="X26" s="8"/>
      <c r="Y26" s="26">
        <v>3</v>
      </c>
      <c r="Z26" s="8"/>
      <c r="AA26" s="26">
        <v>1.5</v>
      </c>
      <c r="AB26" s="8"/>
      <c r="AC26" s="8"/>
    </row>
    <row r="27" ht="12" customHeight="1">
      <c r="A27" s="8" t="s">
        <v>115</v>
      </c>
      <c r="B27" s="8" t="s">
        <v>415</v>
      </c>
      <c r="C27" s="26">
        <v>0.90000000000000002</v>
      </c>
      <c r="D27" s="8"/>
      <c r="E27" s="26">
        <v>2.2999999999999998</v>
      </c>
      <c r="F27" s="8"/>
      <c r="G27" s="26">
        <v>2.7000000000000002</v>
      </c>
      <c r="H27" s="8"/>
      <c r="I27" s="26">
        <v>-1.7</v>
      </c>
      <c r="J27" s="8"/>
      <c r="K27" s="26">
        <v>1.8</v>
      </c>
      <c r="L27" s="8"/>
      <c r="M27" s="26">
        <v>0.5</v>
      </c>
      <c r="N27" s="8"/>
      <c r="O27" s="26">
        <v>3</v>
      </c>
      <c r="P27" s="8"/>
      <c r="Q27" s="26">
        <v>0.59999999999999998</v>
      </c>
      <c r="R27" s="8"/>
      <c r="S27" s="26">
        <v>0.59999999999999998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416</v>
      </c>
      <c r="C28" s="26">
        <v>3.1000000000000001</v>
      </c>
      <c r="D28" s="8"/>
      <c r="E28" s="26">
        <v>-0.10000000000000001</v>
      </c>
      <c r="F28" s="8"/>
      <c r="G28" s="26">
        <v>2.7000000000000002</v>
      </c>
      <c r="H28" s="8"/>
      <c r="I28" s="26">
        <v>-1.3</v>
      </c>
      <c r="J28" s="8"/>
      <c r="K28" s="26">
        <v>0.59999999999999998</v>
      </c>
      <c r="L28" s="8"/>
      <c r="M28" s="26">
        <v>-1.1000000000000001</v>
      </c>
      <c r="N28" s="8"/>
      <c r="O28" s="26">
        <v>0.69999999999999996</v>
      </c>
      <c r="P28" s="8"/>
      <c r="Q28" s="26">
        <v>-0.20000000000000001</v>
      </c>
      <c r="R28" s="8"/>
      <c r="S28" s="26">
        <v>-0.29999999999999999</v>
      </c>
      <c r="T28" s="8"/>
      <c r="U28" s="26">
        <v>-0.5</v>
      </c>
      <c r="V28" s="8"/>
      <c r="W28" s="26">
        <v>0.29999999999999999</v>
      </c>
      <c r="X28" s="8"/>
      <c r="Y28" s="26">
        <v>-1</v>
      </c>
      <c r="Z28" s="8"/>
      <c r="AA28" s="26">
        <v>0.90000000000000002</v>
      </c>
      <c r="AB28" s="8"/>
      <c r="AC28" s="8"/>
    </row>
    <row r="29" ht="12" customHeight="1">
      <c r="A29" s="8" t="s">
        <v>119</v>
      </c>
      <c r="B29" s="8" t="s">
        <v>417</v>
      </c>
      <c r="C29" s="26">
        <v>5.0999999999999996</v>
      </c>
      <c r="D29" s="8"/>
      <c r="E29" s="26">
        <v>-1.8</v>
      </c>
      <c r="F29" s="8"/>
      <c r="G29" s="26">
        <v>3</v>
      </c>
      <c r="H29" s="8"/>
      <c r="I29" s="26">
        <v>-2.1000000000000001</v>
      </c>
      <c r="J29" s="8"/>
      <c r="K29" s="26">
        <v>-0.5</v>
      </c>
      <c r="L29" s="8"/>
      <c r="M29" s="26">
        <v>-3.7000000000000002</v>
      </c>
      <c r="N29" s="8"/>
      <c r="O29" s="26">
        <v>0.10000000000000001</v>
      </c>
      <c r="P29" s="8"/>
      <c r="Q29" s="26">
        <v>2.2000000000000002</v>
      </c>
      <c r="R29" s="8"/>
      <c r="S29" s="26">
        <v>0.40000000000000002</v>
      </c>
      <c r="T29" s="8"/>
      <c r="U29" s="26">
        <v>-1</v>
      </c>
      <c r="V29" s="8"/>
      <c r="W29" s="26">
        <v>-1.3999999999999999</v>
      </c>
      <c r="X29" s="8"/>
      <c r="Y29" s="26">
        <v>-2.3999999999999999</v>
      </c>
      <c r="Z29" s="8"/>
      <c r="AA29" s="26">
        <v>4.4000000000000004</v>
      </c>
      <c r="AB29" s="8"/>
      <c r="AC29" s="8"/>
    </row>
    <row r="30" ht="12" customHeight="1">
      <c r="A30" s="8" t="s">
        <v>121</v>
      </c>
      <c r="B30" s="8" t="s">
        <v>418</v>
      </c>
      <c r="C30" s="26">
        <v>2.7999999999999998</v>
      </c>
      <c r="D30" s="8"/>
      <c r="E30" s="26">
        <v>1.3999999999999999</v>
      </c>
      <c r="F30" s="8"/>
      <c r="G30" s="26">
        <v>0.29999999999999999</v>
      </c>
      <c r="H30" s="8"/>
      <c r="I30" s="26">
        <v>-2.6000000000000001</v>
      </c>
      <c r="J30" s="8"/>
      <c r="K30" s="26">
        <v>7.0999999999999996</v>
      </c>
      <c r="L30" s="8"/>
      <c r="M30" s="26">
        <v>-4.2000000000000002</v>
      </c>
      <c r="N30" s="8"/>
      <c r="O30" s="26">
        <v>12</v>
      </c>
      <c r="P30" s="8"/>
      <c r="Q30" s="26">
        <v>-5.5999999999999996</v>
      </c>
      <c r="R30" s="8"/>
      <c r="S30" s="26">
        <v>-7.7000000000000002</v>
      </c>
      <c r="T30" s="8"/>
      <c r="U30" s="26">
        <v>4.4000000000000004</v>
      </c>
      <c r="V30" s="8"/>
      <c r="W30" s="26">
        <v>3.7000000000000002</v>
      </c>
      <c r="X30" s="8"/>
      <c r="Y30" s="26">
        <v>-1.1000000000000001</v>
      </c>
      <c r="Z30" s="8"/>
      <c r="AA30" s="26">
        <v>-2</v>
      </c>
      <c r="AB30" s="8"/>
      <c r="AC30" s="8"/>
    </row>
    <row r="31" ht="12" customHeight="1">
      <c r="A31" s="8" t="s">
        <v>123</v>
      </c>
      <c r="B31" s="8" t="s">
        <v>419</v>
      </c>
      <c r="C31" s="26">
        <v>1.2</v>
      </c>
      <c r="D31" s="8"/>
      <c r="E31" s="26">
        <v>-1.3</v>
      </c>
      <c r="F31" s="8"/>
      <c r="G31" s="26">
        <v>3.8999999999999999</v>
      </c>
      <c r="H31" s="8"/>
      <c r="I31" s="26">
        <v>-1.3</v>
      </c>
      <c r="J31" s="8"/>
      <c r="K31" s="26">
        <v>-0.40000000000000002</v>
      </c>
      <c r="L31" s="8"/>
      <c r="M31" s="26">
        <v>-1.1000000000000001</v>
      </c>
      <c r="N31" s="8"/>
      <c r="O31" s="26">
        <v>-0.5</v>
      </c>
      <c r="P31" s="8"/>
      <c r="Q31" s="26">
        <v>-1.5</v>
      </c>
      <c r="R31" s="8"/>
      <c r="S31" s="26">
        <v>1.1000000000000001</v>
      </c>
      <c r="T31" s="8"/>
      <c r="U31" s="26">
        <v>-1.2</v>
      </c>
      <c r="V31" s="8"/>
      <c r="W31" s="26">
        <v>0.80000000000000004</v>
      </c>
      <c r="X31" s="8"/>
      <c r="Y31" s="26">
        <v>-0.29999999999999999</v>
      </c>
      <c r="Z31" s="8"/>
      <c r="AA31" s="26">
        <v>0.5</v>
      </c>
      <c r="AB31" s="8"/>
      <c r="AC31" s="8"/>
    </row>
    <row r="32" ht="12" customHeight="1">
      <c r="A32" s="8" t="s">
        <v>125</v>
      </c>
      <c r="B32" s="8" t="s">
        <v>420</v>
      </c>
      <c r="C32" s="26">
        <v>4.5</v>
      </c>
      <c r="D32" s="8"/>
      <c r="E32" s="26">
        <v>-3.8999999999999999</v>
      </c>
      <c r="F32" s="8"/>
      <c r="G32" s="26">
        <v>2.6000000000000001</v>
      </c>
      <c r="H32" s="8"/>
      <c r="I32" s="26">
        <v>-1.8</v>
      </c>
      <c r="J32" s="8"/>
      <c r="K32" s="26">
        <v>5.9000000000000004</v>
      </c>
      <c r="L32" s="8"/>
      <c r="M32" s="26">
        <v>2.6000000000000001</v>
      </c>
      <c r="N32" s="8"/>
      <c r="O32" s="26">
        <v>-1</v>
      </c>
      <c r="P32" s="8"/>
      <c r="Q32" s="26">
        <v>-3</v>
      </c>
      <c r="R32" s="8"/>
      <c r="S32" s="26">
        <v>2.6000000000000001</v>
      </c>
      <c r="T32" s="8"/>
      <c r="U32" s="26">
        <v>1.7</v>
      </c>
      <c r="V32" s="8"/>
      <c r="W32" s="26">
        <v>-1.3</v>
      </c>
      <c r="X32" s="8"/>
      <c r="Y32" s="26">
        <v>-0.90000000000000002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421</v>
      </c>
      <c r="C33" s="26">
        <v>1.6000000000000001</v>
      </c>
      <c r="D33" s="8"/>
      <c r="E33" s="26">
        <v>0.5</v>
      </c>
      <c r="F33" s="8"/>
      <c r="G33" s="26">
        <v>4.0999999999999996</v>
      </c>
      <c r="H33" s="8"/>
      <c r="I33" s="26">
        <v>0</v>
      </c>
      <c r="J33" s="8"/>
      <c r="K33" s="26">
        <v>-0.29999999999999999</v>
      </c>
      <c r="L33" s="8"/>
      <c r="M33" s="26">
        <v>1.1000000000000001</v>
      </c>
      <c r="N33" s="8"/>
      <c r="O33" s="26">
        <v>-3.5</v>
      </c>
      <c r="P33" s="8"/>
      <c r="Q33" s="26">
        <v>-0.59999999999999998</v>
      </c>
      <c r="R33" s="8"/>
      <c r="S33" s="26">
        <v>0.29999999999999999</v>
      </c>
      <c r="T33" s="8"/>
      <c r="U33" s="26">
        <v>-1</v>
      </c>
      <c r="V33" s="8"/>
      <c r="W33" s="26">
        <v>0.5</v>
      </c>
      <c r="X33" s="8"/>
      <c r="Y33" s="26">
        <v>0</v>
      </c>
      <c r="Z33" s="8"/>
      <c r="AA33" s="26">
        <v>-2.1000000000000001</v>
      </c>
      <c r="AB33" s="8"/>
      <c r="AC33" s="8"/>
    </row>
    <row r="34" ht="12" customHeight="1">
      <c r="A34" s="8" t="s">
        <v>129</v>
      </c>
      <c r="B34" s="8" t="s">
        <v>422</v>
      </c>
      <c r="C34" s="26">
        <v>3.2999999999999998</v>
      </c>
      <c r="D34" s="8"/>
      <c r="E34" s="26">
        <v>2.2000000000000002</v>
      </c>
      <c r="F34" s="8"/>
      <c r="G34" s="26">
        <v>1.8999999999999999</v>
      </c>
      <c r="H34" s="8"/>
      <c r="I34" s="26">
        <v>-0.59999999999999998</v>
      </c>
      <c r="J34" s="8"/>
      <c r="K34" s="26">
        <v>-0.10000000000000001</v>
      </c>
      <c r="L34" s="8"/>
      <c r="M34" s="26">
        <v>0.59999999999999998</v>
      </c>
      <c r="N34" s="8"/>
      <c r="O34" s="26">
        <v>0.20000000000000001</v>
      </c>
      <c r="P34" s="8"/>
      <c r="Q34" s="26">
        <v>1.3999999999999999</v>
      </c>
      <c r="R34" s="8"/>
      <c r="S34" s="26">
        <v>-0.59999999999999998</v>
      </c>
      <c r="T34" s="8"/>
      <c r="U34" s="26">
        <v>-1.1000000000000001</v>
      </c>
      <c r="V34" s="8"/>
      <c r="W34" s="26">
        <v>1.6000000000000001</v>
      </c>
      <c r="X34" s="8"/>
      <c r="Y34" s="26">
        <v>-0.29999999999999999</v>
      </c>
      <c r="Z34" s="8"/>
      <c r="AA34" s="26">
        <v>-0.29999999999999999</v>
      </c>
      <c r="AB34" s="8"/>
      <c r="AC34" s="8"/>
    </row>
    <row r="35" ht="12" customHeight="1">
      <c r="A35" s="11" t="s">
        <v>131</v>
      </c>
      <c r="B35" s="8" t="s">
        <v>423</v>
      </c>
      <c r="C35" s="26">
        <v>1.7</v>
      </c>
      <c r="D35" s="8"/>
      <c r="E35" s="26">
        <v>0.40000000000000002</v>
      </c>
      <c r="F35" s="8"/>
      <c r="G35" s="26">
        <v>1.2</v>
      </c>
      <c r="H35" s="8"/>
      <c r="I35" s="26">
        <v>-5.5999999999999996</v>
      </c>
      <c r="J35" s="8"/>
      <c r="K35" s="26">
        <v>1.3999999999999999</v>
      </c>
      <c r="L35" s="8"/>
      <c r="M35" s="26">
        <v>1.7</v>
      </c>
      <c r="N35" s="8"/>
      <c r="O35" s="26">
        <v>0.40000000000000002</v>
      </c>
      <c r="P35" s="8"/>
      <c r="Q35" s="26">
        <v>8</v>
      </c>
      <c r="R35" s="8"/>
      <c r="S35" s="26">
        <v>-1.3</v>
      </c>
      <c r="T35" s="8"/>
      <c r="U35" s="26">
        <v>0.29999999999999999</v>
      </c>
      <c r="V35" s="8"/>
      <c r="W35" s="26">
        <v>0.10000000000000001</v>
      </c>
      <c r="X35" s="8"/>
      <c r="Y35" s="26">
        <v>0.20000000000000001</v>
      </c>
      <c r="Z35" s="8"/>
      <c r="AA35" s="26">
        <v>-0.10000000000000001</v>
      </c>
      <c r="AB35" s="8"/>
      <c r="AC35" s="8"/>
    </row>
    <row r="36" ht="12" customHeight="1">
      <c r="A36" s="8" t="s">
        <v>133</v>
      </c>
      <c r="B36" s="8" t="s">
        <v>424</v>
      </c>
      <c r="C36" s="26">
        <v>1.6000000000000001</v>
      </c>
      <c r="D36" s="8"/>
      <c r="E36" s="26">
        <v>0.20000000000000001</v>
      </c>
      <c r="F36" s="8"/>
      <c r="G36" s="26">
        <v>1.2</v>
      </c>
      <c r="H36" s="8"/>
      <c r="I36" s="26">
        <v>-15.9</v>
      </c>
      <c r="J36" s="8"/>
      <c r="K36" s="26">
        <v>0.20000000000000001</v>
      </c>
      <c r="L36" s="8"/>
      <c r="M36" s="26">
        <v>-0.5</v>
      </c>
      <c r="N36" s="8"/>
      <c r="O36" s="26">
        <v>0.69999999999999996</v>
      </c>
      <c r="P36" s="8"/>
      <c r="Q36" s="26">
        <v>21.199999999999999</v>
      </c>
      <c r="R36" s="8"/>
      <c r="S36" s="26">
        <v>-6.2000000000000002</v>
      </c>
      <c r="T36" s="8"/>
      <c r="U36" s="26">
        <v>0.29999999999999999</v>
      </c>
      <c r="V36" s="8"/>
      <c r="W36" s="26">
        <v>-0.5</v>
      </c>
      <c r="X36" s="8"/>
      <c r="Y36" s="26">
        <v>-2.6000000000000001</v>
      </c>
      <c r="Z36" s="8"/>
      <c r="AA36" s="26">
        <v>-2.2000000000000002</v>
      </c>
      <c r="AB36" s="8"/>
      <c r="AC36" s="8"/>
    </row>
    <row r="37" ht="12" customHeight="1">
      <c r="A37" s="8" t="s">
        <v>135</v>
      </c>
      <c r="B37" s="8" t="s">
        <v>425</v>
      </c>
      <c r="C37" s="26">
        <v>1.8</v>
      </c>
      <c r="D37" s="8"/>
      <c r="E37" s="26">
        <v>0.59999999999999998</v>
      </c>
      <c r="F37" s="8"/>
      <c r="G37" s="26">
        <v>1.2</v>
      </c>
      <c r="H37" s="8"/>
      <c r="I37" s="26">
        <v>1.1000000000000001</v>
      </c>
      <c r="J37" s="8"/>
      <c r="K37" s="26">
        <v>2.1000000000000001</v>
      </c>
      <c r="L37" s="8"/>
      <c r="M37" s="26">
        <v>2.8999999999999999</v>
      </c>
      <c r="N37" s="8"/>
      <c r="O37" s="26">
        <v>0.20000000000000001</v>
      </c>
      <c r="P37" s="8"/>
      <c r="Q37" s="26">
        <v>1.2</v>
      </c>
      <c r="R37" s="8"/>
      <c r="S37" s="26">
        <v>1.6000000000000001</v>
      </c>
      <c r="T37" s="8"/>
      <c r="U37" s="26">
        <v>0.40000000000000002</v>
      </c>
      <c r="V37" s="8"/>
      <c r="W37" s="26">
        <v>0.29999999999999999</v>
      </c>
      <c r="X37" s="8"/>
      <c r="Y37" s="26">
        <v>1.7</v>
      </c>
      <c r="Z37" s="8"/>
      <c r="AA37" s="26">
        <v>0.80000000000000004</v>
      </c>
      <c r="AB37" s="8"/>
      <c r="AC37" s="8"/>
    </row>
    <row r="38" ht="12" customHeight="1">
      <c r="A38" s="8" t="s">
        <v>137</v>
      </c>
      <c r="B38" s="8" t="s">
        <v>426</v>
      </c>
      <c r="C38" s="26">
        <v>1.2</v>
      </c>
      <c r="D38" s="8"/>
      <c r="E38" s="26">
        <v>1.8</v>
      </c>
      <c r="F38" s="8"/>
      <c r="G38" s="26">
        <v>2.2999999999999998</v>
      </c>
      <c r="H38" s="8"/>
      <c r="I38" s="26">
        <v>3.7999999999999998</v>
      </c>
      <c r="J38" s="8"/>
      <c r="K38" s="26">
        <v>5</v>
      </c>
      <c r="L38" s="8"/>
      <c r="M38" s="26">
        <v>2</v>
      </c>
      <c r="N38" s="8"/>
      <c r="O38" s="26">
        <v>0.80000000000000004</v>
      </c>
      <c r="P38" s="8"/>
      <c r="Q38" s="26">
        <v>6.7000000000000002</v>
      </c>
      <c r="R38" s="8"/>
      <c r="S38" s="26">
        <v>1.3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1.1000000000000001</v>
      </c>
      <c r="AB38" s="8"/>
      <c r="AC38" s="8"/>
    </row>
    <row r="39" ht="12" customHeight="1">
      <c r="A39" s="11" t="s">
        <v>139</v>
      </c>
      <c r="B39" s="8" t="s">
        <v>427</v>
      </c>
      <c r="C39" s="26">
        <v>-0.80000000000000004</v>
      </c>
      <c r="D39" s="8"/>
      <c r="E39" s="26">
        <v>-1.3</v>
      </c>
      <c r="F39" s="8"/>
      <c r="G39" s="26">
        <v>-1.8</v>
      </c>
      <c r="H39" s="8"/>
      <c r="I39" s="26">
        <v>8.8000000000000007</v>
      </c>
      <c r="J39" s="8"/>
      <c r="K39" s="26">
        <v>-0.20000000000000001</v>
      </c>
      <c r="L39" s="8"/>
      <c r="M39" s="26">
        <v>-1.7</v>
      </c>
      <c r="N39" s="8"/>
      <c r="O39" s="26">
        <v>0</v>
      </c>
      <c r="P39" s="8"/>
      <c r="Q39" s="26">
        <v>-2.5</v>
      </c>
      <c r="R39" s="8"/>
      <c r="S39" s="26">
        <v>0.69999999999999996</v>
      </c>
      <c r="T39" s="8"/>
      <c r="U39" s="26">
        <v>1.8</v>
      </c>
      <c r="V39" s="8"/>
      <c r="W39" s="26">
        <v>-1.3</v>
      </c>
      <c r="X39" s="8"/>
      <c r="Y39" s="26">
        <v>0.40000000000000002</v>
      </c>
      <c r="Z39" s="8"/>
      <c r="AA39" s="26">
        <v>1.8</v>
      </c>
      <c r="AB39" s="8"/>
      <c r="AC39" s="8"/>
    </row>
    <row r="40" ht="12" customHeight="1">
      <c r="A40" s="8" t="s">
        <v>141</v>
      </c>
      <c r="B40" s="8" t="s">
        <v>428</v>
      </c>
      <c r="C40" s="26">
        <v>0.10000000000000001</v>
      </c>
      <c r="D40" s="8"/>
      <c r="E40" s="26">
        <v>0.90000000000000002</v>
      </c>
      <c r="F40" s="8"/>
      <c r="G40" s="26">
        <v>1.2</v>
      </c>
      <c r="H40" s="8"/>
      <c r="I40" s="26">
        <v>2.7000000000000002</v>
      </c>
      <c r="J40" s="8"/>
      <c r="K40" s="26">
        <v>-2.2000000000000002</v>
      </c>
      <c r="L40" s="8"/>
      <c r="M40" s="26">
        <v>-1.2</v>
      </c>
      <c r="N40" s="8"/>
      <c r="O40" s="26">
        <v>-2.7999999999999998</v>
      </c>
      <c r="P40" s="8"/>
      <c r="Q40" s="26">
        <v>-2</v>
      </c>
      <c r="R40" s="8"/>
      <c r="S40" s="26">
        <v>2.2000000000000002</v>
      </c>
      <c r="T40" s="8"/>
      <c r="U40" s="26">
        <v>0.40000000000000002</v>
      </c>
      <c r="V40" s="8"/>
      <c r="W40" s="26">
        <v>0.90000000000000002</v>
      </c>
      <c r="X40" s="8"/>
      <c r="Y40" s="26">
        <v>-0.20000000000000001</v>
      </c>
      <c r="Z40" s="8"/>
      <c r="AA40" s="26">
        <v>0.40000000000000002</v>
      </c>
      <c r="AB40" s="8"/>
      <c r="AC40" s="8"/>
    </row>
    <row r="41" ht="12" customHeight="1">
      <c r="A41" s="8" t="s">
        <v>143</v>
      </c>
      <c r="B41" s="8" t="s">
        <v>429</v>
      </c>
      <c r="C41" s="26">
        <v>-4.2000000000000002</v>
      </c>
      <c r="D41" s="8"/>
      <c r="E41" s="26">
        <v>-2</v>
      </c>
      <c r="F41" s="8"/>
      <c r="G41" s="26">
        <v>-1.2</v>
      </c>
      <c r="H41" s="8"/>
      <c r="I41" s="26">
        <v>12</v>
      </c>
      <c r="J41" s="8"/>
      <c r="K41" s="26">
        <v>0.69999999999999996</v>
      </c>
      <c r="L41" s="8"/>
      <c r="M41" s="26">
        <v>-1.3999999999999999</v>
      </c>
      <c r="N41" s="8"/>
      <c r="O41" s="26">
        <v>2.1000000000000001</v>
      </c>
      <c r="P41" s="8"/>
      <c r="Q41" s="26">
        <v>-4.0999999999999996</v>
      </c>
      <c r="R41" s="8"/>
      <c r="S41" s="26">
        <v>-0.90000000000000002</v>
      </c>
      <c r="T41" s="8"/>
      <c r="U41" s="26">
        <v>3.2000000000000002</v>
      </c>
      <c r="V41" s="8"/>
      <c r="W41" s="26">
        <v>-1.8</v>
      </c>
      <c r="X41" s="8"/>
      <c r="Y41" s="26">
        <v>0.40000000000000002</v>
      </c>
      <c r="Z41" s="8"/>
      <c r="AA41" s="26">
        <v>1.7</v>
      </c>
      <c r="AB41" s="8"/>
      <c r="AC41" s="8"/>
    </row>
    <row r="42" ht="12" customHeight="1">
      <c r="A42" s="8" t="s">
        <v>145</v>
      </c>
      <c r="B42" s="8" t="s">
        <v>430</v>
      </c>
      <c r="C42" s="26">
        <v>-7.0999999999999996</v>
      </c>
      <c r="D42" s="8"/>
      <c r="E42" s="26">
        <v>-2.5</v>
      </c>
      <c r="F42" s="8"/>
      <c r="G42" s="26">
        <v>-1.5</v>
      </c>
      <c r="H42" s="8"/>
      <c r="I42" s="26">
        <v>16.5</v>
      </c>
      <c r="J42" s="8"/>
      <c r="K42" s="26">
        <v>0.10000000000000001</v>
      </c>
      <c r="L42" s="8"/>
      <c r="M42" s="26">
        <v>-2.3999999999999999</v>
      </c>
      <c r="N42" s="8"/>
      <c r="O42" s="26">
        <v>0.69999999999999996</v>
      </c>
      <c r="P42" s="8"/>
      <c r="Q42" s="26">
        <v>-6.2999999999999998</v>
      </c>
      <c r="R42" s="8"/>
      <c r="S42" s="26">
        <v>-1.3999999999999999</v>
      </c>
      <c r="T42" s="8"/>
      <c r="U42" s="26">
        <v>4.5999999999999996</v>
      </c>
      <c r="V42" s="8"/>
      <c r="W42" s="26">
        <v>-4.7999999999999998</v>
      </c>
      <c r="X42" s="8"/>
      <c r="Y42" s="26">
        <v>0.20000000000000001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431</v>
      </c>
      <c r="C43" s="26">
        <v>13</v>
      </c>
      <c r="D43" s="8"/>
      <c r="E43" s="26">
        <v>-1.8</v>
      </c>
      <c r="F43" s="8"/>
      <c r="G43" s="26">
        <v>-8.0999999999999996</v>
      </c>
      <c r="H43" s="8"/>
      <c r="I43" s="26">
        <v>6.2999999999999998</v>
      </c>
      <c r="J43" s="8"/>
      <c r="K43" s="26">
        <v>-0.90000000000000002</v>
      </c>
      <c r="L43" s="8"/>
      <c r="M43" s="26">
        <v>-3.1000000000000001</v>
      </c>
      <c r="N43" s="8"/>
      <c r="O43" s="26">
        <v>-4.7999999999999998</v>
      </c>
      <c r="P43" s="8"/>
      <c r="Q43" s="26">
        <v>3.5</v>
      </c>
      <c r="R43" s="8"/>
      <c r="S43" s="26">
        <v>4.9000000000000004</v>
      </c>
      <c r="T43" s="8"/>
      <c r="U43" s="26">
        <v>-3.2999999999999998</v>
      </c>
      <c r="V43" s="8"/>
      <c r="W43" s="26">
        <v>-2.6000000000000001</v>
      </c>
      <c r="X43" s="8"/>
      <c r="Y43" s="26">
        <v>1.3999999999999999</v>
      </c>
      <c r="Z43" s="8"/>
      <c r="AA43" s="26">
        <v>5.4000000000000004</v>
      </c>
      <c r="AB43" s="8"/>
      <c r="AC43" s="8"/>
    </row>
    <row r="44" ht="12" customHeight="1">
      <c r="A44" s="11" t="s">
        <v>149</v>
      </c>
      <c r="B44" s="8" t="s">
        <v>432</v>
      </c>
      <c r="C44" s="26">
        <v>0.29999999999999999</v>
      </c>
      <c r="D44" s="8"/>
      <c r="E44" s="26">
        <v>0.40000000000000002</v>
      </c>
      <c r="F44" s="8"/>
      <c r="G44" s="26">
        <v>0.29999999999999999</v>
      </c>
      <c r="H44" s="8"/>
      <c r="I44" s="26">
        <v>1.7</v>
      </c>
      <c r="J44" s="8"/>
      <c r="K44" s="26">
        <v>1.8</v>
      </c>
      <c r="L44" s="8"/>
      <c r="M44" s="26">
        <v>0.69999999999999996</v>
      </c>
      <c r="N44" s="8"/>
      <c r="O44" s="26">
        <v>1</v>
      </c>
      <c r="P44" s="8"/>
      <c r="Q44" s="26">
        <v>0.40000000000000002</v>
      </c>
      <c r="R44" s="8"/>
      <c r="S44" s="26">
        <v>2.5</v>
      </c>
      <c r="T44" s="8"/>
      <c r="U44" s="26">
        <v>1.1000000000000001</v>
      </c>
      <c r="V44" s="8"/>
      <c r="W44" s="26">
        <v>0.80000000000000004</v>
      </c>
      <c r="X44" s="8"/>
      <c r="Y44" s="26">
        <v>1</v>
      </c>
      <c r="Z44" s="8"/>
      <c r="AA44" s="26">
        <v>3.2000000000000002</v>
      </c>
      <c r="AB44" s="8"/>
      <c r="AC44" s="8"/>
    </row>
    <row r="45" ht="12" customHeight="1">
      <c r="A45" s="8" t="s">
        <v>151</v>
      </c>
      <c r="B45" s="8" t="s">
        <v>433</v>
      </c>
      <c r="C45" s="26">
        <v>1.6000000000000001</v>
      </c>
      <c r="D45" s="8"/>
      <c r="E45" s="26">
        <v>1.3</v>
      </c>
      <c r="F45" s="8"/>
      <c r="G45" s="26">
        <v>-1.2</v>
      </c>
      <c r="H45" s="8"/>
      <c r="I45" s="26">
        <v>6.2999999999999998</v>
      </c>
      <c r="J45" s="8"/>
      <c r="K45" s="26">
        <v>1.7</v>
      </c>
      <c r="L45" s="8"/>
      <c r="M45" s="26">
        <v>-2.2999999999999998</v>
      </c>
      <c r="N45" s="8"/>
      <c r="O45" s="26">
        <v>-0.90000000000000002</v>
      </c>
      <c r="P45" s="8"/>
      <c r="Q45" s="26">
        <v>2</v>
      </c>
      <c r="R45" s="8"/>
      <c r="S45" s="26">
        <v>0.10000000000000001</v>
      </c>
      <c r="T45" s="8"/>
      <c r="U45" s="26">
        <v>-0.40000000000000002</v>
      </c>
      <c r="V45" s="8"/>
      <c r="W45" s="26">
        <v>1</v>
      </c>
      <c r="X45" s="8"/>
      <c r="Y45" s="26">
        <v>7.5</v>
      </c>
      <c r="Z45" s="8"/>
      <c r="AA45" s="26">
        <v>0.20000000000000001</v>
      </c>
      <c r="AB45" s="8"/>
      <c r="AC45" s="8"/>
    </row>
    <row r="46" ht="12" customHeight="1">
      <c r="A46" s="8" t="s">
        <v>153</v>
      </c>
      <c r="B46" s="8" t="s">
        <v>434</v>
      </c>
      <c r="C46" s="26">
        <v>-0.29999999999999999</v>
      </c>
      <c r="D46" s="8"/>
      <c r="E46" s="26">
        <v>1.3</v>
      </c>
      <c r="F46" s="8"/>
      <c r="G46" s="26">
        <v>-9.8000000000000007</v>
      </c>
      <c r="H46" s="8"/>
      <c r="I46" s="26">
        <v>-6.5</v>
      </c>
      <c r="J46" s="8"/>
      <c r="K46" s="26">
        <v>16.199999999999999</v>
      </c>
      <c r="L46" s="8"/>
      <c r="M46" s="26">
        <v>-3</v>
      </c>
      <c r="N46" s="8"/>
      <c r="O46" s="26">
        <v>8.1999999999999993</v>
      </c>
      <c r="P46" s="8"/>
      <c r="Q46" s="26">
        <v>-15.199999999999999</v>
      </c>
      <c r="R46" s="8"/>
      <c r="S46" s="26">
        <v>0</v>
      </c>
      <c r="T46" s="8"/>
      <c r="U46" s="26">
        <v>-5.2000000000000002</v>
      </c>
      <c r="V46" s="8"/>
      <c r="W46" s="26">
        <v>-7.0999999999999996</v>
      </c>
      <c r="X46" s="8"/>
      <c r="Y46" s="26">
        <v>-3.3999999999999999</v>
      </c>
      <c r="Z46" s="8"/>
      <c r="AA46" s="26">
        <v>11</v>
      </c>
      <c r="AB46" s="8"/>
      <c r="AC46" s="8"/>
    </row>
    <row r="47" ht="12" customHeight="1">
      <c r="A47" s="8" t="s">
        <v>155</v>
      </c>
      <c r="B47" s="8" t="s">
        <v>435</v>
      </c>
      <c r="C47" s="26">
        <v>0.29999999999999999</v>
      </c>
      <c r="D47" s="8"/>
      <c r="E47" s="26">
        <v>0.29999999999999999</v>
      </c>
      <c r="F47" s="8"/>
      <c r="G47" s="26">
        <v>0.80000000000000004</v>
      </c>
      <c r="H47" s="8"/>
      <c r="I47" s="26">
        <v>1.8999999999999999</v>
      </c>
      <c r="J47" s="8"/>
      <c r="K47" s="26">
        <v>1.3</v>
      </c>
      <c r="L47" s="8"/>
      <c r="M47" s="26">
        <v>1</v>
      </c>
      <c r="N47" s="8"/>
      <c r="O47" s="26">
        <v>0.69999999999999996</v>
      </c>
      <c r="P47" s="8"/>
      <c r="Q47" s="26">
        <v>1.1000000000000001</v>
      </c>
      <c r="R47" s="8"/>
      <c r="S47" s="26">
        <v>2.6000000000000001</v>
      </c>
      <c r="T47" s="8"/>
      <c r="U47" s="26">
        <v>1.6000000000000001</v>
      </c>
      <c r="V47" s="8"/>
      <c r="W47" s="26">
        <v>1.3999999999999999</v>
      </c>
      <c r="X47" s="8"/>
      <c r="Y47" s="26">
        <v>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436</v>
      </c>
      <c r="C48" s="26">
        <v>3.2999999999999998</v>
      </c>
      <c r="D48" s="8"/>
      <c r="E48" s="26">
        <v>0.90000000000000002</v>
      </c>
      <c r="F48" s="8"/>
      <c r="G48" s="26">
        <v>0.29999999999999999</v>
      </c>
      <c r="H48" s="8"/>
      <c r="I48" s="26">
        <v>1.3999999999999999</v>
      </c>
      <c r="J48" s="8"/>
      <c r="K48" s="26">
        <v>1.8</v>
      </c>
      <c r="L48" s="8"/>
      <c r="M48" s="26">
        <v>1.8999999999999999</v>
      </c>
      <c r="N48" s="8"/>
      <c r="O48" s="26">
        <v>-1.6000000000000001</v>
      </c>
      <c r="P48" s="8"/>
      <c r="Q48" s="26">
        <v>0.20000000000000001</v>
      </c>
      <c r="R48" s="8"/>
      <c r="S48" s="26">
        <v>2</v>
      </c>
      <c r="T48" s="8"/>
      <c r="U48" s="26">
        <v>-0.20000000000000001</v>
      </c>
      <c r="V48" s="8"/>
      <c r="W48" s="26">
        <v>0.69999999999999996</v>
      </c>
      <c r="X48" s="8"/>
      <c r="Y48" s="26">
        <v>0.69999999999999996</v>
      </c>
      <c r="Z48" s="8"/>
      <c r="AA48" s="26">
        <v>1.3</v>
      </c>
      <c r="AB48" s="8"/>
      <c r="AC48" s="8"/>
    </row>
    <row r="49" ht="12" customHeight="1">
      <c r="A49" s="8" t="s">
        <v>159</v>
      </c>
      <c r="B49" s="8" t="s">
        <v>437</v>
      </c>
      <c r="C49" s="26">
        <v>5.7000000000000002</v>
      </c>
      <c r="D49" s="8"/>
      <c r="E49" s="26">
        <v>-4.7000000000000002</v>
      </c>
      <c r="F49" s="8"/>
      <c r="G49" s="26">
        <v>-16.600000000000001</v>
      </c>
      <c r="H49" s="8"/>
      <c r="I49" s="26">
        <v>4.2000000000000002</v>
      </c>
      <c r="J49" s="8"/>
      <c r="K49" s="26">
        <v>7.4000000000000004</v>
      </c>
      <c r="L49" s="8"/>
      <c r="M49" s="26">
        <v>-9.5</v>
      </c>
      <c r="N49" s="8"/>
      <c r="O49" s="26">
        <v>-10.9</v>
      </c>
      <c r="P49" s="8"/>
      <c r="Q49" s="26">
        <v>5.5999999999999996</v>
      </c>
      <c r="R49" s="8"/>
      <c r="S49" s="26">
        <v>7.5</v>
      </c>
      <c r="T49" s="8"/>
      <c r="U49" s="26">
        <v>-6.0999999999999996</v>
      </c>
      <c r="V49" s="8"/>
      <c r="W49" s="26">
        <v>-11.4</v>
      </c>
      <c r="X49" s="8"/>
      <c r="Y49" s="26">
        <v>1.7</v>
      </c>
      <c r="Z49" s="8"/>
      <c r="AA49" s="26">
        <v>7.9000000000000004</v>
      </c>
      <c r="AB49" s="8"/>
      <c r="AC49" s="8"/>
    </row>
    <row r="50" ht="12" customHeight="1">
      <c r="A50" s="8" t="s">
        <v>161</v>
      </c>
      <c r="B50" s="8" t="s">
        <v>438</v>
      </c>
      <c r="C50" s="26">
        <v>2.7999999999999998</v>
      </c>
      <c r="D50" s="8"/>
      <c r="E50" s="26">
        <v>1.7</v>
      </c>
      <c r="F50" s="8"/>
      <c r="G50" s="26">
        <v>-0.10000000000000001</v>
      </c>
      <c r="H50" s="8"/>
      <c r="I50" s="26">
        <v>0.80000000000000004</v>
      </c>
      <c r="J50" s="8"/>
      <c r="K50" s="26">
        <v>-0.80000000000000004</v>
      </c>
      <c r="L50" s="8"/>
      <c r="M50" s="26">
        <v>1.8999999999999999</v>
      </c>
      <c r="N50" s="8"/>
      <c r="O50" s="26">
        <v>0.20000000000000001</v>
      </c>
      <c r="P50" s="8"/>
      <c r="Q50" s="26">
        <v>-2.3999999999999999</v>
      </c>
      <c r="R50" s="8"/>
      <c r="S50" s="26">
        <v>0.80000000000000004</v>
      </c>
      <c r="T50" s="8"/>
      <c r="U50" s="26">
        <v>0.69999999999999996</v>
      </c>
      <c r="V50" s="8"/>
      <c r="W50" s="26">
        <v>1.8</v>
      </c>
      <c r="X50" s="8"/>
      <c r="Y50" s="26">
        <v>-0.29999999999999999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439</v>
      </c>
      <c r="C51" s="26">
        <v>2.2999999999999998</v>
      </c>
      <c r="D51" s="8"/>
      <c r="E51" s="26">
        <v>1.8</v>
      </c>
      <c r="F51" s="8"/>
      <c r="G51" s="26">
        <v>4.4000000000000004</v>
      </c>
      <c r="H51" s="8"/>
      <c r="I51" s="26">
        <v>0.10000000000000001</v>
      </c>
      <c r="J51" s="8"/>
      <c r="K51" s="26">
        <v>0.69999999999999996</v>
      </c>
      <c r="L51" s="8"/>
      <c r="M51" s="26">
        <v>0.69999999999999996</v>
      </c>
      <c r="N51" s="8"/>
      <c r="O51" s="26">
        <v>-1.6000000000000001</v>
      </c>
      <c r="P51" s="8"/>
      <c r="Q51" s="26">
        <v>1</v>
      </c>
      <c r="R51" s="8"/>
      <c r="S51" s="26">
        <v>1.2</v>
      </c>
      <c r="T51" s="8"/>
      <c r="U51" s="26">
        <v>-0.5</v>
      </c>
      <c r="V51" s="8"/>
      <c r="W51" s="26">
        <v>-1.8999999999999999</v>
      </c>
      <c r="X51" s="8"/>
      <c r="Y51" s="26">
        <v>1</v>
      </c>
      <c r="Z51" s="8"/>
      <c r="AA51" s="26">
        <v>0.59999999999999998</v>
      </c>
      <c r="AB51" s="8"/>
      <c r="AC51" s="8"/>
    </row>
    <row r="52" ht="12" customHeight="1">
      <c r="A52" s="8" t="s">
        <v>165</v>
      </c>
      <c r="B52" s="8" t="s">
        <v>440</v>
      </c>
      <c r="C52" s="26">
        <v>2.5</v>
      </c>
      <c r="D52" s="8"/>
      <c r="E52" s="26">
        <v>0.90000000000000002</v>
      </c>
      <c r="F52" s="8"/>
      <c r="G52" s="26">
        <v>0.80000000000000004</v>
      </c>
      <c r="H52" s="8"/>
      <c r="I52" s="26">
        <v>1.1000000000000001</v>
      </c>
      <c r="J52" s="8"/>
      <c r="K52" s="26">
        <v>2.2999999999999998</v>
      </c>
      <c r="L52" s="8"/>
      <c r="M52" s="26">
        <v>3.2999999999999998</v>
      </c>
      <c r="N52" s="8"/>
      <c r="O52" s="26">
        <v>1.7</v>
      </c>
      <c r="P52" s="8"/>
      <c r="Q52" s="26">
        <v>-0.59999999999999998</v>
      </c>
      <c r="R52" s="8"/>
      <c r="S52" s="26">
        <v>1.5</v>
      </c>
      <c r="T52" s="8"/>
      <c r="U52" s="26">
        <v>0.29999999999999999</v>
      </c>
      <c r="V52" s="8"/>
      <c r="W52" s="26">
        <v>6</v>
      </c>
      <c r="X52" s="8"/>
      <c r="Y52" s="26">
        <v>0.40000000000000002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441</v>
      </c>
      <c r="C53" s="26">
        <v>2.8999999999999999</v>
      </c>
      <c r="D53" s="8"/>
      <c r="E53" s="26">
        <v>0</v>
      </c>
      <c r="F53" s="8"/>
      <c r="G53" s="26">
        <v>2.6000000000000001</v>
      </c>
      <c r="H53" s="8"/>
      <c r="I53" s="26">
        <v>2.6000000000000001</v>
      </c>
      <c r="J53" s="8"/>
      <c r="K53" s="26">
        <v>0.5</v>
      </c>
      <c r="L53" s="8"/>
      <c r="M53" s="26">
        <v>1.1000000000000001</v>
      </c>
      <c r="N53" s="8"/>
      <c r="O53" s="26">
        <v>1.8</v>
      </c>
      <c r="P53" s="8"/>
      <c r="Q53" s="26">
        <v>0.80000000000000004</v>
      </c>
      <c r="R53" s="8"/>
      <c r="S53" s="26">
        <v>1</v>
      </c>
      <c r="T53" s="8"/>
      <c r="U53" s="26">
        <v>-0.69999999999999996</v>
      </c>
      <c r="V53" s="8"/>
      <c r="W53" s="26">
        <v>-0.20000000000000001</v>
      </c>
      <c r="X53" s="8"/>
      <c r="Y53" s="26">
        <v>2.2000000000000002</v>
      </c>
      <c r="Z53" s="8"/>
      <c r="AA53" s="26">
        <v>1</v>
      </c>
      <c r="AB53" s="8"/>
      <c r="AC53" s="8"/>
    </row>
    <row r="54" ht="12" customHeight="1">
      <c r="A54" s="8" t="s">
        <v>169</v>
      </c>
      <c r="B54" s="8" t="s">
        <v>442</v>
      </c>
      <c r="C54" s="26">
        <v>7.0999999999999996</v>
      </c>
      <c r="D54" s="8"/>
      <c r="E54" s="26">
        <v>4.2999999999999998</v>
      </c>
      <c r="F54" s="8"/>
      <c r="G54" s="26">
        <v>-5.7999999999999998</v>
      </c>
      <c r="H54" s="8"/>
      <c r="I54" s="26">
        <v>2.7000000000000002</v>
      </c>
      <c r="J54" s="8"/>
      <c r="K54" s="26">
        <v>2.3999999999999999</v>
      </c>
      <c r="L54" s="8"/>
      <c r="M54" s="26">
        <v>6.4000000000000004</v>
      </c>
      <c r="N54" s="8"/>
      <c r="O54" s="26">
        <v>-9.4000000000000004</v>
      </c>
      <c r="P54" s="8"/>
      <c r="Q54" s="26">
        <v>-1.3999999999999999</v>
      </c>
      <c r="R54" s="8"/>
      <c r="S54" s="26">
        <v>4.7999999999999998</v>
      </c>
      <c r="T54" s="8"/>
      <c r="U54" s="26">
        <v>2.2000000000000002</v>
      </c>
      <c r="V54" s="8"/>
      <c r="W54" s="26">
        <v>1.8999999999999999</v>
      </c>
      <c r="X54" s="8"/>
      <c r="Y54" s="26">
        <v>0.29999999999999999</v>
      </c>
      <c r="Z54" s="8"/>
      <c r="AA54" s="26">
        <v>3</v>
      </c>
      <c r="AB54" s="8"/>
      <c r="AC54" s="8"/>
    </row>
    <row r="55" ht="12" customHeight="1">
      <c r="A55" s="11" t="s">
        <v>171</v>
      </c>
      <c r="B55" s="8" t="s">
        <v>443</v>
      </c>
      <c r="C55" s="26">
        <v>0</v>
      </c>
      <c r="D55" s="8"/>
      <c r="E55" s="26">
        <v>2.8999999999999999</v>
      </c>
      <c r="F55" s="8"/>
      <c r="G55" s="26">
        <v>0</v>
      </c>
      <c r="H55" s="8"/>
      <c r="I55" s="26">
        <v>0.69999999999999996</v>
      </c>
      <c r="J55" s="8"/>
      <c r="K55" s="26">
        <v>0</v>
      </c>
      <c r="L55" s="8"/>
      <c r="M55" s="26">
        <v>4.7000000000000002</v>
      </c>
      <c r="N55" s="8"/>
      <c r="O55" s="26">
        <v>0</v>
      </c>
      <c r="P55" s="8"/>
      <c r="Q55" s="26">
        <v>-4</v>
      </c>
      <c r="R55" s="8"/>
      <c r="S55" s="26">
        <v>0</v>
      </c>
      <c r="T55" s="8"/>
      <c r="U55" s="26">
        <v>12.800000000000001</v>
      </c>
      <c r="V55" s="8"/>
      <c r="W55" s="26">
        <v>0</v>
      </c>
      <c r="X55" s="8"/>
      <c r="Y55" s="26">
        <v>0.20000000000000001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444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3.5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-20.800000000000001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2.3999999999999999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445</v>
      </c>
      <c r="C57" s="26">
        <v>0</v>
      </c>
      <c r="D57" s="8"/>
      <c r="E57" s="26">
        <v>2.1000000000000001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4.2000000000000002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446</v>
      </c>
      <c r="C58" s="26">
        <v>0</v>
      </c>
      <c r="D58" s="8"/>
      <c r="E58" s="26">
        <v>4.2000000000000002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6.5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447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4.2999999999999998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448</v>
      </c>
      <c r="C60" s="26">
        <v>1.8999999999999999</v>
      </c>
      <c r="D60" s="8"/>
      <c r="E60" s="26">
        <v>2.2000000000000002</v>
      </c>
      <c r="F60" s="8"/>
      <c r="G60" s="26">
        <v>3</v>
      </c>
      <c r="H60" s="8"/>
      <c r="I60" s="26">
        <v>2.7000000000000002</v>
      </c>
      <c r="J60" s="8"/>
      <c r="K60" s="26">
        <v>2.6000000000000001</v>
      </c>
      <c r="L60" s="8"/>
      <c r="M60" s="26">
        <v>3.1000000000000001</v>
      </c>
      <c r="N60" s="8"/>
      <c r="O60" s="26">
        <v>2.6000000000000001</v>
      </c>
      <c r="P60" s="8"/>
      <c r="Q60" s="26">
        <v>1.8</v>
      </c>
      <c r="R60" s="8"/>
      <c r="S60" s="26">
        <v>1.5</v>
      </c>
      <c r="T60" s="8"/>
      <c r="U60" s="26">
        <v>1.1000000000000001</v>
      </c>
      <c r="V60" s="8"/>
      <c r="W60" s="26">
        <v>1.1000000000000001</v>
      </c>
      <c r="X60" s="8"/>
      <c r="Y60" s="26">
        <v>0.29999999999999999</v>
      </c>
      <c r="Z60" s="8"/>
      <c r="AA60" s="26">
        <v>0.10000000000000001</v>
      </c>
      <c r="AB60" s="8"/>
      <c r="AC60" s="8"/>
    </row>
    <row r="61" ht="12" customHeight="1">
      <c r="A61" s="8" t="s">
        <v>183</v>
      </c>
      <c r="B61" s="8" t="s">
        <v>449</v>
      </c>
      <c r="C61" s="26">
        <v>2.6000000000000001</v>
      </c>
      <c r="D61" s="8"/>
      <c r="E61" s="26">
        <v>2.1000000000000001</v>
      </c>
      <c r="F61" s="8"/>
      <c r="G61" s="26">
        <v>2.2000000000000002</v>
      </c>
      <c r="H61" s="8"/>
      <c r="I61" s="26">
        <v>-0.59999999999999998</v>
      </c>
      <c r="J61" s="8"/>
      <c r="K61" s="26">
        <v>-1</v>
      </c>
      <c r="L61" s="8"/>
      <c r="M61" s="26">
        <v>0.20000000000000001</v>
      </c>
      <c r="N61" s="8"/>
      <c r="O61" s="26">
        <v>0.10000000000000001</v>
      </c>
      <c r="P61" s="8"/>
      <c r="Q61" s="26">
        <v>-0.29999999999999999</v>
      </c>
      <c r="R61" s="8"/>
      <c r="S61" s="26">
        <v>0</v>
      </c>
      <c r="T61" s="8"/>
      <c r="U61" s="26">
        <v>0.5</v>
      </c>
      <c r="V61" s="8"/>
      <c r="W61" s="26">
        <v>1.1000000000000001</v>
      </c>
      <c r="X61" s="8"/>
      <c r="Y61" s="26">
        <v>0.29999999999999999</v>
      </c>
      <c r="Z61" s="8"/>
      <c r="AA61" s="26">
        <v>-0.20000000000000001</v>
      </c>
      <c r="AB61" s="8"/>
      <c r="AC61" s="8"/>
    </row>
    <row r="62" ht="12" customHeight="1">
      <c r="A62" s="8" t="s">
        <v>185</v>
      </c>
      <c r="B62" s="8" t="s">
        <v>450</v>
      </c>
      <c r="C62" s="26">
        <v>2.1000000000000001</v>
      </c>
      <c r="D62" s="8"/>
      <c r="E62" s="26">
        <v>-0.29999999999999999</v>
      </c>
      <c r="F62" s="8"/>
      <c r="G62" s="26">
        <v>-1.5</v>
      </c>
      <c r="H62" s="8"/>
      <c r="I62" s="26">
        <v>2</v>
      </c>
      <c r="J62" s="8"/>
      <c r="K62" s="26">
        <v>1.5</v>
      </c>
      <c r="L62" s="8"/>
      <c r="M62" s="26">
        <v>0.5</v>
      </c>
      <c r="N62" s="8"/>
      <c r="O62" s="26">
        <v>1.5</v>
      </c>
      <c r="P62" s="8"/>
      <c r="Q62" s="26">
        <v>0.29999999999999999</v>
      </c>
      <c r="R62" s="8"/>
      <c r="S62" s="26">
        <v>0.10000000000000001</v>
      </c>
      <c r="T62" s="8"/>
      <c r="U62" s="26">
        <v>-0.29999999999999999</v>
      </c>
      <c r="V62" s="8"/>
      <c r="W62" s="26">
        <v>2.2999999999999998</v>
      </c>
      <c r="X62" s="8"/>
      <c r="Y62" s="26">
        <v>1.2</v>
      </c>
      <c r="Z62" s="8"/>
      <c r="AA62" s="26">
        <v>2.5</v>
      </c>
      <c r="AB62" s="8"/>
      <c r="AC62" s="8"/>
    </row>
    <row r="63" ht="12" customHeight="1">
      <c r="A63" s="8" t="s">
        <v>187</v>
      </c>
      <c r="B63" s="8" t="s">
        <v>451</v>
      </c>
      <c r="C63" s="26">
        <v>1.8999999999999999</v>
      </c>
      <c r="D63" s="8"/>
      <c r="E63" s="26">
        <v>2.7000000000000002</v>
      </c>
      <c r="F63" s="8"/>
      <c r="G63" s="26">
        <v>4.2000000000000002</v>
      </c>
      <c r="H63" s="8"/>
      <c r="I63" s="26">
        <v>4.5</v>
      </c>
      <c r="J63" s="8"/>
      <c r="K63" s="26">
        <v>4.4000000000000004</v>
      </c>
      <c r="L63" s="8"/>
      <c r="M63" s="26">
        <v>4.7999999999999998</v>
      </c>
      <c r="N63" s="8"/>
      <c r="O63" s="26">
        <v>4.0999999999999996</v>
      </c>
      <c r="P63" s="8"/>
      <c r="Q63" s="26">
        <v>3</v>
      </c>
      <c r="R63" s="8"/>
      <c r="S63" s="26">
        <v>2.3999999999999999</v>
      </c>
      <c r="T63" s="8"/>
      <c r="U63" s="26">
        <v>1.3</v>
      </c>
      <c r="V63" s="8"/>
      <c r="W63" s="26">
        <v>1.1000000000000001</v>
      </c>
      <c r="X63" s="8"/>
      <c r="Y63" s="26">
        <v>0.5</v>
      </c>
      <c r="Z63" s="8"/>
      <c r="AA63" s="26">
        <v>0.10000000000000001</v>
      </c>
      <c r="AB63" s="8"/>
      <c r="AC63" s="8"/>
    </row>
    <row r="64" ht="12" customHeight="1">
      <c r="A64" s="8" t="s">
        <v>189</v>
      </c>
      <c r="B64" s="8" t="s">
        <v>452</v>
      </c>
      <c r="C64" s="26">
        <v>-1.8</v>
      </c>
      <c r="D64" s="8"/>
      <c r="E64" s="26">
        <v>-0.40000000000000002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-2.2000000000000002</v>
      </c>
      <c r="R64" s="8"/>
      <c r="S64" s="26">
        <v>-0.59999999999999998</v>
      </c>
      <c r="T64" s="8"/>
      <c r="U64" s="26">
        <v>0</v>
      </c>
      <c r="V64" s="8"/>
      <c r="W64" s="26">
        <v>-0.59999999999999998</v>
      </c>
      <c r="X64" s="8"/>
      <c r="Y64" s="26">
        <v>-0.10000000000000001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453</v>
      </c>
      <c r="C65" s="26">
        <v>-0.20000000000000001</v>
      </c>
      <c r="D65" s="8"/>
      <c r="E65" s="26">
        <v>1</v>
      </c>
      <c r="F65" s="8"/>
      <c r="G65" s="26">
        <v>0.40000000000000002</v>
      </c>
      <c r="H65" s="8"/>
      <c r="I65" s="26">
        <v>2.3999999999999999</v>
      </c>
      <c r="J65" s="8"/>
      <c r="K65" s="26">
        <v>1.1000000000000001</v>
      </c>
      <c r="L65" s="8"/>
      <c r="M65" s="26">
        <v>1.2</v>
      </c>
      <c r="N65" s="8"/>
      <c r="O65" s="26">
        <v>0.59999999999999998</v>
      </c>
      <c r="P65" s="8"/>
      <c r="Q65" s="26">
        <v>0.80000000000000004</v>
      </c>
      <c r="R65" s="8"/>
      <c r="S65" s="26">
        <v>0.40000000000000002</v>
      </c>
      <c r="T65" s="8"/>
      <c r="U65" s="26">
        <v>0.59999999999999998</v>
      </c>
      <c r="V65" s="8"/>
      <c r="W65" s="26">
        <v>1.3</v>
      </c>
      <c r="X65" s="8"/>
      <c r="Y65" s="26">
        <v>-0.80000000000000004</v>
      </c>
      <c r="Z65" s="8"/>
      <c r="AA65" s="26">
        <v>0</v>
      </c>
      <c r="AB65" s="8"/>
      <c r="AC65" s="8"/>
    </row>
    <row r="66" ht="12" customHeight="1">
      <c r="A66" s="11" t="s">
        <v>193</v>
      </c>
      <c r="B66" s="8" t="s">
        <v>454</v>
      </c>
      <c r="C66" s="26">
        <v>6.2999999999999998</v>
      </c>
      <c r="D66" s="8"/>
      <c r="E66" s="26">
        <v>6.7000000000000002</v>
      </c>
      <c r="F66" s="8"/>
      <c r="G66" s="26">
        <v>3.2999999999999998</v>
      </c>
      <c r="H66" s="8"/>
      <c r="I66" s="26">
        <v>8.0999999999999996</v>
      </c>
      <c r="J66" s="8"/>
      <c r="K66" s="26">
        <v>9.5</v>
      </c>
      <c r="L66" s="8"/>
      <c r="M66" s="26">
        <v>4.4000000000000004</v>
      </c>
      <c r="N66" s="8"/>
      <c r="O66" s="26">
        <v>2.1000000000000001</v>
      </c>
      <c r="P66" s="8"/>
      <c r="Q66" s="26">
        <v>0.90000000000000002</v>
      </c>
      <c r="R66" s="8"/>
      <c r="S66" s="26">
        <v>-0.59999999999999998</v>
      </c>
      <c r="T66" s="8"/>
      <c r="U66" s="26">
        <v>-1.8</v>
      </c>
      <c r="V66" s="8"/>
      <c r="W66" s="26">
        <v>-5.9000000000000004</v>
      </c>
      <c r="X66" s="8"/>
      <c r="Y66" s="26">
        <v>-5.7999999999999998</v>
      </c>
      <c r="Z66" s="8"/>
      <c r="AA66" s="26">
        <v>-3.7999999999999998</v>
      </c>
      <c r="AB66" s="8"/>
      <c r="AC66" s="8"/>
    </row>
    <row r="67" ht="12" customHeight="1">
      <c r="A67" s="8" t="s">
        <v>195</v>
      </c>
      <c r="B67" s="8" t="s">
        <v>455</v>
      </c>
      <c r="C67" s="26">
        <v>6.2999999999999998</v>
      </c>
      <c r="D67" s="8"/>
      <c r="E67" s="26">
        <v>6.7000000000000002</v>
      </c>
      <c r="F67" s="8"/>
      <c r="G67" s="26">
        <v>3.2999999999999998</v>
      </c>
      <c r="H67" s="8"/>
      <c r="I67" s="26">
        <v>8.0999999999999996</v>
      </c>
      <c r="J67" s="8"/>
      <c r="K67" s="26">
        <v>9.5</v>
      </c>
      <c r="L67" s="8"/>
      <c r="M67" s="26">
        <v>4.4000000000000004</v>
      </c>
      <c r="N67" s="8"/>
      <c r="O67" s="26">
        <v>2.1000000000000001</v>
      </c>
      <c r="P67" s="8"/>
      <c r="Q67" s="26">
        <v>0.90000000000000002</v>
      </c>
      <c r="R67" s="8"/>
      <c r="S67" s="26">
        <v>-0.59999999999999998</v>
      </c>
      <c r="T67" s="8"/>
      <c r="U67" s="26">
        <v>-1.8</v>
      </c>
      <c r="V67" s="8"/>
      <c r="W67" s="26">
        <v>-5.9000000000000004</v>
      </c>
      <c r="X67" s="8"/>
      <c r="Y67" s="26">
        <v>-5.7999999999999998</v>
      </c>
      <c r="Z67" s="8"/>
      <c r="AA67" s="26">
        <v>-3.7999999999999998</v>
      </c>
      <c r="AB67" s="8"/>
      <c r="AC67" s="8"/>
    </row>
    <row r="68" ht="12" customHeight="1">
      <c r="A68" s="13" t="s">
        <v>69</v>
      </c>
      <c r="B68" s="10" t="s">
        <v>48</v>
      </c>
      <c r="C68" s="27">
        <v>1.3999999999999999</v>
      </c>
      <c r="D68" s="10"/>
      <c r="E68" s="27">
        <v>1.8999999999999999</v>
      </c>
      <c r="F68" s="10"/>
      <c r="G68" s="27">
        <v>1.3</v>
      </c>
      <c r="H68" s="10"/>
      <c r="I68" s="27">
        <v>2.2999999999999998</v>
      </c>
      <c r="J68" s="10"/>
      <c r="K68" s="27">
        <v>1</v>
      </c>
      <c r="L68" s="10"/>
      <c r="M68" s="27">
        <v>0.90000000000000002</v>
      </c>
      <c r="N68" s="10"/>
      <c r="O68" s="27">
        <v>0.59999999999999998</v>
      </c>
      <c r="P68" s="10"/>
      <c r="Q68" s="27">
        <v>1.3999999999999999</v>
      </c>
      <c r="R68" s="10"/>
      <c r="S68" s="27">
        <v>0.40000000000000002</v>
      </c>
      <c r="T68" s="10"/>
      <c r="U68" s="27">
        <v>1.2</v>
      </c>
      <c r="V68" s="10"/>
      <c r="W68" s="27">
        <v>0.69999999999999996</v>
      </c>
      <c r="X68" s="10"/>
      <c r="Y68" s="27">
        <v>1.3</v>
      </c>
      <c r="Z68" s="10"/>
      <c r="AA68" s="27">
        <v>0.20000000000000001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457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395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396</v>
      </c>
      <c r="C8" s="22">
        <v>11.4</v>
      </c>
      <c r="D8" s="22"/>
      <c r="E8" s="22">
        <v>12.199999999999999</v>
      </c>
      <c r="F8" s="22"/>
      <c r="G8" s="22">
        <v>13.1</v>
      </c>
      <c r="H8" s="22"/>
      <c r="I8" s="22">
        <v>9.1999999999999993</v>
      </c>
      <c r="J8" s="22"/>
      <c r="K8" s="22">
        <v>5.5999999999999996</v>
      </c>
      <c r="L8" s="22"/>
      <c r="M8" s="22">
        <v>1.5</v>
      </c>
      <c r="N8" s="22"/>
      <c r="O8" s="22">
        <v>-0.90000000000000002</v>
      </c>
      <c r="P8" s="22"/>
      <c r="Q8" s="22">
        <v>0</v>
      </c>
      <c r="R8" s="22"/>
      <c r="S8" s="22">
        <v>0.80000000000000004</v>
      </c>
      <c r="T8" s="22"/>
      <c r="U8" s="22">
        <v>2.6000000000000001</v>
      </c>
      <c r="V8" s="22"/>
      <c r="W8" s="22">
        <v>4.9000000000000004</v>
      </c>
      <c r="X8" s="22"/>
      <c r="Y8" s="22">
        <v>5.5999999999999996</v>
      </c>
      <c r="Z8" s="22"/>
      <c r="AA8" s="22">
        <v>4.7999999999999998</v>
      </c>
      <c r="AB8" s="22"/>
      <c r="AC8" s="22"/>
    </row>
    <row r="9" ht="12" customHeight="1">
      <c r="A9" s="8" t="s">
        <v>79</v>
      </c>
      <c r="B9" s="8" t="s">
        <v>397</v>
      </c>
      <c r="C9" s="26">
        <v>21.800000000000001</v>
      </c>
      <c r="D9" s="8"/>
      <c r="E9" s="26">
        <v>21.199999999999999</v>
      </c>
      <c r="F9" s="8"/>
      <c r="G9" s="26">
        <v>21.5</v>
      </c>
      <c r="H9" s="8"/>
      <c r="I9" s="26">
        <v>6.7999999999999998</v>
      </c>
      <c r="J9" s="8"/>
      <c r="K9" s="26">
        <v>4.9000000000000004</v>
      </c>
      <c r="L9" s="8"/>
      <c r="M9" s="26">
        <v>-6.9000000000000004</v>
      </c>
      <c r="N9" s="8"/>
      <c r="O9" s="26">
        <v>-14.6</v>
      </c>
      <c r="P9" s="8"/>
      <c r="Q9" s="26">
        <v>-12</v>
      </c>
      <c r="R9" s="8"/>
      <c r="S9" s="26">
        <v>-10.800000000000001</v>
      </c>
      <c r="T9" s="8"/>
      <c r="U9" s="26">
        <v>-7.2000000000000002</v>
      </c>
      <c r="V9" s="8"/>
      <c r="W9" s="26">
        <v>5.2999999999999998</v>
      </c>
      <c r="X9" s="8"/>
      <c r="Y9" s="26">
        <v>10.1</v>
      </c>
      <c r="Z9" s="8"/>
      <c r="AA9" s="26">
        <v>4</v>
      </c>
      <c r="AB9" s="8"/>
      <c r="AC9" s="8"/>
    </row>
    <row r="10" ht="12" customHeight="1">
      <c r="A10" s="8" t="s">
        <v>81</v>
      </c>
      <c r="B10" s="8" t="s">
        <v>398</v>
      </c>
      <c r="C10" s="26">
        <v>10.4</v>
      </c>
      <c r="D10" s="8"/>
      <c r="E10" s="26">
        <v>8.5999999999999996</v>
      </c>
      <c r="F10" s="8"/>
      <c r="G10" s="26">
        <v>10.1</v>
      </c>
      <c r="H10" s="8"/>
      <c r="I10" s="26">
        <v>7.9000000000000004</v>
      </c>
      <c r="J10" s="8"/>
      <c r="K10" s="26">
        <v>2.3999999999999999</v>
      </c>
      <c r="L10" s="8"/>
      <c r="M10" s="26">
        <v>0.59999999999999998</v>
      </c>
      <c r="N10" s="8"/>
      <c r="O10" s="26">
        <v>-0.5</v>
      </c>
      <c r="P10" s="8"/>
      <c r="Q10" s="26">
        <v>0.59999999999999998</v>
      </c>
      <c r="R10" s="8"/>
      <c r="S10" s="26">
        <v>2.3999999999999999</v>
      </c>
      <c r="T10" s="8"/>
      <c r="U10" s="26">
        <v>4.2999999999999998</v>
      </c>
      <c r="V10" s="8"/>
      <c r="W10" s="26">
        <v>5.4000000000000004</v>
      </c>
      <c r="X10" s="8"/>
      <c r="Y10" s="26">
        <v>7.4000000000000004</v>
      </c>
      <c r="Z10" s="8"/>
      <c r="AA10" s="26">
        <v>7.4000000000000004</v>
      </c>
      <c r="AB10" s="8"/>
      <c r="AC10" s="8"/>
    </row>
    <row r="11" ht="12" customHeight="1">
      <c r="A11" s="8" t="s">
        <v>83</v>
      </c>
      <c r="B11" s="8" t="s">
        <v>399</v>
      </c>
      <c r="C11" s="26">
        <v>10.199999999999999</v>
      </c>
      <c r="D11" s="8"/>
      <c r="E11" s="26">
        <v>12.199999999999999</v>
      </c>
      <c r="F11" s="8"/>
      <c r="G11" s="26">
        <v>13.1</v>
      </c>
      <c r="H11" s="8"/>
      <c r="I11" s="26">
        <v>10.9</v>
      </c>
      <c r="J11" s="8"/>
      <c r="K11" s="26">
        <v>6.0999999999999996</v>
      </c>
      <c r="L11" s="8"/>
      <c r="M11" s="26">
        <v>2.7999999999999998</v>
      </c>
      <c r="N11" s="8"/>
      <c r="O11" s="26">
        <v>1.3</v>
      </c>
      <c r="P11" s="8"/>
      <c r="Q11" s="26">
        <v>2.2999999999999998</v>
      </c>
      <c r="R11" s="8"/>
      <c r="S11" s="26">
        <v>3.2000000000000002</v>
      </c>
      <c r="T11" s="8"/>
      <c r="U11" s="26">
        <v>5</v>
      </c>
      <c r="V11" s="8"/>
      <c r="W11" s="26">
        <v>5.5</v>
      </c>
      <c r="X11" s="8"/>
      <c r="Y11" s="26">
        <v>4.9000000000000004</v>
      </c>
      <c r="Z11" s="8"/>
      <c r="AA11" s="26">
        <v>4.7000000000000002</v>
      </c>
      <c r="AB11" s="8"/>
      <c r="AC11" s="8"/>
    </row>
    <row r="12" ht="12" customHeight="1">
      <c r="A12" s="8" t="s">
        <v>85</v>
      </c>
      <c r="B12" s="8" t="s">
        <v>400</v>
      </c>
      <c r="C12" s="26">
        <v>7.9000000000000004</v>
      </c>
      <c r="D12" s="8"/>
      <c r="E12" s="26">
        <v>8.3000000000000007</v>
      </c>
      <c r="F12" s="8"/>
      <c r="G12" s="26">
        <v>10.199999999999999</v>
      </c>
      <c r="H12" s="8"/>
      <c r="I12" s="26">
        <v>9.1999999999999993</v>
      </c>
      <c r="J12" s="8"/>
      <c r="K12" s="26">
        <v>6.0999999999999996</v>
      </c>
      <c r="L12" s="8"/>
      <c r="M12" s="26">
        <v>4.5</v>
      </c>
      <c r="N12" s="8"/>
      <c r="O12" s="26">
        <v>3.7999999999999998</v>
      </c>
      <c r="P12" s="8"/>
      <c r="Q12" s="26">
        <v>3.8999999999999999</v>
      </c>
      <c r="R12" s="8"/>
      <c r="S12" s="26">
        <v>3.7000000000000002</v>
      </c>
      <c r="T12" s="8"/>
      <c r="U12" s="26">
        <v>5.2000000000000002</v>
      </c>
      <c r="V12" s="8"/>
      <c r="W12" s="26">
        <v>5.7999999999999998</v>
      </c>
      <c r="X12" s="8"/>
      <c r="Y12" s="26">
        <v>4.4000000000000004</v>
      </c>
      <c r="Z12" s="8"/>
      <c r="AA12" s="26">
        <v>5</v>
      </c>
      <c r="AB12" s="8"/>
      <c r="AC12" s="8"/>
    </row>
    <row r="13" ht="12" customHeight="1">
      <c r="A13" s="8" t="s">
        <v>87</v>
      </c>
      <c r="B13" s="8" t="s">
        <v>401</v>
      </c>
      <c r="C13" s="26">
        <v>8</v>
      </c>
      <c r="D13" s="8"/>
      <c r="E13" s="26">
        <v>8.8000000000000007</v>
      </c>
      <c r="F13" s="8"/>
      <c r="G13" s="26">
        <v>9.4000000000000004</v>
      </c>
      <c r="H13" s="8"/>
      <c r="I13" s="26">
        <v>9.1999999999999993</v>
      </c>
      <c r="J13" s="8"/>
      <c r="K13" s="26">
        <v>7.7999999999999998</v>
      </c>
      <c r="L13" s="8"/>
      <c r="M13" s="26">
        <v>6.9000000000000004</v>
      </c>
      <c r="N13" s="8"/>
      <c r="O13" s="26">
        <v>4.9000000000000004</v>
      </c>
      <c r="P13" s="8"/>
      <c r="Q13" s="26">
        <v>3.7000000000000002</v>
      </c>
      <c r="R13" s="8"/>
      <c r="S13" s="26">
        <v>3.2000000000000002</v>
      </c>
      <c r="T13" s="8"/>
      <c r="U13" s="26">
        <v>2.5</v>
      </c>
      <c r="V13" s="8"/>
      <c r="W13" s="26">
        <v>2.2000000000000002</v>
      </c>
      <c r="X13" s="8"/>
      <c r="Y13" s="26">
        <v>2.2999999999999998</v>
      </c>
      <c r="Z13" s="8"/>
      <c r="AA13" s="26">
        <v>2.5</v>
      </c>
      <c r="AB13" s="8"/>
      <c r="AC13" s="8"/>
    </row>
    <row r="14" ht="12" customHeight="1">
      <c r="A14" s="11" t="s">
        <v>89</v>
      </c>
      <c r="B14" s="8" t="s">
        <v>402</v>
      </c>
      <c r="C14" s="26">
        <v>5.5999999999999996</v>
      </c>
      <c r="D14" s="8"/>
      <c r="E14" s="26">
        <v>7.7000000000000002</v>
      </c>
      <c r="F14" s="8"/>
      <c r="G14" s="26">
        <v>7.7999999999999998</v>
      </c>
      <c r="H14" s="8"/>
      <c r="I14" s="26">
        <v>7.7999999999999998</v>
      </c>
      <c r="J14" s="8"/>
      <c r="K14" s="26">
        <v>9</v>
      </c>
      <c r="L14" s="8"/>
      <c r="M14" s="26">
        <v>8.1999999999999993</v>
      </c>
      <c r="N14" s="8"/>
      <c r="O14" s="26">
        <v>8</v>
      </c>
      <c r="P14" s="8"/>
      <c r="Q14" s="26">
        <v>7.2999999999999998</v>
      </c>
      <c r="R14" s="8"/>
      <c r="S14" s="26">
        <v>5.7000000000000002</v>
      </c>
      <c r="T14" s="8"/>
      <c r="U14" s="26">
        <v>3.2999999999999998</v>
      </c>
      <c r="V14" s="8"/>
      <c r="W14" s="26">
        <v>2.6000000000000001</v>
      </c>
      <c r="X14" s="8"/>
      <c r="Y14" s="26">
        <v>2.3999999999999999</v>
      </c>
      <c r="Z14" s="8"/>
      <c r="AA14" s="26">
        <v>2.1000000000000001</v>
      </c>
      <c r="AB14" s="8"/>
      <c r="AC14" s="8"/>
    </row>
    <row r="15" ht="12" customHeight="1">
      <c r="A15" s="8" t="s">
        <v>91</v>
      </c>
      <c r="B15" s="8" t="s">
        <v>403</v>
      </c>
      <c r="C15" s="26">
        <v>6.5</v>
      </c>
      <c r="D15" s="8"/>
      <c r="E15" s="26">
        <v>6.5999999999999996</v>
      </c>
      <c r="F15" s="8"/>
      <c r="G15" s="26">
        <v>6.9000000000000004</v>
      </c>
      <c r="H15" s="8"/>
      <c r="I15" s="26">
        <v>6.2000000000000002</v>
      </c>
      <c r="J15" s="8"/>
      <c r="K15" s="26">
        <v>5.5</v>
      </c>
      <c r="L15" s="8"/>
      <c r="M15" s="26">
        <v>4.7999999999999998</v>
      </c>
      <c r="N15" s="8"/>
      <c r="O15" s="26">
        <v>4.2999999999999998</v>
      </c>
      <c r="P15" s="8"/>
      <c r="Q15" s="26">
        <v>3.1000000000000001</v>
      </c>
      <c r="R15" s="8"/>
      <c r="S15" s="26">
        <v>2.7000000000000002</v>
      </c>
      <c r="T15" s="8"/>
      <c r="U15" s="26">
        <v>2.6000000000000001</v>
      </c>
      <c r="V15" s="8"/>
      <c r="W15" s="26">
        <v>0.59999999999999998</v>
      </c>
      <c r="X15" s="8"/>
      <c r="Y15" s="26">
        <v>0.59999999999999998</v>
      </c>
      <c r="Z15" s="8"/>
      <c r="AA15" s="26">
        <v>-0.10000000000000001</v>
      </c>
      <c r="AB15" s="8"/>
      <c r="AC15" s="8"/>
    </row>
    <row r="16" ht="12" customHeight="1">
      <c r="A16" s="8" t="s">
        <v>93</v>
      </c>
      <c r="B16" s="8" t="s">
        <v>404</v>
      </c>
      <c r="C16" s="26">
        <v>5</v>
      </c>
      <c r="D16" s="8"/>
      <c r="E16" s="26">
        <v>8.4000000000000004</v>
      </c>
      <c r="F16" s="8"/>
      <c r="G16" s="26">
        <v>8.4000000000000004</v>
      </c>
      <c r="H16" s="8"/>
      <c r="I16" s="26">
        <v>8.9000000000000004</v>
      </c>
      <c r="J16" s="8"/>
      <c r="K16" s="26">
        <v>11.4</v>
      </c>
      <c r="L16" s="8"/>
      <c r="M16" s="26">
        <v>10.300000000000001</v>
      </c>
      <c r="N16" s="8"/>
      <c r="O16" s="26">
        <v>10.199999999999999</v>
      </c>
      <c r="P16" s="8"/>
      <c r="Q16" s="26">
        <v>10</v>
      </c>
      <c r="R16" s="8"/>
      <c r="S16" s="26">
        <v>7.7000000000000002</v>
      </c>
      <c r="T16" s="8"/>
      <c r="U16" s="26">
        <v>5.0999999999999996</v>
      </c>
      <c r="V16" s="8"/>
      <c r="W16" s="26">
        <v>5.2999999999999998</v>
      </c>
      <c r="X16" s="8"/>
      <c r="Y16" s="26">
        <v>4.7999999999999998</v>
      </c>
      <c r="Z16" s="8"/>
      <c r="AA16" s="26">
        <v>5.7000000000000002</v>
      </c>
      <c r="AB16" s="8"/>
      <c r="AC16" s="8"/>
    </row>
    <row r="17" ht="12" customHeight="1">
      <c r="A17" s="11" t="s">
        <v>95</v>
      </c>
      <c r="B17" s="8" t="s">
        <v>405</v>
      </c>
      <c r="C17" s="26">
        <v>2.5</v>
      </c>
      <c r="D17" s="8"/>
      <c r="E17" s="26">
        <v>2.6000000000000001</v>
      </c>
      <c r="F17" s="8"/>
      <c r="G17" s="26">
        <v>5.5</v>
      </c>
      <c r="H17" s="8"/>
      <c r="I17" s="26">
        <v>4.2999999999999998</v>
      </c>
      <c r="J17" s="8"/>
      <c r="K17" s="26">
        <v>3.8999999999999999</v>
      </c>
      <c r="L17" s="8"/>
      <c r="M17" s="26">
        <v>4.7000000000000002</v>
      </c>
      <c r="N17" s="8"/>
      <c r="O17" s="26">
        <v>1.7</v>
      </c>
      <c r="P17" s="8"/>
      <c r="Q17" s="26">
        <v>0.80000000000000004</v>
      </c>
      <c r="R17" s="8"/>
      <c r="S17" s="26">
        <v>-1</v>
      </c>
      <c r="T17" s="8"/>
      <c r="U17" s="26">
        <v>-1.2</v>
      </c>
      <c r="V17" s="8"/>
      <c r="W17" s="26">
        <v>-1.2</v>
      </c>
      <c r="X17" s="8"/>
      <c r="Y17" s="26">
        <v>0</v>
      </c>
      <c r="Z17" s="8"/>
      <c r="AA17" s="26">
        <v>1.7</v>
      </c>
      <c r="AB17" s="8"/>
      <c r="AC17" s="8"/>
    </row>
    <row r="18" ht="12" customHeight="1">
      <c r="A18" s="8" t="s">
        <v>97</v>
      </c>
      <c r="B18" s="8" t="s">
        <v>406</v>
      </c>
      <c r="C18" s="26">
        <v>2</v>
      </c>
      <c r="D18" s="8"/>
      <c r="E18" s="26">
        <v>2.1000000000000001</v>
      </c>
      <c r="F18" s="8"/>
      <c r="G18" s="26">
        <v>5.4000000000000004</v>
      </c>
      <c r="H18" s="8"/>
      <c r="I18" s="26">
        <v>4.4000000000000004</v>
      </c>
      <c r="J18" s="8"/>
      <c r="K18" s="26">
        <v>4.4000000000000004</v>
      </c>
      <c r="L18" s="8"/>
      <c r="M18" s="26">
        <v>5.2000000000000002</v>
      </c>
      <c r="N18" s="8"/>
      <c r="O18" s="26">
        <v>1.8</v>
      </c>
      <c r="P18" s="8"/>
      <c r="Q18" s="26">
        <v>0.80000000000000004</v>
      </c>
      <c r="R18" s="8"/>
      <c r="S18" s="26">
        <v>-1.3999999999999999</v>
      </c>
      <c r="T18" s="8"/>
      <c r="U18" s="26">
        <v>-1.8</v>
      </c>
      <c r="V18" s="8"/>
      <c r="W18" s="26">
        <v>-1.3</v>
      </c>
      <c r="X18" s="8"/>
      <c r="Y18" s="26">
        <v>-0.29999999999999999</v>
      </c>
      <c r="Z18" s="8"/>
      <c r="AA18" s="26">
        <v>2</v>
      </c>
      <c r="AB18" s="8"/>
      <c r="AC18" s="8"/>
    </row>
    <row r="19" ht="12" customHeight="1">
      <c r="A19" s="8" t="s">
        <v>99</v>
      </c>
      <c r="B19" s="8" t="s">
        <v>407</v>
      </c>
      <c r="C19" s="26">
        <v>6.5999999999999996</v>
      </c>
      <c r="D19" s="8"/>
      <c r="E19" s="26">
        <v>7.7000000000000002</v>
      </c>
      <c r="F19" s="8"/>
      <c r="G19" s="26">
        <v>7</v>
      </c>
      <c r="H19" s="8"/>
      <c r="I19" s="26">
        <v>3.8999999999999999</v>
      </c>
      <c r="J19" s="8"/>
      <c r="K19" s="26">
        <v>-0.59999999999999998</v>
      </c>
      <c r="L19" s="8"/>
      <c r="M19" s="26">
        <v>-0.29999999999999999</v>
      </c>
      <c r="N19" s="8"/>
      <c r="O19" s="26">
        <v>0</v>
      </c>
      <c r="P19" s="8"/>
      <c r="Q19" s="26">
        <v>0.5</v>
      </c>
      <c r="R19" s="8"/>
      <c r="S19" s="26">
        <v>1.6000000000000001</v>
      </c>
      <c r="T19" s="8"/>
      <c r="U19" s="26">
        <v>2.7000000000000002</v>
      </c>
      <c r="V19" s="8"/>
      <c r="W19" s="26">
        <v>-0.10000000000000001</v>
      </c>
      <c r="X19" s="8"/>
      <c r="Y19" s="26">
        <v>1.8</v>
      </c>
      <c r="Z19" s="8"/>
      <c r="AA19" s="26">
        <v>0.90000000000000002</v>
      </c>
      <c r="AB19" s="8"/>
      <c r="AC19" s="8"/>
    </row>
    <row r="20" ht="12" customHeight="1">
      <c r="A20" s="11" t="s">
        <v>101</v>
      </c>
      <c r="B20" s="8" t="s">
        <v>408</v>
      </c>
      <c r="C20" s="26">
        <v>5</v>
      </c>
      <c r="D20" s="8"/>
      <c r="E20" s="26">
        <v>5.2000000000000002</v>
      </c>
      <c r="F20" s="8"/>
      <c r="G20" s="26">
        <v>5.2999999999999998</v>
      </c>
      <c r="H20" s="8"/>
      <c r="I20" s="26">
        <v>6</v>
      </c>
      <c r="J20" s="8"/>
      <c r="K20" s="26">
        <v>6.0999999999999996</v>
      </c>
      <c r="L20" s="8"/>
      <c r="M20" s="26">
        <v>5.7999999999999998</v>
      </c>
      <c r="N20" s="8"/>
      <c r="O20" s="26">
        <v>5.7000000000000002</v>
      </c>
      <c r="P20" s="8"/>
      <c r="Q20" s="26">
        <v>6.5999999999999996</v>
      </c>
      <c r="R20" s="8"/>
      <c r="S20" s="26">
        <v>6.0999999999999996</v>
      </c>
      <c r="T20" s="8"/>
      <c r="U20" s="26">
        <v>6.2000000000000002</v>
      </c>
      <c r="V20" s="8"/>
      <c r="W20" s="26">
        <v>6.2000000000000002</v>
      </c>
      <c r="X20" s="8"/>
      <c r="Y20" s="26">
        <v>5.9000000000000004</v>
      </c>
      <c r="Z20" s="8"/>
      <c r="AA20" s="26">
        <v>5.7000000000000002</v>
      </c>
      <c r="AB20" s="8"/>
      <c r="AC20" s="8"/>
    </row>
    <row r="21" ht="12" customHeight="1">
      <c r="A21" s="8" t="s">
        <v>103</v>
      </c>
      <c r="B21" s="8" t="s">
        <v>409</v>
      </c>
      <c r="C21" s="26">
        <v>5.0999999999999996</v>
      </c>
      <c r="D21" s="8"/>
      <c r="E21" s="26">
        <v>5.0999999999999996</v>
      </c>
      <c r="F21" s="8"/>
      <c r="G21" s="26">
        <v>5</v>
      </c>
      <c r="H21" s="8"/>
      <c r="I21" s="26">
        <v>5.2000000000000002</v>
      </c>
      <c r="J21" s="8"/>
      <c r="K21" s="26">
        <v>5.2000000000000002</v>
      </c>
      <c r="L21" s="8"/>
      <c r="M21" s="26">
        <v>5.2999999999999998</v>
      </c>
      <c r="N21" s="8"/>
      <c r="O21" s="26">
        <v>5.2000000000000002</v>
      </c>
      <c r="P21" s="8"/>
      <c r="Q21" s="26">
        <v>4.9000000000000004</v>
      </c>
      <c r="R21" s="8"/>
      <c r="S21" s="26">
        <v>4.5</v>
      </c>
      <c r="T21" s="8"/>
      <c r="U21" s="26">
        <v>3.8999999999999999</v>
      </c>
      <c r="V21" s="8"/>
      <c r="W21" s="26">
        <v>3.3999999999999999</v>
      </c>
      <c r="X21" s="8"/>
      <c r="Y21" s="26">
        <v>2.7000000000000002</v>
      </c>
      <c r="Z21" s="8"/>
      <c r="AA21" s="26">
        <v>2</v>
      </c>
      <c r="AB21" s="8"/>
      <c r="AC21" s="8"/>
    </row>
    <row r="22" ht="12" customHeight="1">
      <c r="A22" s="8" t="s">
        <v>105</v>
      </c>
      <c r="B22" s="8" t="s">
        <v>410</v>
      </c>
      <c r="C22" s="26">
        <v>5.0999999999999996</v>
      </c>
      <c r="D22" s="8"/>
      <c r="E22" s="26">
        <v>5.0999999999999996</v>
      </c>
      <c r="F22" s="8"/>
      <c r="G22" s="26">
        <v>5</v>
      </c>
      <c r="H22" s="8"/>
      <c r="I22" s="26">
        <v>5.2000000000000002</v>
      </c>
      <c r="J22" s="8"/>
      <c r="K22" s="26">
        <v>5.2000000000000002</v>
      </c>
      <c r="L22" s="8"/>
      <c r="M22" s="26">
        <v>5.2999999999999998</v>
      </c>
      <c r="N22" s="8"/>
      <c r="O22" s="26">
        <v>5.2000000000000002</v>
      </c>
      <c r="P22" s="8"/>
      <c r="Q22" s="26">
        <v>4.9000000000000004</v>
      </c>
      <c r="R22" s="8"/>
      <c r="S22" s="26">
        <v>4.5</v>
      </c>
      <c r="T22" s="8"/>
      <c r="U22" s="26">
        <v>3.8999999999999999</v>
      </c>
      <c r="V22" s="8"/>
      <c r="W22" s="26">
        <v>3.3999999999999999</v>
      </c>
      <c r="X22" s="8"/>
      <c r="Y22" s="26">
        <v>2.7000000000000002</v>
      </c>
      <c r="Z22" s="8"/>
      <c r="AA22" s="26">
        <v>2</v>
      </c>
      <c r="AB22" s="8"/>
      <c r="AC22" s="8"/>
    </row>
    <row r="23" ht="12" customHeight="1">
      <c r="A23" s="8" t="s">
        <v>107</v>
      </c>
      <c r="B23" s="8" t="s">
        <v>411</v>
      </c>
      <c r="C23" s="26">
        <v>6.4000000000000004</v>
      </c>
      <c r="D23" s="8"/>
      <c r="E23" s="26">
        <v>4.9000000000000004</v>
      </c>
      <c r="F23" s="8"/>
      <c r="G23" s="26">
        <v>5.0999999999999996</v>
      </c>
      <c r="H23" s="8"/>
      <c r="I23" s="26">
        <v>4.0999999999999996</v>
      </c>
      <c r="J23" s="8"/>
      <c r="K23" s="26">
        <v>3.1000000000000001</v>
      </c>
      <c r="L23" s="8"/>
      <c r="M23" s="26">
        <v>3.1000000000000001</v>
      </c>
      <c r="N23" s="8"/>
      <c r="O23" s="26">
        <v>2.5</v>
      </c>
      <c r="P23" s="8"/>
      <c r="Q23" s="26">
        <v>2.7999999999999998</v>
      </c>
      <c r="R23" s="8"/>
      <c r="S23" s="26">
        <v>2.5</v>
      </c>
      <c r="T23" s="8"/>
      <c r="U23" s="26">
        <v>3</v>
      </c>
      <c r="V23" s="8"/>
      <c r="W23" s="26">
        <v>1.8</v>
      </c>
      <c r="X23" s="8"/>
      <c r="Y23" s="26">
        <v>1.3</v>
      </c>
      <c r="Z23" s="8"/>
      <c r="AA23" s="26">
        <v>2.3999999999999999</v>
      </c>
      <c r="AB23" s="8"/>
      <c r="AC23" s="8"/>
    </row>
    <row r="24" ht="12" customHeight="1">
      <c r="A24" s="8" t="s">
        <v>109</v>
      </c>
      <c r="B24" s="8" t="s">
        <v>412</v>
      </c>
      <c r="C24" s="26">
        <v>7.0999999999999996</v>
      </c>
      <c r="D24" s="8"/>
      <c r="E24" s="26">
        <v>7.0999999999999996</v>
      </c>
      <c r="F24" s="8"/>
      <c r="G24" s="26">
        <v>7.2000000000000002</v>
      </c>
      <c r="H24" s="8"/>
      <c r="I24" s="26">
        <v>9.5999999999999996</v>
      </c>
      <c r="J24" s="8"/>
      <c r="K24" s="26">
        <v>9.6999999999999993</v>
      </c>
      <c r="L24" s="8"/>
      <c r="M24" s="26">
        <v>9.6999999999999993</v>
      </c>
      <c r="N24" s="8"/>
      <c r="O24" s="26">
        <v>9.6999999999999993</v>
      </c>
      <c r="P24" s="8"/>
      <c r="Q24" s="26">
        <v>11.9</v>
      </c>
      <c r="R24" s="8"/>
      <c r="S24" s="26">
        <v>11.9</v>
      </c>
      <c r="T24" s="8"/>
      <c r="U24" s="26">
        <v>11.9</v>
      </c>
      <c r="V24" s="8"/>
      <c r="W24" s="26">
        <v>11.800000000000001</v>
      </c>
      <c r="X24" s="8"/>
      <c r="Y24" s="26">
        <v>8.5</v>
      </c>
      <c r="Z24" s="8"/>
      <c r="AA24" s="26">
        <v>8.4000000000000004</v>
      </c>
      <c r="AB24" s="8"/>
      <c r="AC24" s="8"/>
    </row>
    <row r="25" ht="12" customHeight="1">
      <c r="A25" s="8" t="s">
        <v>111</v>
      </c>
      <c r="B25" s="8" t="s">
        <v>413</v>
      </c>
      <c r="C25" s="26">
        <v>7.2000000000000002</v>
      </c>
      <c r="D25" s="8"/>
      <c r="E25" s="26">
        <v>7.2000000000000002</v>
      </c>
      <c r="F25" s="8"/>
      <c r="G25" s="26">
        <v>7.2000000000000002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12.1</v>
      </c>
      <c r="R25" s="8"/>
      <c r="S25" s="26">
        <v>12.1</v>
      </c>
      <c r="T25" s="8"/>
      <c r="U25" s="26">
        <v>12.1</v>
      </c>
      <c r="V25" s="8"/>
      <c r="W25" s="26">
        <v>12.1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414</v>
      </c>
      <c r="C26" s="26">
        <v>2.7999999999999998</v>
      </c>
      <c r="D26" s="8"/>
      <c r="E26" s="26">
        <v>3.7000000000000002</v>
      </c>
      <c r="F26" s="8"/>
      <c r="G26" s="26">
        <v>4.7999999999999998</v>
      </c>
      <c r="H26" s="8"/>
      <c r="I26" s="26">
        <v>4.7999999999999998</v>
      </c>
      <c r="J26" s="8"/>
      <c r="K26" s="26">
        <v>5.7000000000000002</v>
      </c>
      <c r="L26" s="8"/>
      <c r="M26" s="26">
        <v>3.7999999999999998</v>
      </c>
      <c r="N26" s="8"/>
      <c r="O26" s="26">
        <v>3.8999999999999999</v>
      </c>
      <c r="P26" s="8"/>
      <c r="Q26" s="26">
        <v>6.0999999999999996</v>
      </c>
      <c r="R26" s="8"/>
      <c r="S26" s="26">
        <v>4.9000000000000004</v>
      </c>
      <c r="T26" s="8"/>
      <c r="U26" s="26">
        <v>6.9000000000000004</v>
      </c>
      <c r="V26" s="8"/>
      <c r="W26" s="26">
        <v>8.9000000000000004</v>
      </c>
      <c r="X26" s="8"/>
      <c r="Y26" s="26">
        <v>11.199999999999999</v>
      </c>
      <c r="Z26" s="8"/>
      <c r="AA26" s="26">
        <v>12</v>
      </c>
      <c r="AB26" s="8"/>
      <c r="AC26" s="8"/>
    </row>
    <row r="27" ht="12" customHeight="1">
      <c r="A27" s="8" t="s">
        <v>115</v>
      </c>
      <c r="B27" s="8" t="s">
        <v>415</v>
      </c>
      <c r="C27" s="26">
        <v>2.2999999999999998</v>
      </c>
      <c r="D27" s="8"/>
      <c r="E27" s="26">
        <v>3.2999999999999998</v>
      </c>
      <c r="F27" s="8"/>
      <c r="G27" s="26">
        <v>4.2000000000000002</v>
      </c>
      <c r="H27" s="8"/>
      <c r="I27" s="26">
        <v>4.0999999999999996</v>
      </c>
      <c r="J27" s="8"/>
      <c r="K27" s="26">
        <v>5</v>
      </c>
      <c r="L27" s="8"/>
      <c r="M27" s="26">
        <v>3.2000000000000002</v>
      </c>
      <c r="N27" s="8"/>
      <c r="O27" s="26">
        <v>3.6000000000000001</v>
      </c>
      <c r="P27" s="8"/>
      <c r="Q27" s="26">
        <v>6</v>
      </c>
      <c r="R27" s="8"/>
      <c r="S27" s="26">
        <v>4.7999999999999998</v>
      </c>
      <c r="T27" s="8"/>
      <c r="U27" s="26">
        <v>6.5</v>
      </c>
      <c r="V27" s="8"/>
      <c r="W27" s="26">
        <v>8.5</v>
      </c>
      <c r="X27" s="8"/>
      <c r="Y27" s="26">
        <v>11.300000000000001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416</v>
      </c>
      <c r="C28" s="26">
        <v>9</v>
      </c>
      <c r="D28" s="8"/>
      <c r="E28" s="26">
        <v>7.7000000000000002</v>
      </c>
      <c r="F28" s="8"/>
      <c r="G28" s="26">
        <v>7.7999999999999998</v>
      </c>
      <c r="H28" s="8"/>
      <c r="I28" s="26">
        <v>4.4000000000000004</v>
      </c>
      <c r="J28" s="8"/>
      <c r="K28" s="26">
        <v>1.8999999999999999</v>
      </c>
      <c r="L28" s="8"/>
      <c r="M28" s="26">
        <v>0.90000000000000002</v>
      </c>
      <c r="N28" s="8"/>
      <c r="O28" s="26">
        <v>-1.1000000000000001</v>
      </c>
      <c r="P28" s="8"/>
      <c r="Q28" s="26">
        <v>0</v>
      </c>
      <c r="R28" s="8"/>
      <c r="S28" s="26">
        <v>-0.90000000000000002</v>
      </c>
      <c r="T28" s="8"/>
      <c r="U28" s="26">
        <v>-0.29999999999999999</v>
      </c>
      <c r="V28" s="8"/>
      <c r="W28" s="26">
        <v>-0.80000000000000004</v>
      </c>
      <c r="X28" s="8"/>
      <c r="Y28" s="26">
        <v>-1.6000000000000001</v>
      </c>
      <c r="Z28" s="8"/>
      <c r="AA28" s="26">
        <v>-0.40000000000000002</v>
      </c>
      <c r="AB28" s="8"/>
      <c r="AC28" s="8"/>
    </row>
    <row r="29" ht="12" customHeight="1">
      <c r="A29" s="8" t="s">
        <v>119</v>
      </c>
      <c r="B29" s="8" t="s">
        <v>417</v>
      </c>
      <c r="C29" s="26">
        <v>7.7000000000000002</v>
      </c>
      <c r="D29" s="8"/>
      <c r="E29" s="26">
        <v>7</v>
      </c>
      <c r="F29" s="8"/>
      <c r="G29" s="26">
        <v>8.5</v>
      </c>
      <c r="H29" s="8"/>
      <c r="I29" s="26">
        <v>4</v>
      </c>
      <c r="J29" s="8"/>
      <c r="K29" s="26">
        <v>-1.5</v>
      </c>
      <c r="L29" s="8"/>
      <c r="M29" s="26">
        <v>-3.3999999999999999</v>
      </c>
      <c r="N29" s="8"/>
      <c r="O29" s="26">
        <v>-6.0999999999999996</v>
      </c>
      <c r="P29" s="8"/>
      <c r="Q29" s="26">
        <v>-2</v>
      </c>
      <c r="R29" s="8"/>
      <c r="S29" s="26">
        <v>-1.1000000000000001</v>
      </c>
      <c r="T29" s="8"/>
      <c r="U29" s="26">
        <v>1.7</v>
      </c>
      <c r="V29" s="8"/>
      <c r="W29" s="26">
        <v>0.20000000000000001</v>
      </c>
      <c r="X29" s="8"/>
      <c r="Y29" s="26">
        <v>-4.4000000000000004</v>
      </c>
      <c r="Z29" s="8"/>
      <c r="AA29" s="26">
        <v>-0.59999999999999998</v>
      </c>
      <c r="AB29" s="8"/>
      <c r="AC29" s="8"/>
    </row>
    <row r="30" ht="12" customHeight="1">
      <c r="A30" s="8" t="s">
        <v>121</v>
      </c>
      <c r="B30" s="8" t="s">
        <v>418</v>
      </c>
      <c r="C30" s="26">
        <v>5.5</v>
      </c>
      <c r="D30" s="8"/>
      <c r="E30" s="26">
        <v>7.4000000000000004</v>
      </c>
      <c r="F30" s="8"/>
      <c r="G30" s="26">
        <v>1.3</v>
      </c>
      <c r="H30" s="8"/>
      <c r="I30" s="26">
        <v>1.8999999999999999</v>
      </c>
      <c r="J30" s="8"/>
      <c r="K30" s="26">
        <v>6.2000000000000002</v>
      </c>
      <c r="L30" s="8"/>
      <c r="M30" s="26">
        <v>0.29999999999999999</v>
      </c>
      <c r="N30" s="8"/>
      <c r="O30" s="26">
        <v>12</v>
      </c>
      <c r="P30" s="8"/>
      <c r="Q30" s="26">
        <v>8.5999999999999996</v>
      </c>
      <c r="R30" s="8"/>
      <c r="S30" s="26">
        <v>-6.4000000000000004</v>
      </c>
      <c r="T30" s="8"/>
      <c r="U30" s="26">
        <v>1.8999999999999999</v>
      </c>
      <c r="V30" s="8"/>
      <c r="W30" s="26">
        <v>-5.7000000000000002</v>
      </c>
      <c r="X30" s="8"/>
      <c r="Y30" s="26">
        <v>-1.2</v>
      </c>
      <c r="Z30" s="8"/>
      <c r="AA30" s="26">
        <v>4.9000000000000004</v>
      </c>
      <c r="AB30" s="8"/>
      <c r="AC30" s="8"/>
    </row>
    <row r="31" ht="12" customHeight="1">
      <c r="A31" s="8" t="s">
        <v>123</v>
      </c>
      <c r="B31" s="8" t="s">
        <v>419</v>
      </c>
      <c r="C31" s="26">
        <v>7.2999999999999998</v>
      </c>
      <c r="D31" s="8"/>
      <c r="E31" s="26">
        <v>3.5</v>
      </c>
      <c r="F31" s="8"/>
      <c r="G31" s="26">
        <v>4.7000000000000002</v>
      </c>
      <c r="H31" s="8"/>
      <c r="I31" s="26">
        <v>2.5</v>
      </c>
      <c r="J31" s="8"/>
      <c r="K31" s="26">
        <v>0.90000000000000002</v>
      </c>
      <c r="L31" s="8"/>
      <c r="M31" s="26">
        <v>1.1000000000000001</v>
      </c>
      <c r="N31" s="8"/>
      <c r="O31" s="26">
        <v>-3.1000000000000001</v>
      </c>
      <c r="P31" s="8"/>
      <c r="Q31" s="26">
        <v>-3.3999999999999999</v>
      </c>
      <c r="R31" s="8"/>
      <c r="S31" s="26">
        <v>-1.8999999999999999</v>
      </c>
      <c r="T31" s="8"/>
      <c r="U31" s="26">
        <v>-2</v>
      </c>
      <c r="V31" s="8"/>
      <c r="W31" s="26">
        <v>-0.80000000000000004</v>
      </c>
      <c r="X31" s="8"/>
      <c r="Y31" s="26">
        <v>0.40000000000000002</v>
      </c>
      <c r="Z31" s="8"/>
      <c r="AA31" s="26">
        <v>-0.29999999999999999</v>
      </c>
      <c r="AB31" s="8"/>
      <c r="AC31" s="8"/>
    </row>
    <row r="32" ht="12" customHeight="1">
      <c r="A32" s="8" t="s">
        <v>125</v>
      </c>
      <c r="B32" s="8" t="s">
        <v>420</v>
      </c>
      <c r="C32" s="26">
        <v>16.600000000000001</v>
      </c>
      <c r="D32" s="8"/>
      <c r="E32" s="26">
        <v>12.4</v>
      </c>
      <c r="F32" s="8"/>
      <c r="G32" s="26">
        <v>7.2000000000000002</v>
      </c>
      <c r="H32" s="8"/>
      <c r="I32" s="26">
        <v>1.2</v>
      </c>
      <c r="J32" s="8"/>
      <c r="K32" s="26">
        <v>2.6000000000000001</v>
      </c>
      <c r="L32" s="8"/>
      <c r="M32" s="26">
        <v>9.5</v>
      </c>
      <c r="N32" s="8"/>
      <c r="O32" s="26">
        <v>5.7000000000000002</v>
      </c>
      <c r="P32" s="8"/>
      <c r="Q32" s="26">
        <v>4.2999999999999998</v>
      </c>
      <c r="R32" s="8"/>
      <c r="S32" s="26">
        <v>1.1000000000000001</v>
      </c>
      <c r="T32" s="8"/>
      <c r="U32" s="26">
        <v>0.20000000000000001</v>
      </c>
      <c r="V32" s="8"/>
      <c r="W32" s="26">
        <v>-0.10000000000000001</v>
      </c>
      <c r="X32" s="8"/>
      <c r="Y32" s="26">
        <v>2.1000000000000001</v>
      </c>
      <c r="Z32" s="8"/>
      <c r="AA32" s="26">
        <v>-2.7999999999999998</v>
      </c>
      <c r="AB32" s="8"/>
      <c r="AC32" s="8"/>
    </row>
    <row r="33" ht="12" customHeight="1">
      <c r="A33" s="8" t="s">
        <v>127</v>
      </c>
      <c r="B33" s="8" t="s">
        <v>421</v>
      </c>
      <c r="C33" s="26">
        <v>8.5</v>
      </c>
      <c r="D33" s="8"/>
      <c r="E33" s="26">
        <v>7.7000000000000002</v>
      </c>
      <c r="F33" s="8"/>
      <c r="G33" s="26">
        <v>8.9000000000000004</v>
      </c>
      <c r="H33" s="8"/>
      <c r="I33" s="26">
        <v>6.2999999999999998</v>
      </c>
      <c r="J33" s="8"/>
      <c r="K33" s="26">
        <v>4.4000000000000004</v>
      </c>
      <c r="L33" s="8"/>
      <c r="M33" s="26">
        <v>5</v>
      </c>
      <c r="N33" s="8"/>
      <c r="O33" s="26">
        <v>-2.6000000000000001</v>
      </c>
      <c r="P33" s="8"/>
      <c r="Q33" s="26">
        <v>-3.2000000000000002</v>
      </c>
      <c r="R33" s="8"/>
      <c r="S33" s="26">
        <v>-2.7000000000000002</v>
      </c>
      <c r="T33" s="8"/>
      <c r="U33" s="26">
        <v>-4.7999999999999998</v>
      </c>
      <c r="V33" s="8"/>
      <c r="W33" s="26">
        <v>-0.90000000000000002</v>
      </c>
      <c r="X33" s="8"/>
      <c r="Y33" s="26">
        <v>-0.29999999999999999</v>
      </c>
      <c r="Z33" s="8"/>
      <c r="AA33" s="26">
        <v>-2.6000000000000001</v>
      </c>
      <c r="AB33" s="8"/>
      <c r="AC33" s="8"/>
    </row>
    <row r="34" ht="12" customHeight="1">
      <c r="A34" s="8" t="s">
        <v>129</v>
      </c>
      <c r="B34" s="8" t="s">
        <v>422</v>
      </c>
      <c r="C34" s="26">
        <v>11.6</v>
      </c>
      <c r="D34" s="8"/>
      <c r="E34" s="26">
        <v>11.4</v>
      </c>
      <c r="F34" s="8"/>
      <c r="G34" s="26">
        <v>11.800000000000001</v>
      </c>
      <c r="H34" s="8"/>
      <c r="I34" s="26">
        <v>7.0999999999999996</v>
      </c>
      <c r="J34" s="8"/>
      <c r="K34" s="26">
        <v>3.5</v>
      </c>
      <c r="L34" s="8"/>
      <c r="M34" s="26">
        <v>1.8999999999999999</v>
      </c>
      <c r="N34" s="8"/>
      <c r="O34" s="26">
        <v>0.20000000000000001</v>
      </c>
      <c r="P34" s="8"/>
      <c r="Q34" s="26">
        <v>2.2000000000000002</v>
      </c>
      <c r="R34" s="8"/>
      <c r="S34" s="26">
        <v>1.7</v>
      </c>
      <c r="T34" s="8"/>
      <c r="U34" s="26">
        <v>0</v>
      </c>
      <c r="V34" s="8"/>
      <c r="W34" s="26">
        <v>1.3</v>
      </c>
      <c r="X34" s="8"/>
      <c r="Y34" s="26">
        <v>-0.40000000000000002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423</v>
      </c>
      <c r="C35" s="26">
        <v>5.2000000000000002</v>
      </c>
      <c r="D35" s="8"/>
      <c r="E35" s="26">
        <v>4.5</v>
      </c>
      <c r="F35" s="8"/>
      <c r="G35" s="26">
        <v>4.7000000000000002</v>
      </c>
      <c r="H35" s="8"/>
      <c r="I35" s="26">
        <v>-2.2999999999999998</v>
      </c>
      <c r="J35" s="8"/>
      <c r="K35" s="26">
        <v>-2.7000000000000002</v>
      </c>
      <c r="L35" s="8"/>
      <c r="M35" s="26">
        <v>-1.3999999999999999</v>
      </c>
      <c r="N35" s="8"/>
      <c r="O35" s="26">
        <v>-2.2999999999999998</v>
      </c>
      <c r="P35" s="8"/>
      <c r="Q35" s="26">
        <v>11.800000000000001</v>
      </c>
      <c r="R35" s="8"/>
      <c r="S35" s="26">
        <v>8.8000000000000007</v>
      </c>
      <c r="T35" s="8"/>
      <c r="U35" s="26">
        <v>7.2999999999999998</v>
      </c>
      <c r="V35" s="8"/>
      <c r="W35" s="26">
        <v>7</v>
      </c>
      <c r="X35" s="8"/>
      <c r="Y35" s="26">
        <v>-0.69999999999999996</v>
      </c>
      <c r="Z35" s="8"/>
      <c r="AA35" s="26">
        <v>0.59999999999999998</v>
      </c>
      <c r="AB35" s="8"/>
      <c r="AC35" s="8"/>
    </row>
    <row r="36" ht="12" customHeight="1">
      <c r="A36" s="8" t="s">
        <v>133</v>
      </c>
      <c r="B36" s="8" t="s">
        <v>424</v>
      </c>
      <c r="C36" s="26">
        <v>5.2999999999999998</v>
      </c>
      <c r="D36" s="8"/>
      <c r="E36" s="26">
        <v>3.5</v>
      </c>
      <c r="F36" s="8"/>
      <c r="G36" s="26">
        <v>4.5999999999999996</v>
      </c>
      <c r="H36" s="8"/>
      <c r="I36" s="26">
        <v>-13.4</v>
      </c>
      <c r="J36" s="8"/>
      <c r="K36" s="26">
        <v>-14.6</v>
      </c>
      <c r="L36" s="8"/>
      <c r="M36" s="26">
        <v>-15.1</v>
      </c>
      <c r="N36" s="8"/>
      <c r="O36" s="26">
        <v>-15.5</v>
      </c>
      <c r="P36" s="8"/>
      <c r="Q36" s="26">
        <v>21.699999999999999</v>
      </c>
      <c r="R36" s="8"/>
      <c r="S36" s="26">
        <v>13.9</v>
      </c>
      <c r="T36" s="8"/>
      <c r="U36" s="26">
        <v>14.800000000000001</v>
      </c>
      <c r="V36" s="8"/>
      <c r="W36" s="26">
        <v>13.4</v>
      </c>
      <c r="X36" s="8"/>
      <c r="Y36" s="26">
        <v>-8.8000000000000007</v>
      </c>
      <c r="Z36" s="8"/>
      <c r="AA36" s="26">
        <v>-5</v>
      </c>
      <c r="AB36" s="8"/>
      <c r="AC36" s="8"/>
    </row>
    <row r="37" ht="12" customHeight="1">
      <c r="A37" s="8" t="s">
        <v>135</v>
      </c>
      <c r="B37" s="8" t="s">
        <v>425</v>
      </c>
      <c r="C37" s="26">
        <v>5.2999999999999998</v>
      </c>
      <c r="D37" s="8"/>
      <c r="E37" s="26">
        <v>5.0999999999999996</v>
      </c>
      <c r="F37" s="8"/>
      <c r="G37" s="26">
        <v>4.7999999999999998</v>
      </c>
      <c r="H37" s="8"/>
      <c r="I37" s="26">
        <v>4.7999999999999998</v>
      </c>
      <c r="J37" s="8"/>
      <c r="K37" s="26">
        <v>5.2000000000000002</v>
      </c>
      <c r="L37" s="8"/>
      <c r="M37" s="26">
        <v>7.5999999999999996</v>
      </c>
      <c r="N37" s="8"/>
      <c r="O37" s="26">
        <v>6.4000000000000004</v>
      </c>
      <c r="P37" s="8"/>
      <c r="Q37" s="26">
        <v>6.5</v>
      </c>
      <c r="R37" s="8"/>
      <c r="S37" s="26">
        <v>6</v>
      </c>
      <c r="T37" s="8"/>
      <c r="U37" s="26">
        <v>3.5</v>
      </c>
      <c r="V37" s="8"/>
      <c r="W37" s="26">
        <v>3.6000000000000001</v>
      </c>
      <c r="X37" s="8"/>
      <c r="Y37" s="26">
        <v>4.0999999999999996</v>
      </c>
      <c r="Z37" s="8"/>
      <c r="AA37" s="26">
        <v>3.2999999999999998</v>
      </c>
      <c r="AB37" s="8"/>
      <c r="AC37" s="8"/>
    </row>
    <row r="38" ht="12" customHeight="1">
      <c r="A38" s="8" t="s">
        <v>137</v>
      </c>
      <c r="B38" s="8" t="s">
        <v>426</v>
      </c>
      <c r="C38" s="26">
        <v>8.0999999999999996</v>
      </c>
      <c r="D38" s="8"/>
      <c r="E38" s="26">
        <v>10.1</v>
      </c>
      <c r="F38" s="8"/>
      <c r="G38" s="26">
        <v>7</v>
      </c>
      <c r="H38" s="8"/>
      <c r="I38" s="26">
        <v>9.4000000000000004</v>
      </c>
      <c r="J38" s="8"/>
      <c r="K38" s="26">
        <v>13.5</v>
      </c>
      <c r="L38" s="8"/>
      <c r="M38" s="26">
        <v>13.699999999999999</v>
      </c>
      <c r="N38" s="8"/>
      <c r="O38" s="26">
        <v>12</v>
      </c>
      <c r="P38" s="8"/>
      <c r="Q38" s="26">
        <v>15.199999999999999</v>
      </c>
      <c r="R38" s="8"/>
      <c r="S38" s="26">
        <v>11.1</v>
      </c>
      <c r="T38" s="8"/>
      <c r="U38" s="26">
        <v>9</v>
      </c>
      <c r="V38" s="8"/>
      <c r="W38" s="26">
        <v>9.0999999999999996</v>
      </c>
      <c r="X38" s="8"/>
      <c r="Y38" s="26">
        <v>3.7000000000000002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427</v>
      </c>
      <c r="C39" s="26">
        <v>7.0999999999999996</v>
      </c>
      <c r="D39" s="8"/>
      <c r="E39" s="26">
        <v>1.3</v>
      </c>
      <c r="F39" s="8"/>
      <c r="G39" s="26">
        <v>-3.5</v>
      </c>
      <c r="H39" s="8"/>
      <c r="I39" s="26">
        <v>4.5999999999999996</v>
      </c>
      <c r="J39" s="8"/>
      <c r="K39" s="26">
        <v>5.2999999999999998</v>
      </c>
      <c r="L39" s="8"/>
      <c r="M39" s="26">
        <v>4.7999999999999998</v>
      </c>
      <c r="N39" s="8"/>
      <c r="O39" s="26">
        <v>6.7999999999999998</v>
      </c>
      <c r="P39" s="8"/>
      <c r="Q39" s="26">
        <v>-4.4000000000000004</v>
      </c>
      <c r="R39" s="8"/>
      <c r="S39" s="26">
        <v>-3.5</v>
      </c>
      <c r="T39" s="8"/>
      <c r="U39" s="26">
        <v>-0.10000000000000001</v>
      </c>
      <c r="V39" s="8"/>
      <c r="W39" s="26">
        <v>-1.3999999999999999</v>
      </c>
      <c r="X39" s="8"/>
      <c r="Y39" s="26">
        <v>1.6000000000000001</v>
      </c>
      <c r="Z39" s="8"/>
      <c r="AA39" s="26">
        <v>2.7000000000000002</v>
      </c>
      <c r="AB39" s="8"/>
      <c r="AC39" s="8"/>
    </row>
    <row r="40" ht="12" customHeight="1">
      <c r="A40" s="8" t="s">
        <v>141</v>
      </c>
      <c r="B40" s="8" t="s">
        <v>428</v>
      </c>
      <c r="C40" s="26">
        <v>2.5</v>
      </c>
      <c r="D40" s="8"/>
      <c r="E40" s="26">
        <v>0.69999999999999996</v>
      </c>
      <c r="F40" s="8"/>
      <c r="G40" s="26">
        <v>1.7</v>
      </c>
      <c r="H40" s="8"/>
      <c r="I40" s="26">
        <v>4.9000000000000004</v>
      </c>
      <c r="J40" s="8"/>
      <c r="K40" s="26">
        <v>2.5</v>
      </c>
      <c r="L40" s="8"/>
      <c r="M40" s="26">
        <v>0.40000000000000002</v>
      </c>
      <c r="N40" s="8"/>
      <c r="O40" s="26">
        <v>-3.5</v>
      </c>
      <c r="P40" s="8"/>
      <c r="Q40" s="26">
        <v>-7.9000000000000004</v>
      </c>
      <c r="R40" s="8"/>
      <c r="S40" s="26">
        <v>-3.8999999999999999</v>
      </c>
      <c r="T40" s="8"/>
      <c r="U40" s="26">
        <v>-2.2999999999999998</v>
      </c>
      <c r="V40" s="8"/>
      <c r="W40" s="26">
        <v>1.3999999999999999</v>
      </c>
      <c r="X40" s="8"/>
      <c r="Y40" s="26">
        <v>3.2999999999999998</v>
      </c>
      <c r="Z40" s="8"/>
      <c r="AA40" s="26">
        <v>1.5</v>
      </c>
      <c r="AB40" s="8"/>
      <c r="AC40" s="8"/>
    </row>
    <row r="41" ht="12" customHeight="1">
      <c r="A41" s="8" t="s">
        <v>143</v>
      </c>
      <c r="B41" s="8" t="s">
        <v>429</v>
      </c>
      <c r="C41" s="26">
        <v>4.5999999999999996</v>
      </c>
      <c r="D41" s="8"/>
      <c r="E41" s="26">
        <v>-3.7999999999999998</v>
      </c>
      <c r="F41" s="8"/>
      <c r="G41" s="26">
        <v>-9.8000000000000007</v>
      </c>
      <c r="H41" s="8"/>
      <c r="I41" s="26">
        <v>3.7999999999999998</v>
      </c>
      <c r="J41" s="8"/>
      <c r="K41" s="26">
        <v>9.0999999999999996</v>
      </c>
      <c r="L41" s="8"/>
      <c r="M41" s="26">
        <v>9.8000000000000007</v>
      </c>
      <c r="N41" s="8"/>
      <c r="O41" s="26">
        <v>13.5</v>
      </c>
      <c r="P41" s="8"/>
      <c r="Q41" s="26">
        <v>-2.7999999999999998</v>
      </c>
      <c r="R41" s="8"/>
      <c r="S41" s="26">
        <v>-4.2999999999999998</v>
      </c>
      <c r="T41" s="8"/>
      <c r="U41" s="26">
        <v>0.20000000000000001</v>
      </c>
      <c r="V41" s="8"/>
      <c r="W41" s="26">
        <v>-3.7000000000000002</v>
      </c>
      <c r="X41" s="8"/>
      <c r="Y41" s="26">
        <v>0.90000000000000002</v>
      </c>
      <c r="Z41" s="8"/>
      <c r="AA41" s="26">
        <v>3.5</v>
      </c>
      <c r="AB41" s="8"/>
      <c r="AC41" s="8"/>
    </row>
    <row r="42" ht="12" customHeight="1">
      <c r="A42" s="8" t="s">
        <v>145</v>
      </c>
      <c r="B42" s="8" t="s">
        <v>430</v>
      </c>
      <c r="C42" s="26">
        <v>2.2000000000000002</v>
      </c>
      <c r="D42" s="8"/>
      <c r="E42" s="26">
        <v>-8.3000000000000007</v>
      </c>
      <c r="F42" s="8"/>
      <c r="G42" s="26">
        <v>-15</v>
      </c>
      <c r="H42" s="8"/>
      <c r="I42" s="26">
        <v>3.8999999999999999</v>
      </c>
      <c r="J42" s="8"/>
      <c r="K42" s="26">
        <v>11.9</v>
      </c>
      <c r="L42" s="8"/>
      <c r="M42" s="26">
        <v>12</v>
      </c>
      <c r="N42" s="8"/>
      <c r="O42" s="26">
        <v>14.6</v>
      </c>
      <c r="P42" s="8"/>
      <c r="Q42" s="26">
        <v>-7.7999999999999998</v>
      </c>
      <c r="R42" s="8"/>
      <c r="S42" s="26">
        <v>-9.0999999999999996</v>
      </c>
      <c r="T42" s="8"/>
      <c r="U42" s="26">
        <v>-2.6000000000000001</v>
      </c>
      <c r="V42" s="8"/>
      <c r="W42" s="26">
        <v>-7.9000000000000004</v>
      </c>
      <c r="X42" s="8"/>
      <c r="Y42" s="26">
        <v>-1.6000000000000001</v>
      </c>
      <c r="Z42" s="8"/>
      <c r="AA42" s="26">
        <v>2.2000000000000002</v>
      </c>
      <c r="AB42" s="8"/>
      <c r="AC42" s="8"/>
    </row>
    <row r="43" ht="12" customHeight="1">
      <c r="A43" s="8" t="s">
        <v>147</v>
      </c>
      <c r="B43" s="8" t="s">
        <v>431</v>
      </c>
      <c r="C43" s="26">
        <v>12.5</v>
      </c>
      <c r="D43" s="8"/>
      <c r="E43" s="26">
        <v>19.899999999999999</v>
      </c>
      <c r="F43" s="8"/>
      <c r="G43" s="26">
        <v>20.100000000000001</v>
      </c>
      <c r="H43" s="8"/>
      <c r="I43" s="26">
        <v>8.5</v>
      </c>
      <c r="J43" s="8"/>
      <c r="K43" s="26">
        <v>-4.9000000000000004</v>
      </c>
      <c r="L43" s="8"/>
      <c r="M43" s="26">
        <v>-6.0999999999999996</v>
      </c>
      <c r="N43" s="8"/>
      <c r="O43" s="26">
        <v>-2.8999999999999999</v>
      </c>
      <c r="P43" s="8"/>
      <c r="Q43" s="26">
        <v>-5.5</v>
      </c>
      <c r="R43" s="8"/>
      <c r="S43" s="26">
        <v>0.10000000000000001</v>
      </c>
      <c r="T43" s="8"/>
      <c r="U43" s="26">
        <v>-0.10000000000000001</v>
      </c>
      <c r="V43" s="8"/>
      <c r="W43" s="26">
        <v>2.2999999999999998</v>
      </c>
      <c r="X43" s="8"/>
      <c r="Y43" s="26">
        <v>0.29999999999999999</v>
      </c>
      <c r="Z43" s="8"/>
      <c r="AA43" s="26">
        <v>0.69999999999999996</v>
      </c>
      <c r="AB43" s="8"/>
      <c r="AC43" s="8"/>
    </row>
    <row r="44" ht="12" customHeight="1">
      <c r="A44" s="11" t="s">
        <v>149</v>
      </c>
      <c r="B44" s="8" t="s">
        <v>432</v>
      </c>
      <c r="C44" s="26">
        <v>1.5</v>
      </c>
      <c r="D44" s="8"/>
      <c r="E44" s="26">
        <v>1.8999999999999999</v>
      </c>
      <c r="F44" s="8"/>
      <c r="G44" s="26">
        <v>2.6000000000000001</v>
      </c>
      <c r="H44" s="8"/>
      <c r="I44" s="26">
        <v>2.7999999999999998</v>
      </c>
      <c r="J44" s="8"/>
      <c r="K44" s="26">
        <v>4.2999999999999998</v>
      </c>
      <c r="L44" s="8"/>
      <c r="M44" s="26">
        <v>4.5999999999999996</v>
      </c>
      <c r="N44" s="8"/>
      <c r="O44" s="26">
        <v>5.2999999999999998</v>
      </c>
      <c r="P44" s="8"/>
      <c r="Q44" s="26">
        <v>4</v>
      </c>
      <c r="R44" s="8"/>
      <c r="S44" s="26">
        <v>4.7000000000000002</v>
      </c>
      <c r="T44" s="8"/>
      <c r="U44" s="26">
        <v>5.0999999999999996</v>
      </c>
      <c r="V44" s="8"/>
      <c r="W44" s="26">
        <v>4.9000000000000004</v>
      </c>
      <c r="X44" s="8"/>
      <c r="Y44" s="26">
        <v>5.4000000000000004</v>
      </c>
      <c r="Z44" s="8"/>
      <c r="AA44" s="26">
        <v>6.0999999999999996</v>
      </c>
      <c r="AB44" s="8"/>
      <c r="AC44" s="8"/>
    </row>
    <row r="45" ht="12" customHeight="1">
      <c r="A45" s="8" t="s">
        <v>151</v>
      </c>
      <c r="B45" s="8" t="s">
        <v>433</v>
      </c>
      <c r="C45" s="26">
        <v>12.199999999999999</v>
      </c>
      <c r="D45" s="8"/>
      <c r="E45" s="26">
        <v>11.699999999999999</v>
      </c>
      <c r="F45" s="8"/>
      <c r="G45" s="26">
        <v>6.7000000000000002</v>
      </c>
      <c r="H45" s="8"/>
      <c r="I45" s="26">
        <v>8</v>
      </c>
      <c r="J45" s="8"/>
      <c r="K45" s="26">
        <v>8.0999999999999996</v>
      </c>
      <c r="L45" s="8"/>
      <c r="M45" s="26">
        <v>4.4000000000000004</v>
      </c>
      <c r="N45" s="8"/>
      <c r="O45" s="26">
        <v>4.7000000000000002</v>
      </c>
      <c r="P45" s="8"/>
      <c r="Q45" s="26">
        <v>0.5</v>
      </c>
      <c r="R45" s="8"/>
      <c r="S45" s="26">
        <v>-1.2</v>
      </c>
      <c r="T45" s="8"/>
      <c r="U45" s="26">
        <v>0.69999999999999996</v>
      </c>
      <c r="V45" s="8"/>
      <c r="W45" s="26">
        <v>2.7000000000000002</v>
      </c>
      <c r="X45" s="8"/>
      <c r="Y45" s="26">
        <v>8.1999999999999993</v>
      </c>
      <c r="Z45" s="8"/>
      <c r="AA45" s="26">
        <v>8.4000000000000004</v>
      </c>
      <c r="AB45" s="8"/>
      <c r="AC45" s="8"/>
    </row>
    <row r="46" ht="12" customHeight="1">
      <c r="A46" s="8" t="s">
        <v>153</v>
      </c>
      <c r="B46" s="8" t="s">
        <v>434</v>
      </c>
      <c r="C46" s="26">
        <v>-15.4</v>
      </c>
      <c r="D46" s="8"/>
      <c r="E46" s="26">
        <v>-10.5</v>
      </c>
      <c r="F46" s="8"/>
      <c r="G46" s="26">
        <v>-24.899999999999999</v>
      </c>
      <c r="H46" s="8"/>
      <c r="I46" s="26">
        <v>-14.800000000000001</v>
      </c>
      <c r="J46" s="8"/>
      <c r="K46" s="26">
        <v>-0.69999999999999996</v>
      </c>
      <c r="L46" s="8"/>
      <c r="M46" s="26">
        <v>-4.9000000000000004</v>
      </c>
      <c r="N46" s="8"/>
      <c r="O46" s="26">
        <v>14.1</v>
      </c>
      <c r="P46" s="8"/>
      <c r="Q46" s="26">
        <v>3.5</v>
      </c>
      <c r="R46" s="8"/>
      <c r="S46" s="26">
        <v>-11</v>
      </c>
      <c r="T46" s="8"/>
      <c r="U46" s="26">
        <v>-13</v>
      </c>
      <c r="V46" s="8"/>
      <c r="W46" s="26">
        <v>-25.300000000000001</v>
      </c>
      <c r="X46" s="8"/>
      <c r="Y46" s="26">
        <v>-14.9</v>
      </c>
      <c r="Z46" s="8"/>
      <c r="AA46" s="26">
        <v>-5.5999999999999996</v>
      </c>
      <c r="AB46" s="8"/>
      <c r="AC46" s="8"/>
    </row>
    <row r="47" ht="12" customHeight="1">
      <c r="A47" s="8" t="s">
        <v>155</v>
      </c>
      <c r="B47" s="8" t="s">
        <v>435</v>
      </c>
      <c r="C47" s="26">
        <v>2</v>
      </c>
      <c r="D47" s="8"/>
      <c r="E47" s="26">
        <v>2</v>
      </c>
      <c r="F47" s="8"/>
      <c r="G47" s="26">
        <v>3.8999999999999999</v>
      </c>
      <c r="H47" s="8"/>
      <c r="I47" s="26">
        <v>3.2999999999999998</v>
      </c>
      <c r="J47" s="8"/>
      <c r="K47" s="26">
        <v>4.4000000000000004</v>
      </c>
      <c r="L47" s="8"/>
      <c r="M47" s="26">
        <v>5.0999999999999996</v>
      </c>
      <c r="N47" s="8"/>
      <c r="O47" s="26">
        <v>4.9000000000000004</v>
      </c>
      <c r="P47" s="8"/>
      <c r="Q47" s="26">
        <v>4.0999999999999996</v>
      </c>
      <c r="R47" s="8"/>
      <c r="S47" s="26">
        <v>5.5</v>
      </c>
      <c r="T47" s="8"/>
      <c r="U47" s="26">
        <v>6.0999999999999996</v>
      </c>
      <c r="V47" s="8"/>
      <c r="W47" s="26">
        <v>6.9000000000000004</v>
      </c>
      <c r="X47" s="8"/>
      <c r="Y47" s="26">
        <v>6.7999999999999998</v>
      </c>
      <c r="Z47" s="8"/>
      <c r="AA47" s="26">
        <v>7</v>
      </c>
      <c r="AB47" s="8"/>
      <c r="AC47" s="8"/>
    </row>
    <row r="48" ht="12" customHeight="1">
      <c r="A48" s="11" t="s">
        <v>157</v>
      </c>
      <c r="B48" s="8" t="s">
        <v>436</v>
      </c>
      <c r="C48" s="26">
        <v>5.5999999999999996</v>
      </c>
      <c r="D48" s="8"/>
      <c r="E48" s="26">
        <v>7.2000000000000002</v>
      </c>
      <c r="F48" s="8"/>
      <c r="G48" s="26">
        <v>6.5</v>
      </c>
      <c r="H48" s="8"/>
      <c r="I48" s="26">
        <v>6</v>
      </c>
      <c r="J48" s="8"/>
      <c r="K48" s="26">
        <v>4.4000000000000004</v>
      </c>
      <c r="L48" s="8"/>
      <c r="M48" s="26">
        <v>5.4000000000000004</v>
      </c>
      <c r="N48" s="8"/>
      <c r="O48" s="26">
        <v>3.5</v>
      </c>
      <c r="P48" s="8"/>
      <c r="Q48" s="26">
        <v>2.2000000000000002</v>
      </c>
      <c r="R48" s="8"/>
      <c r="S48" s="26">
        <v>2.5</v>
      </c>
      <c r="T48" s="8"/>
      <c r="U48" s="26">
        <v>0.40000000000000002</v>
      </c>
      <c r="V48" s="8"/>
      <c r="W48" s="26">
        <v>2.7999999999999998</v>
      </c>
      <c r="X48" s="8"/>
      <c r="Y48" s="26">
        <v>3.2999999999999998</v>
      </c>
      <c r="Z48" s="8"/>
      <c r="AA48" s="26">
        <v>2.6000000000000001</v>
      </c>
      <c r="AB48" s="8"/>
      <c r="AC48" s="8"/>
    </row>
    <row r="49" ht="12" customHeight="1">
      <c r="A49" s="8" t="s">
        <v>159</v>
      </c>
      <c r="B49" s="8" t="s">
        <v>437</v>
      </c>
      <c r="C49" s="26">
        <v>-7.7999999999999998</v>
      </c>
      <c r="D49" s="8"/>
      <c r="E49" s="26">
        <v>-4</v>
      </c>
      <c r="F49" s="8"/>
      <c r="G49" s="26">
        <v>-9.6999999999999993</v>
      </c>
      <c r="H49" s="8"/>
      <c r="I49" s="26">
        <v>-12.5</v>
      </c>
      <c r="J49" s="8"/>
      <c r="K49" s="26">
        <v>-11.1</v>
      </c>
      <c r="L49" s="8"/>
      <c r="M49" s="26">
        <v>-15.6</v>
      </c>
      <c r="N49" s="8"/>
      <c r="O49" s="26">
        <v>-9.8000000000000007</v>
      </c>
      <c r="P49" s="8"/>
      <c r="Q49" s="26">
        <v>-8.5</v>
      </c>
      <c r="R49" s="8"/>
      <c r="S49" s="26">
        <v>-8.5</v>
      </c>
      <c r="T49" s="8"/>
      <c r="U49" s="26">
        <v>-5</v>
      </c>
      <c r="V49" s="8"/>
      <c r="W49" s="26">
        <v>-5.5999999999999996</v>
      </c>
      <c r="X49" s="8"/>
      <c r="Y49" s="26">
        <v>-9</v>
      </c>
      <c r="Z49" s="8"/>
      <c r="AA49" s="26">
        <v>-8.6999999999999993</v>
      </c>
      <c r="AB49" s="8"/>
      <c r="AC49" s="8"/>
    </row>
    <row r="50" ht="12" customHeight="1">
      <c r="A50" s="8" t="s">
        <v>161</v>
      </c>
      <c r="B50" s="8" t="s">
        <v>438</v>
      </c>
      <c r="C50" s="26">
        <v>13.1</v>
      </c>
      <c r="D50" s="8"/>
      <c r="E50" s="26">
        <v>13.300000000000001</v>
      </c>
      <c r="F50" s="8"/>
      <c r="G50" s="26">
        <v>7.9000000000000004</v>
      </c>
      <c r="H50" s="8"/>
      <c r="I50" s="26">
        <v>5.2999999999999998</v>
      </c>
      <c r="J50" s="8"/>
      <c r="K50" s="26">
        <v>1.6000000000000001</v>
      </c>
      <c r="L50" s="8"/>
      <c r="M50" s="26">
        <v>1.8</v>
      </c>
      <c r="N50" s="8"/>
      <c r="O50" s="26">
        <v>2</v>
      </c>
      <c r="P50" s="8"/>
      <c r="Q50" s="26">
        <v>-1.2</v>
      </c>
      <c r="R50" s="8"/>
      <c r="S50" s="26">
        <v>0.40000000000000002</v>
      </c>
      <c r="T50" s="8"/>
      <c r="U50" s="26">
        <v>-0.80000000000000004</v>
      </c>
      <c r="V50" s="8"/>
      <c r="W50" s="26">
        <v>0.80000000000000004</v>
      </c>
      <c r="X50" s="8"/>
      <c r="Y50" s="26">
        <v>3</v>
      </c>
      <c r="Z50" s="8"/>
      <c r="AA50" s="26">
        <v>2.8999999999999999</v>
      </c>
      <c r="AB50" s="8"/>
      <c r="AC50" s="8"/>
    </row>
    <row r="51" ht="12" customHeight="1">
      <c r="A51" s="8" t="s">
        <v>163</v>
      </c>
      <c r="B51" s="8" t="s">
        <v>439</v>
      </c>
      <c r="C51" s="26">
        <v>8</v>
      </c>
      <c r="D51" s="8"/>
      <c r="E51" s="26">
        <v>9.3000000000000007</v>
      </c>
      <c r="F51" s="8"/>
      <c r="G51" s="26">
        <v>11.6</v>
      </c>
      <c r="H51" s="8"/>
      <c r="I51" s="26">
        <v>8.9000000000000004</v>
      </c>
      <c r="J51" s="8"/>
      <c r="K51" s="26">
        <v>7.0999999999999996</v>
      </c>
      <c r="L51" s="8"/>
      <c r="M51" s="26">
        <v>6</v>
      </c>
      <c r="N51" s="8"/>
      <c r="O51" s="26">
        <v>-0.10000000000000001</v>
      </c>
      <c r="P51" s="8"/>
      <c r="Q51" s="26">
        <v>0.80000000000000004</v>
      </c>
      <c r="R51" s="8"/>
      <c r="S51" s="26">
        <v>1.3</v>
      </c>
      <c r="T51" s="8"/>
      <c r="U51" s="26">
        <v>0.10000000000000001</v>
      </c>
      <c r="V51" s="8"/>
      <c r="W51" s="26">
        <v>-0.20000000000000001</v>
      </c>
      <c r="X51" s="8"/>
      <c r="Y51" s="26">
        <v>-0.20000000000000001</v>
      </c>
      <c r="Z51" s="8"/>
      <c r="AA51" s="26">
        <v>-0.80000000000000004</v>
      </c>
      <c r="AB51" s="8"/>
      <c r="AC51" s="8"/>
    </row>
    <row r="52" ht="12" customHeight="1">
      <c r="A52" s="8" t="s">
        <v>165</v>
      </c>
      <c r="B52" s="8" t="s">
        <v>440</v>
      </c>
      <c r="C52" s="26">
        <v>1.8999999999999999</v>
      </c>
      <c r="D52" s="8"/>
      <c r="E52" s="26">
        <v>2.8999999999999999</v>
      </c>
      <c r="F52" s="8"/>
      <c r="G52" s="26">
        <v>2.5</v>
      </c>
      <c r="H52" s="8"/>
      <c r="I52" s="26">
        <v>5.5</v>
      </c>
      <c r="J52" s="8"/>
      <c r="K52" s="26">
        <v>5.2000000000000002</v>
      </c>
      <c r="L52" s="8"/>
      <c r="M52" s="26">
        <v>7.7000000000000002</v>
      </c>
      <c r="N52" s="8"/>
      <c r="O52" s="26">
        <v>8.5999999999999996</v>
      </c>
      <c r="P52" s="8"/>
      <c r="Q52" s="26">
        <v>6.7999999999999998</v>
      </c>
      <c r="R52" s="8"/>
      <c r="S52" s="26">
        <v>6</v>
      </c>
      <c r="T52" s="8"/>
      <c r="U52" s="26">
        <v>2.8999999999999999</v>
      </c>
      <c r="V52" s="8"/>
      <c r="W52" s="26">
        <v>7.2999999999999998</v>
      </c>
      <c r="X52" s="8"/>
      <c r="Y52" s="26">
        <v>8.3000000000000007</v>
      </c>
      <c r="Z52" s="8"/>
      <c r="AA52" s="26">
        <v>6.7999999999999998</v>
      </c>
      <c r="AB52" s="8"/>
      <c r="AC52" s="8"/>
    </row>
    <row r="53" ht="12" customHeight="1">
      <c r="A53" s="8" t="s">
        <v>167</v>
      </c>
      <c r="B53" s="8" t="s">
        <v>441</v>
      </c>
      <c r="C53" s="26">
        <v>6.5</v>
      </c>
      <c r="D53" s="8"/>
      <c r="E53" s="26">
        <v>7.7000000000000002</v>
      </c>
      <c r="F53" s="8"/>
      <c r="G53" s="26">
        <v>6.9000000000000004</v>
      </c>
      <c r="H53" s="8"/>
      <c r="I53" s="26">
        <v>8.4000000000000004</v>
      </c>
      <c r="J53" s="8"/>
      <c r="K53" s="26">
        <v>5.9000000000000004</v>
      </c>
      <c r="L53" s="8"/>
      <c r="M53" s="26">
        <v>7</v>
      </c>
      <c r="N53" s="8"/>
      <c r="O53" s="26">
        <v>6.0999999999999996</v>
      </c>
      <c r="P53" s="8"/>
      <c r="Q53" s="26">
        <v>4.2000000000000002</v>
      </c>
      <c r="R53" s="8"/>
      <c r="S53" s="26">
        <v>4.7000000000000002</v>
      </c>
      <c r="T53" s="8"/>
      <c r="U53" s="26">
        <v>2.8999999999999999</v>
      </c>
      <c r="V53" s="8"/>
      <c r="W53" s="26">
        <v>0.90000000000000002</v>
      </c>
      <c r="X53" s="8"/>
      <c r="Y53" s="26">
        <v>2.2000000000000002</v>
      </c>
      <c r="Z53" s="8"/>
      <c r="AA53" s="26">
        <v>2.2999999999999998</v>
      </c>
      <c r="AB53" s="8"/>
      <c r="AC53" s="8"/>
    </row>
    <row r="54" ht="12" customHeight="1">
      <c r="A54" s="8" t="s">
        <v>169</v>
      </c>
      <c r="B54" s="8" t="s">
        <v>442</v>
      </c>
      <c r="C54" s="26">
        <v>21</v>
      </c>
      <c r="D54" s="8"/>
      <c r="E54" s="26">
        <v>23.5</v>
      </c>
      <c r="F54" s="8"/>
      <c r="G54" s="26">
        <v>16</v>
      </c>
      <c r="H54" s="8"/>
      <c r="I54" s="26">
        <v>8.0999999999999996</v>
      </c>
      <c r="J54" s="8"/>
      <c r="K54" s="26">
        <v>3.3999999999999999</v>
      </c>
      <c r="L54" s="8"/>
      <c r="M54" s="26">
        <v>5.5</v>
      </c>
      <c r="N54" s="8"/>
      <c r="O54" s="26">
        <v>1.3999999999999999</v>
      </c>
      <c r="P54" s="8"/>
      <c r="Q54" s="26">
        <v>-2.6000000000000001</v>
      </c>
      <c r="R54" s="8"/>
      <c r="S54" s="26">
        <v>-0.29999999999999999</v>
      </c>
      <c r="T54" s="8"/>
      <c r="U54" s="26">
        <v>-4.2000000000000002</v>
      </c>
      <c r="V54" s="8"/>
      <c r="W54" s="26">
        <v>7.7000000000000002</v>
      </c>
      <c r="X54" s="8"/>
      <c r="Y54" s="26">
        <v>9.5</v>
      </c>
      <c r="Z54" s="8"/>
      <c r="AA54" s="26">
        <v>7.5999999999999996</v>
      </c>
      <c r="AB54" s="8"/>
      <c r="AC54" s="8"/>
    </row>
    <row r="55" ht="12" customHeight="1">
      <c r="A55" s="11" t="s">
        <v>171</v>
      </c>
      <c r="B55" s="8" t="s">
        <v>443</v>
      </c>
      <c r="C55" s="26">
        <v>2.2000000000000002</v>
      </c>
      <c r="D55" s="8"/>
      <c r="E55" s="26">
        <v>3.7000000000000002</v>
      </c>
      <c r="F55" s="8"/>
      <c r="G55" s="26">
        <v>3.7000000000000002</v>
      </c>
      <c r="H55" s="8"/>
      <c r="I55" s="26">
        <v>3.6000000000000001</v>
      </c>
      <c r="J55" s="8"/>
      <c r="K55" s="26">
        <v>3.6000000000000001</v>
      </c>
      <c r="L55" s="8"/>
      <c r="M55" s="26">
        <v>5.4000000000000004</v>
      </c>
      <c r="N55" s="8"/>
      <c r="O55" s="26">
        <v>5.4000000000000004</v>
      </c>
      <c r="P55" s="8"/>
      <c r="Q55" s="26">
        <v>0.59999999999999998</v>
      </c>
      <c r="R55" s="8"/>
      <c r="S55" s="26">
        <v>0.59999999999999998</v>
      </c>
      <c r="T55" s="8"/>
      <c r="U55" s="26">
        <v>8.4000000000000004</v>
      </c>
      <c r="V55" s="8"/>
      <c r="W55" s="26">
        <v>8.4000000000000004</v>
      </c>
      <c r="X55" s="8"/>
      <c r="Y55" s="26">
        <v>13.1</v>
      </c>
      <c r="Z55" s="8"/>
      <c r="AA55" s="26">
        <v>13.1</v>
      </c>
      <c r="AB55" s="8"/>
      <c r="AC55" s="8"/>
    </row>
    <row r="56" ht="12" customHeight="1">
      <c r="A56" s="8" t="s">
        <v>173</v>
      </c>
      <c r="B56" s="8" t="s">
        <v>444</v>
      </c>
      <c r="C56" s="26">
        <v>4</v>
      </c>
      <c r="D56" s="8"/>
      <c r="E56" s="26">
        <v>4</v>
      </c>
      <c r="F56" s="8"/>
      <c r="G56" s="26">
        <v>4</v>
      </c>
      <c r="H56" s="8"/>
      <c r="I56" s="26">
        <v>3.5</v>
      </c>
      <c r="J56" s="8"/>
      <c r="K56" s="26">
        <v>3.5</v>
      </c>
      <c r="L56" s="8"/>
      <c r="M56" s="26">
        <v>3.5</v>
      </c>
      <c r="N56" s="8"/>
      <c r="O56" s="26">
        <v>3.5</v>
      </c>
      <c r="P56" s="8"/>
      <c r="Q56" s="26">
        <v>-20.800000000000001</v>
      </c>
      <c r="R56" s="8"/>
      <c r="S56" s="26">
        <v>-20.800000000000001</v>
      </c>
      <c r="T56" s="8"/>
      <c r="U56" s="26">
        <v>-20.800000000000001</v>
      </c>
      <c r="V56" s="8"/>
      <c r="W56" s="26">
        <v>-20.800000000000001</v>
      </c>
      <c r="X56" s="8"/>
      <c r="Y56" s="26">
        <v>2.3999999999999999</v>
      </c>
      <c r="Z56" s="8"/>
      <c r="AA56" s="26">
        <v>2.3999999999999999</v>
      </c>
      <c r="AB56" s="8"/>
      <c r="AC56" s="8"/>
    </row>
    <row r="57" ht="12" customHeight="1">
      <c r="A57" s="8" t="s">
        <v>175</v>
      </c>
      <c r="B57" s="8" t="s">
        <v>445</v>
      </c>
      <c r="C57" s="26">
        <v>3</v>
      </c>
      <c r="D57" s="8"/>
      <c r="E57" s="26">
        <v>2.1000000000000001</v>
      </c>
      <c r="F57" s="8"/>
      <c r="G57" s="26">
        <v>2.1000000000000001</v>
      </c>
      <c r="H57" s="8"/>
      <c r="I57" s="26">
        <v>2.1000000000000001</v>
      </c>
      <c r="J57" s="8"/>
      <c r="K57" s="26">
        <v>2.1000000000000001</v>
      </c>
      <c r="L57" s="8"/>
      <c r="M57" s="26">
        <v>4.2000000000000002</v>
      </c>
      <c r="N57" s="8"/>
      <c r="O57" s="26">
        <v>4.2000000000000002</v>
      </c>
      <c r="P57" s="8"/>
      <c r="Q57" s="26">
        <v>4.2000000000000002</v>
      </c>
      <c r="R57" s="8"/>
      <c r="S57" s="26">
        <v>4.2000000000000002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  <c r="AC57" s="8"/>
    </row>
    <row r="58" ht="12" customHeight="1">
      <c r="A58" s="8" t="s">
        <v>177</v>
      </c>
      <c r="B58" s="8" t="s">
        <v>446</v>
      </c>
      <c r="C58" s="26">
        <v>1.3</v>
      </c>
      <c r="D58" s="8"/>
      <c r="E58" s="26">
        <v>4.2000000000000002</v>
      </c>
      <c r="F58" s="8"/>
      <c r="G58" s="26">
        <v>4.2000000000000002</v>
      </c>
      <c r="H58" s="8"/>
      <c r="I58" s="26">
        <v>4.2000000000000002</v>
      </c>
      <c r="J58" s="8"/>
      <c r="K58" s="26">
        <v>4.2000000000000002</v>
      </c>
      <c r="L58" s="8"/>
      <c r="M58" s="26">
        <v>6.5</v>
      </c>
      <c r="N58" s="8"/>
      <c r="O58" s="26">
        <v>6.5</v>
      </c>
      <c r="P58" s="8"/>
      <c r="Q58" s="26">
        <v>6.5</v>
      </c>
      <c r="R58" s="8"/>
      <c r="S58" s="26">
        <v>6.5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  <c r="AC58" s="8"/>
    </row>
    <row r="59" ht="12" customHeight="1">
      <c r="A59" s="8" t="s">
        <v>179</v>
      </c>
      <c r="B59" s="8" t="s">
        <v>447</v>
      </c>
      <c r="C59" s="26">
        <v>1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4.2999999999999998</v>
      </c>
      <c r="N59" s="8"/>
      <c r="O59" s="26">
        <v>4.2999999999999998</v>
      </c>
      <c r="P59" s="8"/>
      <c r="Q59" s="26">
        <v>4.2999999999999998</v>
      </c>
      <c r="R59" s="8"/>
      <c r="S59" s="26">
        <v>4.2999999999999998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448</v>
      </c>
      <c r="C60" s="26">
        <v>4.7999999999999998</v>
      </c>
      <c r="D60" s="8"/>
      <c r="E60" s="26">
        <v>5.7999999999999998</v>
      </c>
      <c r="F60" s="8"/>
      <c r="G60" s="26">
        <v>8.1999999999999993</v>
      </c>
      <c r="H60" s="8"/>
      <c r="I60" s="26">
        <v>10.1</v>
      </c>
      <c r="J60" s="8"/>
      <c r="K60" s="26">
        <v>10.800000000000001</v>
      </c>
      <c r="L60" s="8"/>
      <c r="M60" s="26">
        <v>11.9</v>
      </c>
      <c r="N60" s="8"/>
      <c r="O60" s="26">
        <v>11.5</v>
      </c>
      <c r="P60" s="8"/>
      <c r="Q60" s="26">
        <v>10.5</v>
      </c>
      <c r="R60" s="8"/>
      <c r="S60" s="26">
        <v>9.4000000000000004</v>
      </c>
      <c r="T60" s="8"/>
      <c r="U60" s="26">
        <v>7.2999999999999998</v>
      </c>
      <c r="V60" s="8"/>
      <c r="W60" s="26">
        <v>5.5999999999999996</v>
      </c>
      <c r="X60" s="8"/>
      <c r="Y60" s="26">
        <v>4.0999999999999996</v>
      </c>
      <c r="Z60" s="8"/>
      <c r="AA60" s="26">
        <v>2.6000000000000001</v>
      </c>
      <c r="AB60" s="8"/>
      <c r="AC60" s="8"/>
    </row>
    <row r="61" ht="12" customHeight="1">
      <c r="A61" s="8" t="s">
        <v>183</v>
      </c>
      <c r="B61" s="8" t="s">
        <v>449</v>
      </c>
      <c r="C61" s="26">
        <v>7.7000000000000002</v>
      </c>
      <c r="D61" s="8"/>
      <c r="E61" s="26">
        <v>7.7999999999999998</v>
      </c>
      <c r="F61" s="8"/>
      <c r="G61" s="26">
        <v>8.1999999999999993</v>
      </c>
      <c r="H61" s="8"/>
      <c r="I61" s="26">
        <v>6.4000000000000004</v>
      </c>
      <c r="J61" s="8"/>
      <c r="K61" s="26">
        <v>2.6000000000000001</v>
      </c>
      <c r="L61" s="8"/>
      <c r="M61" s="26">
        <v>0.69999999999999996</v>
      </c>
      <c r="N61" s="8"/>
      <c r="O61" s="26">
        <v>-1.3999999999999999</v>
      </c>
      <c r="P61" s="8"/>
      <c r="Q61" s="26">
        <v>-1.1000000000000001</v>
      </c>
      <c r="R61" s="8"/>
      <c r="S61" s="26">
        <v>-0.10000000000000001</v>
      </c>
      <c r="T61" s="8"/>
      <c r="U61" s="26">
        <v>0.29999999999999999</v>
      </c>
      <c r="V61" s="8"/>
      <c r="W61" s="26">
        <v>1.3</v>
      </c>
      <c r="X61" s="8"/>
      <c r="Y61" s="26">
        <v>1.8999999999999999</v>
      </c>
      <c r="Z61" s="8"/>
      <c r="AA61" s="26">
        <v>1.8</v>
      </c>
      <c r="AB61" s="8"/>
      <c r="AC61" s="8"/>
    </row>
    <row r="62" ht="12" customHeight="1">
      <c r="A62" s="8" t="s">
        <v>185</v>
      </c>
      <c r="B62" s="8" t="s">
        <v>450</v>
      </c>
      <c r="C62" s="26">
        <v>4.7999999999999998</v>
      </c>
      <c r="D62" s="8"/>
      <c r="E62" s="26">
        <v>4</v>
      </c>
      <c r="F62" s="8"/>
      <c r="G62" s="26">
        <v>3.1000000000000001</v>
      </c>
      <c r="H62" s="8"/>
      <c r="I62" s="26">
        <v>2.2999999999999998</v>
      </c>
      <c r="J62" s="8"/>
      <c r="K62" s="26">
        <v>1.8</v>
      </c>
      <c r="L62" s="8"/>
      <c r="M62" s="26">
        <v>2.5</v>
      </c>
      <c r="N62" s="8"/>
      <c r="O62" s="26">
        <v>5.5999999999999996</v>
      </c>
      <c r="P62" s="8"/>
      <c r="Q62" s="26">
        <v>3.7999999999999998</v>
      </c>
      <c r="R62" s="8"/>
      <c r="S62" s="26">
        <v>2.2999999999999998</v>
      </c>
      <c r="T62" s="8"/>
      <c r="U62" s="26">
        <v>1.5</v>
      </c>
      <c r="V62" s="8"/>
      <c r="W62" s="26">
        <v>2.3999999999999999</v>
      </c>
      <c r="X62" s="8"/>
      <c r="Y62" s="26">
        <v>3.3999999999999999</v>
      </c>
      <c r="Z62" s="8"/>
      <c r="AA62" s="26">
        <v>5.9000000000000004</v>
      </c>
      <c r="AB62" s="8"/>
      <c r="AC62" s="8"/>
    </row>
    <row r="63" ht="12" customHeight="1">
      <c r="A63" s="8" t="s">
        <v>187</v>
      </c>
      <c r="B63" s="8" t="s">
        <v>451</v>
      </c>
      <c r="C63" s="26">
        <v>3.3999999999999999</v>
      </c>
      <c r="D63" s="8"/>
      <c r="E63" s="26">
        <v>5.5</v>
      </c>
      <c r="F63" s="8"/>
      <c r="G63" s="26">
        <v>9.5999999999999996</v>
      </c>
      <c r="H63" s="8"/>
      <c r="I63" s="26">
        <v>14</v>
      </c>
      <c r="J63" s="8"/>
      <c r="K63" s="26">
        <v>16.800000000000001</v>
      </c>
      <c r="L63" s="8"/>
      <c r="M63" s="26">
        <v>19.300000000000001</v>
      </c>
      <c r="N63" s="8"/>
      <c r="O63" s="26">
        <v>19.199999999999999</v>
      </c>
      <c r="P63" s="8"/>
      <c r="Q63" s="26">
        <v>17.399999999999999</v>
      </c>
      <c r="R63" s="8"/>
      <c r="S63" s="26">
        <v>15.1</v>
      </c>
      <c r="T63" s="8"/>
      <c r="U63" s="26">
        <v>11.300000000000001</v>
      </c>
      <c r="V63" s="8"/>
      <c r="W63" s="26">
        <v>8</v>
      </c>
      <c r="X63" s="8"/>
      <c r="Y63" s="26">
        <v>5.4000000000000004</v>
      </c>
      <c r="Z63" s="8"/>
      <c r="AA63" s="26">
        <v>3</v>
      </c>
      <c r="AB63" s="8"/>
      <c r="AC63" s="8"/>
    </row>
    <row r="64" ht="12" customHeight="1">
      <c r="A64" s="8" t="s">
        <v>189</v>
      </c>
      <c r="B64" s="8" t="s">
        <v>452</v>
      </c>
      <c r="C64" s="26">
        <v>0.10000000000000001</v>
      </c>
      <c r="D64" s="8"/>
      <c r="E64" s="26">
        <v>-0.29999999999999999</v>
      </c>
      <c r="F64" s="8"/>
      <c r="G64" s="26">
        <v>2.6000000000000001</v>
      </c>
      <c r="H64" s="8"/>
      <c r="I64" s="26">
        <v>-2.2000000000000002</v>
      </c>
      <c r="J64" s="8"/>
      <c r="K64" s="26">
        <v>-0.40000000000000002</v>
      </c>
      <c r="L64" s="8"/>
      <c r="M64" s="26">
        <v>0</v>
      </c>
      <c r="N64" s="8"/>
      <c r="O64" s="26">
        <v>0</v>
      </c>
      <c r="P64" s="8"/>
      <c r="Q64" s="26">
        <v>-2.2000000000000002</v>
      </c>
      <c r="R64" s="8"/>
      <c r="S64" s="26">
        <v>-2.7999999999999998</v>
      </c>
      <c r="T64" s="8"/>
      <c r="U64" s="26">
        <v>-2.7999999999999998</v>
      </c>
      <c r="V64" s="8"/>
      <c r="W64" s="26">
        <v>-3.3999999999999999</v>
      </c>
      <c r="X64" s="8"/>
      <c r="Y64" s="26">
        <v>-1.3</v>
      </c>
      <c r="Z64" s="8"/>
      <c r="AA64" s="26">
        <v>-0.69999999999999996</v>
      </c>
      <c r="AB64" s="8"/>
      <c r="AC64" s="8"/>
    </row>
    <row r="65" ht="12" customHeight="1">
      <c r="A65" s="8" t="s">
        <v>191</v>
      </c>
      <c r="B65" s="8" t="s">
        <v>453</v>
      </c>
      <c r="C65" s="26">
        <v>5.4000000000000004</v>
      </c>
      <c r="D65" s="8"/>
      <c r="E65" s="26">
        <v>3.7000000000000002</v>
      </c>
      <c r="F65" s="8"/>
      <c r="G65" s="26">
        <v>2.2999999999999998</v>
      </c>
      <c r="H65" s="8"/>
      <c r="I65" s="26">
        <v>3.6000000000000001</v>
      </c>
      <c r="J65" s="8"/>
      <c r="K65" s="26">
        <v>5</v>
      </c>
      <c r="L65" s="8"/>
      <c r="M65" s="26">
        <v>5.2000000000000002</v>
      </c>
      <c r="N65" s="8"/>
      <c r="O65" s="26">
        <v>5.4000000000000004</v>
      </c>
      <c r="P65" s="8"/>
      <c r="Q65" s="26">
        <v>3.7999999999999998</v>
      </c>
      <c r="R65" s="8"/>
      <c r="S65" s="26">
        <v>3.1000000000000001</v>
      </c>
      <c r="T65" s="8"/>
      <c r="U65" s="26">
        <v>2.5</v>
      </c>
      <c r="V65" s="8"/>
      <c r="W65" s="26">
        <v>3.2000000000000002</v>
      </c>
      <c r="X65" s="8"/>
      <c r="Y65" s="26">
        <v>1.5</v>
      </c>
      <c r="Z65" s="8"/>
      <c r="AA65" s="26">
        <v>1.1000000000000001</v>
      </c>
      <c r="AB65" s="8"/>
      <c r="AC65" s="8"/>
    </row>
    <row r="66" ht="12" customHeight="1">
      <c r="A66" s="11" t="s">
        <v>193</v>
      </c>
      <c r="B66" s="8" t="s">
        <v>454</v>
      </c>
      <c r="C66" s="26">
        <v>43.600000000000001</v>
      </c>
      <c r="D66" s="8"/>
      <c r="E66" s="26">
        <v>36.5</v>
      </c>
      <c r="F66" s="8"/>
      <c r="G66" s="26">
        <v>28</v>
      </c>
      <c r="H66" s="8"/>
      <c r="I66" s="26">
        <v>26.600000000000001</v>
      </c>
      <c r="J66" s="8"/>
      <c r="K66" s="26">
        <v>30.399999999999999</v>
      </c>
      <c r="L66" s="8"/>
      <c r="M66" s="26">
        <v>27.699999999999999</v>
      </c>
      <c r="N66" s="8"/>
      <c r="O66" s="26">
        <v>26.199999999999999</v>
      </c>
      <c r="P66" s="8"/>
      <c r="Q66" s="26">
        <v>17.800000000000001</v>
      </c>
      <c r="R66" s="8"/>
      <c r="S66" s="26">
        <v>7</v>
      </c>
      <c r="T66" s="8"/>
      <c r="U66" s="26">
        <v>0.59999999999999998</v>
      </c>
      <c r="V66" s="8"/>
      <c r="W66" s="26">
        <v>-7.2999999999999998</v>
      </c>
      <c r="X66" s="8"/>
      <c r="Y66" s="26">
        <v>-13.5</v>
      </c>
      <c r="Z66" s="8"/>
      <c r="AA66" s="26">
        <v>-16.300000000000001</v>
      </c>
      <c r="AB66" s="8"/>
      <c r="AC66" s="8"/>
    </row>
    <row r="67" ht="12" customHeight="1">
      <c r="A67" s="8" t="s">
        <v>195</v>
      </c>
      <c r="B67" s="8" t="s">
        <v>455</v>
      </c>
      <c r="C67" s="26">
        <v>43.600000000000001</v>
      </c>
      <c r="D67" s="8"/>
      <c r="E67" s="26">
        <v>36.5</v>
      </c>
      <c r="F67" s="8"/>
      <c r="G67" s="26">
        <v>28</v>
      </c>
      <c r="H67" s="8"/>
      <c r="I67" s="26">
        <v>26.600000000000001</v>
      </c>
      <c r="J67" s="8"/>
      <c r="K67" s="26">
        <v>30.399999999999999</v>
      </c>
      <c r="L67" s="8"/>
      <c r="M67" s="26">
        <v>27.699999999999999</v>
      </c>
      <c r="N67" s="8"/>
      <c r="O67" s="26">
        <v>26.199999999999999</v>
      </c>
      <c r="P67" s="8"/>
      <c r="Q67" s="26">
        <v>17.800000000000001</v>
      </c>
      <c r="R67" s="8"/>
      <c r="S67" s="26">
        <v>7</v>
      </c>
      <c r="T67" s="8"/>
      <c r="U67" s="26">
        <v>0.59999999999999998</v>
      </c>
      <c r="V67" s="8"/>
      <c r="W67" s="26">
        <v>-7.2999999999999998</v>
      </c>
      <c r="X67" s="8"/>
      <c r="Y67" s="26">
        <v>-13.5</v>
      </c>
      <c r="Z67" s="8"/>
      <c r="AA67" s="26">
        <v>-16.300000000000001</v>
      </c>
      <c r="AB67" s="8"/>
      <c r="AC67" s="8"/>
    </row>
    <row r="68" ht="12" customHeight="1">
      <c r="A68" s="13" t="s">
        <v>69</v>
      </c>
      <c r="B68" s="10" t="s">
        <v>48</v>
      </c>
      <c r="C68" s="27">
        <v>7.5</v>
      </c>
      <c r="D68" s="10"/>
      <c r="E68" s="27">
        <v>7.2999999999999998</v>
      </c>
      <c r="F68" s="10"/>
      <c r="G68" s="27">
        <v>7</v>
      </c>
      <c r="H68" s="10"/>
      <c r="I68" s="27">
        <v>7.0999999999999996</v>
      </c>
      <c r="J68" s="10"/>
      <c r="K68" s="27">
        <v>6.7000000000000002</v>
      </c>
      <c r="L68" s="10"/>
      <c r="M68" s="27">
        <v>5.5999999999999996</v>
      </c>
      <c r="N68" s="10"/>
      <c r="O68" s="27">
        <v>4.9000000000000004</v>
      </c>
      <c r="P68" s="10"/>
      <c r="Q68" s="27">
        <v>4</v>
      </c>
      <c r="R68" s="10"/>
      <c r="S68" s="27">
        <v>3.3999999999999999</v>
      </c>
      <c r="T68" s="10"/>
      <c r="U68" s="27">
        <v>3.7000000000000002</v>
      </c>
      <c r="V68" s="10"/>
      <c r="W68" s="27">
        <v>3.7000000000000002</v>
      </c>
      <c r="X68" s="10"/>
      <c r="Y68" s="27">
        <v>3.6000000000000001</v>
      </c>
      <c r="Z68" s="10"/>
      <c r="AA68" s="27">
        <v>3.3999999999999999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458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459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460</v>
      </c>
      <c r="C8" s="19">
        <v>1235</v>
      </c>
      <c r="D8" s="19"/>
      <c r="E8" s="19">
        <v>1286</v>
      </c>
      <c r="F8" s="19"/>
      <c r="G8" s="19">
        <v>1312</v>
      </c>
      <c r="H8" s="19"/>
      <c r="I8" s="19">
        <v>1322</v>
      </c>
      <c r="J8" s="19"/>
      <c r="K8" s="19">
        <v>1305</v>
      </c>
      <c r="L8" s="19"/>
      <c r="M8" s="19">
        <v>1311</v>
      </c>
      <c r="N8" s="19"/>
      <c r="O8" s="19">
        <v>1309</v>
      </c>
      <c r="P8" s="19"/>
      <c r="Q8" s="19">
        <v>1327</v>
      </c>
      <c r="R8" s="19"/>
      <c r="S8" s="19">
        <v>1320</v>
      </c>
      <c r="T8" s="19"/>
      <c r="U8" s="19">
        <v>1346</v>
      </c>
      <c r="V8" s="19"/>
      <c r="W8" s="19">
        <v>1369</v>
      </c>
      <c r="X8" s="19"/>
      <c r="Y8" s="19">
        <v>1394</v>
      </c>
      <c r="Z8" s="19"/>
      <c r="AA8" s="19">
        <v>1382</v>
      </c>
      <c r="AB8" s="19"/>
      <c r="AC8" s="19"/>
      <c r="AD8" s="19"/>
      <c r="AE8" s="18"/>
      <c r="AG8" s="18"/>
    </row>
    <row r="9" ht="12" customHeight="1">
      <c r="A9" s="8" t="s">
        <v>79</v>
      </c>
      <c r="B9" s="8" t="s">
        <v>461</v>
      </c>
      <c r="C9" s="19">
        <v>1385</v>
      </c>
      <c r="D9" s="19"/>
      <c r="E9" s="19">
        <v>1519</v>
      </c>
      <c r="F9" s="19"/>
      <c r="G9" s="19">
        <v>1500</v>
      </c>
      <c r="H9" s="19"/>
      <c r="I9" s="19">
        <v>1518</v>
      </c>
      <c r="J9" s="19"/>
      <c r="K9" s="19">
        <v>1428</v>
      </c>
      <c r="L9" s="19"/>
      <c r="M9" s="19">
        <v>1412</v>
      </c>
      <c r="N9" s="19"/>
      <c r="O9" s="19">
        <v>1309</v>
      </c>
      <c r="P9" s="19"/>
      <c r="Q9" s="19">
        <v>1369</v>
      </c>
      <c r="R9" s="19"/>
      <c r="S9" s="19">
        <v>1306</v>
      </c>
      <c r="T9" s="19"/>
      <c r="U9" s="19">
        <v>1325</v>
      </c>
      <c r="V9" s="19"/>
      <c r="W9" s="19">
        <v>1365</v>
      </c>
      <c r="X9" s="19"/>
      <c r="Y9" s="19">
        <v>1480</v>
      </c>
      <c r="Z9" s="19"/>
      <c r="AA9" s="19">
        <v>1356</v>
      </c>
      <c r="AB9" s="19"/>
      <c r="AC9" s="19"/>
      <c r="AD9" s="19"/>
      <c r="AE9" s="8"/>
      <c r="AG9" s="8"/>
    </row>
    <row r="10" ht="12" customHeight="1">
      <c r="A10" s="8" t="s">
        <v>81</v>
      </c>
      <c r="B10" s="8" t="s">
        <v>462</v>
      </c>
      <c r="C10" s="24">
        <v>1222</v>
      </c>
      <c r="D10" s="8"/>
      <c r="E10" s="24">
        <v>1238</v>
      </c>
      <c r="F10" s="8"/>
      <c r="G10" s="24">
        <v>1262</v>
      </c>
      <c r="H10" s="8"/>
      <c r="I10" s="24">
        <v>1265</v>
      </c>
      <c r="J10" s="8"/>
      <c r="K10" s="24">
        <v>1254</v>
      </c>
      <c r="L10" s="8"/>
      <c r="M10" s="24">
        <v>1247</v>
      </c>
      <c r="N10" s="8"/>
      <c r="O10" s="24">
        <v>1252</v>
      </c>
      <c r="P10" s="8"/>
      <c r="Q10" s="24">
        <v>1268</v>
      </c>
      <c r="R10" s="8"/>
      <c r="S10" s="24">
        <v>1279</v>
      </c>
      <c r="T10" s="8"/>
      <c r="U10" s="24">
        <v>1298</v>
      </c>
      <c r="V10" s="8"/>
      <c r="W10" s="24">
        <v>1316</v>
      </c>
      <c r="X10" s="8"/>
      <c r="Y10" s="24">
        <v>1363</v>
      </c>
      <c r="Z10" s="8"/>
      <c r="AA10" s="24">
        <v>1373</v>
      </c>
      <c r="AB10" s="8"/>
      <c r="AC10" s="8"/>
      <c r="AE10" s="8"/>
      <c r="AG10" s="8"/>
    </row>
    <row r="11" ht="12" customHeight="1">
      <c r="A11" s="8" t="s">
        <v>83</v>
      </c>
      <c r="B11" s="8" t="s">
        <v>463</v>
      </c>
      <c r="C11" s="24">
        <v>1169</v>
      </c>
      <c r="D11" s="8"/>
      <c r="E11" s="24">
        <v>1221</v>
      </c>
      <c r="F11" s="8"/>
      <c r="G11" s="24">
        <v>1255</v>
      </c>
      <c r="H11" s="8"/>
      <c r="I11" s="24">
        <v>1257</v>
      </c>
      <c r="J11" s="8"/>
      <c r="K11" s="24">
        <v>1245</v>
      </c>
      <c r="L11" s="8"/>
      <c r="M11" s="24">
        <v>1257</v>
      </c>
      <c r="N11" s="8"/>
      <c r="O11" s="24">
        <v>1269</v>
      </c>
      <c r="P11" s="8"/>
      <c r="Q11" s="24">
        <v>1280</v>
      </c>
      <c r="R11" s="8"/>
      <c r="S11" s="24">
        <v>1277</v>
      </c>
      <c r="T11" s="8"/>
      <c r="U11" s="24">
        <v>1315</v>
      </c>
      <c r="V11" s="8"/>
      <c r="W11" s="24">
        <v>1336</v>
      </c>
      <c r="X11" s="8"/>
      <c r="Y11" s="24">
        <v>1341</v>
      </c>
      <c r="Z11" s="8"/>
      <c r="AA11" s="24">
        <v>1337</v>
      </c>
      <c r="AB11" s="8"/>
      <c r="AC11" s="8"/>
      <c r="AE11" s="8"/>
      <c r="AG11" s="8"/>
    </row>
    <row r="12" ht="12" customHeight="1">
      <c r="A12" s="8" t="s">
        <v>85</v>
      </c>
      <c r="B12" s="8" t="s">
        <v>464</v>
      </c>
      <c r="C12" s="24">
        <v>1135</v>
      </c>
      <c r="D12" s="8"/>
      <c r="E12" s="24">
        <v>1162</v>
      </c>
      <c r="F12" s="8"/>
      <c r="G12" s="24">
        <v>1193</v>
      </c>
      <c r="H12" s="8"/>
      <c r="I12" s="24">
        <v>1206</v>
      </c>
      <c r="J12" s="8"/>
      <c r="K12" s="24">
        <v>1206</v>
      </c>
      <c r="L12" s="8"/>
      <c r="M12" s="24">
        <v>1222</v>
      </c>
      <c r="N12" s="8"/>
      <c r="O12" s="24">
        <v>1249</v>
      </c>
      <c r="P12" s="8"/>
      <c r="Q12" s="24">
        <v>1259</v>
      </c>
      <c r="R12" s="8"/>
      <c r="S12" s="24">
        <v>1260</v>
      </c>
      <c r="T12" s="8"/>
      <c r="U12" s="24">
        <v>1293</v>
      </c>
      <c r="V12" s="8"/>
      <c r="W12" s="24">
        <v>1328</v>
      </c>
      <c r="X12" s="8"/>
      <c r="Y12" s="24">
        <v>1319</v>
      </c>
      <c r="Z12" s="8"/>
      <c r="AA12" s="24">
        <v>1327</v>
      </c>
      <c r="AB12" s="8"/>
      <c r="AC12" s="8"/>
      <c r="AE12" s="8"/>
      <c r="AG12" s="8"/>
    </row>
    <row r="13" ht="12" customHeight="1">
      <c r="A13" s="8" t="s">
        <v>87</v>
      </c>
      <c r="B13" s="8" t="s">
        <v>465</v>
      </c>
      <c r="C13" s="24">
        <v>1348</v>
      </c>
      <c r="D13" s="8"/>
      <c r="E13" s="24">
        <v>1376</v>
      </c>
      <c r="F13" s="8"/>
      <c r="G13" s="24">
        <v>1417</v>
      </c>
      <c r="H13" s="8"/>
      <c r="I13" s="24">
        <v>1442</v>
      </c>
      <c r="J13" s="8"/>
      <c r="K13" s="24">
        <v>1454</v>
      </c>
      <c r="L13" s="8"/>
      <c r="M13" s="24">
        <v>1469</v>
      </c>
      <c r="N13" s="8"/>
      <c r="O13" s="24">
        <v>1490</v>
      </c>
      <c r="P13" s="8"/>
      <c r="Q13" s="24">
        <v>1496</v>
      </c>
      <c r="R13" s="8"/>
      <c r="S13" s="24">
        <v>1503</v>
      </c>
      <c r="T13" s="8"/>
      <c r="U13" s="24">
        <v>1507</v>
      </c>
      <c r="V13" s="8"/>
      <c r="W13" s="24">
        <v>1521</v>
      </c>
      <c r="X13" s="8"/>
      <c r="Y13" s="24">
        <v>1533</v>
      </c>
      <c r="Z13" s="8"/>
      <c r="AA13" s="24">
        <v>1540</v>
      </c>
      <c r="AB13" s="8"/>
      <c r="AC13" s="8"/>
      <c r="AE13" s="8"/>
      <c r="AG13" s="8"/>
    </row>
    <row r="14" ht="12" customHeight="1">
      <c r="A14" s="11" t="s">
        <v>89</v>
      </c>
      <c r="B14" s="8" t="s">
        <v>466</v>
      </c>
      <c r="C14" s="24">
        <v>1500</v>
      </c>
      <c r="D14" s="8"/>
      <c r="E14" s="24">
        <v>1570</v>
      </c>
      <c r="F14" s="8"/>
      <c r="G14" s="24">
        <v>1586</v>
      </c>
      <c r="H14" s="8"/>
      <c r="I14" s="24">
        <v>1604</v>
      </c>
      <c r="J14" s="8"/>
      <c r="K14" s="24">
        <v>1628</v>
      </c>
      <c r="L14" s="8"/>
      <c r="M14" s="24">
        <v>1693</v>
      </c>
      <c r="N14" s="8"/>
      <c r="O14" s="24">
        <v>1704</v>
      </c>
      <c r="P14" s="8"/>
      <c r="Q14" s="24">
        <v>1715</v>
      </c>
      <c r="R14" s="8"/>
      <c r="S14" s="24">
        <v>1717</v>
      </c>
      <c r="T14" s="8"/>
      <c r="U14" s="24">
        <v>1756</v>
      </c>
      <c r="V14" s="8"/>
      <c r="W14" s="24">
        <v>1754</v>
      </c>
      <c r="X14" s="8"/>
      <c r="Y14" s="24">
        <v>1760</v>
      </c>
      <c r="Z14" s="8"/>
      <c r="AA14" s="24">
        <v>1765</v>
      </c>
      <c r="AB14" s="8"/>
      <c r="AC14" s="8"/>
      <c r="AE14" s="8"/>
      <c r="AG14" s="8"/>
    </row>
    <row r="15" ht="12" customHeight="1">
      <c r="A15" s="8" t="s">
        <v>91</v>
      </c>
      <c r="B15" s="8" t="s">
        <v>467</v>
      </c>
      <c r="C15" s="24">
        <v>1146</v>
      </c>
      <c r="D15" s="8"/>
      <c r="E15" s="24">
        <v>1165</v>
      </c>
      <c r="F15" s="8"/>
      <c r="G15" s="24">
        <v>1189</v>
      </c>
      <c r="H15" s="8"/>
      <c r="I15" s="24">
        <v>1209</v>
      </c>
      <c r="J15" s="8"/>
      <c r="K15" s="24">
        <v>1209</v>
      </c>
      <c r="L15" s="8"/>
      <c r="M15" s="24">
        <v>1222</v>
      </c>
      <c r="N15" s="8"/>
      <c r="O15" s="24">
        <v>1239</v>
      </c>
      <c r="P15" s="8"/>
      <c r="Q15" s="24">
        <v>1251</v>
      </c>
      <c r="R15" s="8"/>
      <c r="S15" s="24">
        <v>1244</v>
      </c>
      <c r="T15" s="8"/>
      <c r="U15" s="24">
        <v>1255</v>
      </c>
      <c r="V15" s="8"/>
      <c r="W15" s="24">
        <v>1249</v>
      </c>
      <c r="X15" s="8"/>
      <c r="Y15" s="24">
        <v>1257</v>
      </c>
      <c r="Z15" s="8"/>
      <c r="AA15" s="24">
        <v>1246</v>
      </c>
      <c r="AB15" s="8"/>
      <c r="AC15" s="8"/>
      <c r="AE15" s="8"/>
      <c r="AG15" s="8"/>
    </row>
    <row r="16" ht="12" customHeight="1">
      <c r="A16" s="8" t="s">
        <v>93</v>
      </c>
      <c r="B16" s="8" t="s">
        <v>468</v>
      </c>
      <c r="C16" s="24">
        <v>1952</v>
      </c>
      <c r="D16" s="8"/>
      <c r="E16" s="24">
        <v>2100</v>
      </c>
      <c r="F16" s="8"/>
      <c r="G16" s="24">
        <v>2102</v>
      </c>
      <c r="H16" s="8"/>
      <c r="I16" s="24">
        <v>2115</v>
      </c>
      <c r="J16" s="8"/>
      <c r="K16" s="24">
        <v>2178</v>
      </c>
      <c r="L16" s="8"/>
      <c r="M16" s="24">
        <v>2322</v>
      </c>
      <c r="N16" s="8"/>
      <c r="O16" s="24">
        <v>2322</v>
      </c>
      <c r="P16" s="8"/>
      <c r="Q16" s="24">
        <v>2330</v>
      </c>
      <c r="R16" s="8"/>
      <c r="S16" s="24">
        <v>2347</v>
      </c>
      <c r="T16" s="8"/>
      <c r="U16" s="24">
        <v>2439</v>
      </c>
      <c r="V16" s="8"/>
      <c r="W16" s="24">
        <v>2445</v>
      </c>
      <c r="X16" s="8"/>
      <c r="Y16" s="24">
        <v>2444</v>
      </c>
      <c r="Z16" s="8"/>
      <c r="AA16" s="24">
        <v>2482</v>
      </c>
      <c r="AB16" s="8"/>
      <c r="AC16" s="8"/>
      <c r="AE16" s="8"/>
      <c r="AG16" s="8"/>
    </row>
    <row r="17" ht="12" customHeight="1">
      <c r="A17" s="11" t="s">
        <v>95</v>
      </c>
      <c r="B17" s="8" t="s">
        <v>469</v>
      </c>
      <c r="C17" s="24">
        <v>1066</v>
      </c>
      <c r="D17" s="8"/>
      <c r="E17" s="24">
        <v>1061</v>
      </c>
      <c r="F17" s="8"/>
      <c r="G17" s="24">
        <v>1094</v>
      </c>
      <c r="H17" s="8"/>
      <c r="I17" s="24">
        <v>1097</v>
      </c>
      <c r="J17" s="8"/>
      <c r="K17" s="24">
        <v>1102</v>
      </c>
      <c r="L17" s="8"/>
      <c r="M17" s="24">
        <v>1100</v>
      </c>
      <c r="N17" s="8"/>
      <c r="O17" s="24">
        <v>1107</v>
      </c>
      <c r="P17" s="8"/>
      <c r="Q17" s="24">
        <v>1105</v>
      </c>
      <c r="R17" s="8"/>
      <c r="S17" s="24">
        <v>1096</v>
      </c>
      <c r="T17" s="8"/>
      <c r="U17" s="24">
        <v>1100</v>
      </c>
      <c r="V17" s="8"/>
      <c r="W17" s="24">
        <v>1101</v>
      </c>
      <c r="X17" s="8"/>
      <c r="Y17" s="24">
        <v>1107</v>
      </c>
      <c r="Z17" s="8"/>
      <c r="AA17" s="24">
        <v>1117</v>
      </c>
      <c r="AB17" s="8"/>
      <c r="AC17" s="8"/>
      <c r="AE17" s="8"/>
      <c r="AG17" s="8"/>
    </row>
    <row r="18" ht="12" customHeight="1">
      <c r="A18" s="8" t="s">
        <v>97</v>
      </c>
      <c r="B18" s="8" t="s">
        <v>470</v>
      </c>
      <c r="C18" s="24">
        <v>1066</v>
      </c>
      <c r="D18" s="8"/>
      <c r="E18" s="24">
        <v>1060</v>
      </c>
      <c r="F18" s="8"/>
      <c r="G18" s="24">
        <v>1095</v>
      </c>
      <c r="H18" s="8"/>
      <c r="I18" s="24">
        <v>1100</v>
      </c>
      <c r="J18" s="8"/>
      <c r="K18" s="24">
        <v>1105</v>
      </c>
      <c r="L18" s="8"/>
      <c r="M18" s="24">
        <v>1104</v>
      </c>
      <c r="N18" s="8"/>
      <c r="O18" s="24">
        <v>1109</v>
      </c>
      <c r="P18" s="8"/>
      <c r="Q18" s="24">
        <v>1109</v>
      </c>
      <c r="R18" s="8"/>
      <c r="S18" s="24">
        <v>1101</v>
      </c>
      <c r="T18" s="8"/>
      <c r="U18" s="24">
        <v>1099</v>
      </c>
      <c r="V18" s="8"/>
      <c r="W18" s="24">
        <v>1107</v>
      </c>
      <c r="X18" s="8"/>
      <c r="Y18" s="24">
        <v>1110</v>
      </c>
      <c r="Z18" s="8"/>
      <c r="AA18" s="24">
        <v>1122</v>
      </c>
      <c r="AB18" s="8"/>
      <c r="AC18" s="8"/>
      <c r="AE18" s="8"/>
      <c r="AG18" s="8"/>
    </row>
    <row r="19" ht="12" customHeight="1">
      <c r="A19" s="8" t="s">
        <v>99</v>
      </c>
      <c r="B19" s="8" t="s">
        <v>471</v>
      </c>
      <c r="C19" s="24">
        <v>1062</v>
      </c>
      <c r="D19" s="8"/>
      <c r="E19" s="24">
        <v>1061</v>
      </c>
      <c r="F19" s="8"/>
      <c r="G19" s="24">
        <v>1086</v>
      </c>
      <c r="H19" s="8"/>
      <c r="I19" s="24">
        <v>1076</v>
      </c>
      <c r="J19" s="8"/>
      <c r="K19" s="24">
        <v>1081</v>
      </c>
      <c r="L19" s="8"/>
      <c r="M19" s="24">
        <v>1073</v>
      </c>
      <c r="N19" s="8"/>
      <c r="O19" s="24">
        <v>1094</v>
      </c>
      <c r="P19" s="8"/>
      <c r="Q19" s="24">
        <v>1080</v>
      </c>
      <c r="R19" s="8"/>
      <c r="S19" s="24">
        <v>1067</v>
      </c>
      <c r="T19" s="8"/>
      <c r="U19" s="24">
        <v>1091</v>
      </c>
      <c r="V19" s="8"/>
      <c r="W19" s="24">
        <v>1066</v>
      </c>
      <c r="X19" s="8"/>
      <c r="Y19" s="24">
        <v>1086</v>
      </c>
      <c r="Z19" s="8"/>
      <c r="AA19" s="24">
        <v>1083</v>
      </c>
      <c r="AB19" s="8"/>
      <c r="AC19" s="8"/>
      <c r="AE19" s="8"/>
      <c r="AG19" s="8"/>
    </row>
    <row r="20" ht="12" customHeight="1">
      <c r="A20" s="11" t="s">
        <v>101</v>
      </c>
      <c r="B20" s="8" t="s">
        <v>472</v>
      </c>
      <c r="C20" s="24">
        <v>1297</v>
      </c>
      <c r="D20" s="8"/>
      <c r="E20" s="24">
        <v>1312</v>
      </c>
      <c r="F20" s="8"/>
      <c r="G20" s="24">
        <v>1331</v>
      </c>
      <c r="H20" s="8"/>
      <c r="I20" s="24">
        <v>1360</v>
      </c>
      <c r="J20" s="8"/>
      <c r="K20" s="24">
        <v>1375</v>
      </c>
      <c r="L20" s="8"/>
      <c r="M20" s="24">
        <v>1387</v>
      </c>
      <c r="N20" s="8"/>
      <c r="O20" s="24">
        <v>1405</v>
      </c>
      <c r="P20" s="8"/>
      <c r="Q20" s="24">
        <v>1447</v>
      </c>
      <c r="R20" s="8"/>
      <c r="S20" s="24">
        <v>1456</v>
      </c>
      <c r="T20" s="8"/>
      <c r="U20" s="24">
        <v>1469</v>
      </c>
      <c r="V20" s="8"/>
      <c r="W20" s="24">
        <v>1488</v>
      </c>
      <c r="X20" s="8"/>
      <c r="Y20" s="24">
        <v>1518</v>
      </c>
      <c r="Z20" s="8"/>
      <c r="AA20" s="24">
        <v>1523</v>
      </c>
      <c r="AB20" s="8"/>
      <c r="AC20" s="8"/>
      <c r="AE20" s="8"/>
      <c r="AG20" s="8"/>
    </row>
    <row r="21" ht="12" customHeight="1">
      <c r="A21" s="8" t="s">
        <v>103</v>
      </c>
      <c r="B21" s="8" t="s">
        <v>473</v>
      </c>
      <c r="C21" s="24">
        <v>1303</v>
      </c>
      <c r="D21" s="8"/>
      <c r="E21" s="24">
        <v>1320</v>
      </c>
      <c r="F21" s="8"/>
      <c r="G21" s="24">
        <v>1337</v>
      </c>
      <c r="H21" s="8"/>
      <c r="I21" s="24">
        <v>1356</v>
      </c>
      <c r="J21" s="8"/>
      <c r="K21" s="24">
        <v>1372</v>
      </c>
      <c r="L21" s="8"/>
      <c r="M21" s="24">
        <v>1390</v>
      </c>
      <c r="N21" s="8"/>
      <c r="O21" s="24">
        <v>1408</v>
      </c>
      <c r="P21" s="8"/>
      <c r="Q21" s="24">
        <v>1422</v>
      </c>
      <c r="R21" s="8"/>
      <c r="S21" s="24">
        <v>1435</v>
      </c>
      <c r="T21" s="8"/>
      <c r="U21" s="24">
        <v>1445</v>
      </c>
      <c r="V21" s="8"/>
      <c r="W21" s="24">
        <v>1457</v>
      </c>
      <c r="X21" s="8"/>
      <c r="Y21" s="24">
        <v>1460</v>
      </c>
      <c r="Z21" s="8"/>
      <c r="AA21" s="24">
        <v>1462</v>
      </c>
      <c r="AB21" s="8"/>
      <c r="AC21" s="8"/>
      <c r="AE21" s="8"/>
      <c r="AG21" s="8"/>
    </row>
    <row r="22" ht="12" customHeight="1">
      <c r="A22" s="8" t="s">
        <v>105</v>
      </c>
      <c r="B22" s="8" t="s">
        <v>474</v>
      </c>
      <c r="C22" s="24">
        <v>1303</v>
      </c>
      <c r="D22" s="8"/>
      <c r="E22" s="24">
        <v>1320</v>
      </c>
      <c r="F22" s="8"/>
      <c r="G22" s="24">
        <v>1337</v>
      </c>
      <c r="H22" s="8"/>
      <c r="I22" s="24">
        <v>1356</v>
      </c>
      <c r="J22" s="8"/>
      <c r="K22" s="24">
        <v>1372</v>
      </c>
      <c r="L22" s="8"/>
      <c r="M22" s="24">
        <v>1390</v>
      </c>
      <c r="N22" s="8"/>
      <c r="O22" s="24">
        <v>1408</v>
      </c>
      <c r="P22" s="8"/>
      <c r="Q22" s="24">
        <v>1422</v>
      </c>
      <c r="R22" s="8"/>
      <c r="S22" s="24">
        <v>1435</v>
      </c>
      <c r="T22" s="8"/>
      <c r="U22" s="24">
        <v>1445</v>
      </c>
      <c r="V22" s="8"/>
      <c r="W22" s="24">
        <v>1457</v>
      </c>
      <c r="X22" s="8"/>
      <c r="Y22" s="24">
        <v>1460</v>
      </c>
      <c r="Z22" s="8"/>
      <c r="AA22" s="24">
        <v>1462</v>
      </c>
      <c r="AB22" s="8"/>
      <c r="AC22" s="8"/>
      <c r="AE22" s="8"/>
      <c r="AG22" s="8"/>
    </row>
    <row r="23" ht="12" customHeight="1">
      <c r="A23" s="8" t="s">
        <v>107</v>
      </c>
      <c r="B23" s="8" t="s">
        <v>475</v>
      </c>
      <c r="C23" s="24">
        <v>1375</v>
      </c>
      <c r="D23" s="8"/>
      <c r="E23" s="24">
        <v>1376</v>
      </c>
      <c r="F23" s="8"/>
      <c r="G23" s="24">
        <v>1398</v>
      </c>
      <c r="H23" s="8"/>
      <c r="I23" s="24">
        <v>1407</v>
      </c>
      <c r="J23" s="8"/>
      <c r="K23" s="24">
        <v>1414</v>
      </c>
      <c r="L23" s="8"/>
      <c r="M23" s="24">
        <v>1416</v>
      </c>
      <c r="N23" s="8"/>
      <c r="O23" s="24">
        <v>1438</v>
      </c>
      <c r="P23" s="8"/>
      <c r="Q23" s="24">
        <v>1451</v>
      </c>
      <c r="R23" s="8"/>
      <c r="S23" s="24">
        <v>1448</v>
      </c>
      <c r="T23" s="8"/>
      <c r="U23" s="24">
        <v>1455</v>
      </c>
      <c r="V23" s="8"/>
      <c r="W23" s="24">
        <v>1460</v>
      </c>
      <c r="X23" s="8"/>
      <c r="Y23" s="24">
        <v>1470</v>
      </c>
      <c r="Z23" s="8"/>
      <c r="AA23" s="24">
        <v>1481</v>
      </c>
      <c r="AB23" s="8"/>
      <c r="AC23" s="8"/>
      <c r="AE23" s="8"/>
      <c r="AG23" s="8"/>
    </row>
    <row r="24" ht="12" customHeight="1">
      <c r="A24" s="8" t="s">
        <v>109</v>
      </c>
      <c r="B24" s="8" t="s">
        <v>476</v>
      </c>
      <c r="C24" s="24">
        <v>1513</v>
      </c>
      <c r="D24" s="8"/>
      <c r="E24" s="24">
        <v>1513</v>
      </c>
      <c r="F24" s="8"/>
      <c r="G24" s="24">
        <v>1514</v>
      </c>
      <c r="H24" s="8"/>
      <c r="I24" s="24">
        <v>1660</v>
      </c>
      <c r="J24" s="8"/>
      <c r="K24" s="24">
        <v>1660</v>
      </c>
      <c r="L24" s="8"/>
      <c r="M24" s="24">
        <v>1661</v>
      </c>
      <c r="N24" s="8"/>
      <c r="O24" s="24">
        <v>1661</v>
      </c>
      <c r="P24" s="8"/>
      <c r="Q24" s="24">
        <v>1864</v>
      </c>
      <c r="R24" s="8"/>
      <c r="S24" s="24">
        <v>1865</v>
      </c>
      <c r="T24" s="8"/>
      <c r="U24" s="24">
        <v>1865</v>
      </c>
      <c r="V24" s="8"/>
      <c r="W24" s="24">
        <v>1865</v>
      </c>
      <c r="X24" s="8"/>
      <c r="Y24" s="24">
        <v>2019</v>
      </c>
      <c r="Z24" s="8"/>
      <c r="AA24" s="24">
        <v>2019</v>
      </c>
      <c r="AB24" s="8"/>
      <c r="AC24" s="8"/>
      <c r="AE24" s="8"/>
      <c r="AG24" s="8"/>
    </row>
    <row r="25" ht="12" customHeight="1">
      <c r="A25" s="8" t="s">
        <v>111</v>
      </c>
      <c r="B25" s="8" t="s">
        <v>477</v>
      </c>
      <c r="C25" s="24">
        <v>1541</v>
      </c>
      <c r="D25" s="8"/>
      <c r="E25" s="24">
        <v>1541</v>
      </c>
      <c r="F25" s="8"/>
      <c r="G25" s="24">
        <v>1541</v>
      </c>
      <c r="H25" s="8"/>
      <c r="I25" s="24">
        <v>1691</v>
      </c>
      <c r="J25" s="8"/>
      <c r="K25" s="24">
        <v>1691</v>
      </c>
      <c r="L25" s="8"/>
      <c r="M25" s="24">
        <v>1691</v>
      </c>
      <c r="N25" s="8"/>
      <c r="O25" s="24">
        <v>1691</v>
      </c>
      <c r="P25" s="8"/>
      <c r="Q25" s="24">
        <v>1902</v>
      </c>
      <c r="R25" s="8"/>
      <c r="S25" s="24">
        <v>1902</v>
      </c>
      <c r="T25" s="8"/>
      <c r="U25" s="24">
        <v>1902</v>
      </c>
      <c r="V25" s="8"/>
      <c r="W25" s="24">
        <v>1902</v>
      </c>
      <c r="X25" s="8"/>
      <c r="Y25" s="24">
        <v>2070</v>
      </c>
      <c r="Z25" s="8"/>
      <c r="AA25" s="24">
        <v>2070</v>
      </c>
      <c r="AB25" s="8"/>
      <c r="AC25" s="8"/>
      <c r="AE25" s="8"/>
      <c r="AG25" s="8"/>
    </row>
    <row r="26" ht="12" customHeight="1">
      <c r="A26" s="8" t="s">
        <v>113</v>
      </c>
      <c r="B26" s="8" t="s">
        <v>478</v>
      </c>
      <c r="C26" s="24">
        <v>1110</v>
      </c>
      <c r="D26" s="8"/>
      <c r="E26" s="24">
        <v>1135</v>
      </c>
      <c r="F26" s="8"/>
      <c r="G26" s="24">
        <v>1166</v>
      </c>
      <c r="H26" s="8"/>
      <c r="I26" s="24">
        <v>1152</v>
      </c>
      <c r="J26" s="8"/>
      <c r="K26" s="24">
        <v>1174</v>
      </c>
      <c r="L26" s="8"/>
      <c r="M26" s="24">
        <v>1179</v>
      </c>
      <c r="N26" s="8"/>
      <c r="O26" s="24">
        <v>1212</v>
      </c>
      <c r="P26" s="8"/>
      <c r="Q26" s="24">
        <v>1222</v>
      </c>
      <c r="R26" s="8"/>
      <c r="S26" s="24">
        <v>1232</v>
      </c>
      <c r="T26" s="8"/>
      <c r="U26" s="24">
        <v>1260</v>
      </c>
      <c r="V26" s="8"/>
      <c r="W26" s="24">
        <v>1321</v>
      </c>
      <c r="X26" s="8"/>
      <c r="Y26" s="24">
        <v>1360</v>
      </c>
      <c r="Z26" s="8"/>
      <c r="AA26" s="24">
        <v>1381</v>
      </c>
      <c r="AB26" s="8"/>
      <c r="AC26" s="8"/>
      <c r="AE26" s="8"/>
      <c r="AG26" s="8"/>
    </row>
    <row r="27" ht="12" customHeight="1">
      <c r="A27" s="8" t="s">
        <v>115</v>
      </c>
      <c r="B27" s="8" t="s">
        <v>479</v>
      </c>
      <c r="C27" s="24">
        <v>1096</v>
      </c>
      <c r="D27" s="8"/>
      <c r="E27" s="24">
        <v>1119</v>
      </c>
      <c r="F27" s="8"/>
      <c r="G27" s="24">
        <v>1149</v>
      </c>
      <c r="H27" s="8"/>
      <c r="I27" s="24">
        <v>1129</v>
      </c>
      <c r="J27" s="8"/>
      <c r="K27" s="24">
        <v>1149</v>
      </c>
      <c r="L27" s="8"/>
      <c r="M27" s="24">
        <v>1155</v>
      </c>
      <c r="N27" s="8"/>
      <c r="O27" s="24">
        <v>1189</v>
      </c>
      <c r="P27" s="8"/>
      <c r="Q27" s="24">
        <v>1196</v>
      </c>
      <c r="R27" s="8"/>
      <c r="S27" s="24">
        <v>1203</v>
      </c>
      <c r="T27" s="8"/>
      <c r="U27" s="24">
        <v>1229</v>
      </c>
      <c r="V27" s="8"/>
      <c r="W27" s="24">
        <v>1291</v>
      </c>
      <c r="X27" s="8"/>
      <c r="Y27" s="24">
        <v>1332</v>
      </c>
      <c r="Z27" s="8"/>
      <c r="AA27" s="24">
        <v>1349</v>
      </c>
      <c r="AB27" s="8"/>
      <c r="AC27" s="8"/>
      <c r="AE27" s="8"/>
      <c r="AG27" s="8"/>
    </row>
    <row r="28" ht="12" customHeight="1">
      <c r="A28" s="11" t="s">
        <v>117</v>
      </c>
      <c r="B28" s="8" t="s">
        <v>480</v>
      </c>
      <c r="C28" s="24">
        <v>1202</v>
      </c>
      <c r="D28" s="8"/>
      <c r="E28" s="24">
        <v>1191</v>
      </c>
      <c r="F28" s="8"/>
      <c r="G28" s="24">
        <v>1226</v>
      </c>
      <c r="H28" s="8"/>
      <c r="I28" s="24">
        <v>1203</v>
      </c>
      <c r="J28" s="8"/>
      <c r="K28" s="24">
        <v>1218</v>
      </c>
      <c r="L28" s="8"/>
      <c r="M28" s="24">
        <v>1192</v>
      </c>
      <c r="N28" s="8"/>
      <c r="O28" s="24">
        <v>1195</v>
      </c>
      <c r="P28" s="8"/>
      <c r="Q28" s="24">
        <v>1195</v>
      </c>
      <c r="R28" s="8"/>
      <c r="S28" s="24">
        <v>1195</v>
      </c>
      <c r="T28" s="8"/>
      <c r="U28" s="24">
        <v>1187</v>
      </c>
      <c r="V28" s="8"/>
      <c r="W28" s="24">
        <v>1192</v>
      </c>
      <c r="X28" s="8"/>
      <c r="Y28" s="24">
        <v>1182</v>
      </c>
      <c r="Z28" s="8"/>
      <c r="AA28" s="24">
        <v>1185</v>
      </c>
      <c r="AB28" s="8"/>
      <c r="AC28" s="8"/>
      <c r="AE28" s="8"/>
      <c r="AG28" s="8"/>
    </row>
    <row r="29" ht="12" customHeight="1">
      <c r="A29" s="8" t="s">
        <v>119</v>
      </c>
      <c r="B29" s="8" t="s">
        <v>481</v>
      </c>
      <c r="C29" s="24">
        <v>1306</v>
      </c>
      <c r="D29" s="8"/>
      <c r="E29" s="24">
        <v>1267</v>
      </c>
      <c r="F29" s="8"/>
      <c r="G29" s="24">
        <v>1302</v>
      </c>
      <c r="H29" s="8"/>
      <c r="I29" s="24">
        <v>1261</v>
      </c>
      <c r="J29" s="8"/>
      <c r="K29" s="24">
        <v>1280</v>
      </c>
      <c r="L29" s="8"/>
      <c r="M29" s="24">
        <v>1208</v>
      </c>
      <c r="N29" s="8"/>
      <c r="O29" s="24">
        <v>1218</v>
      </c>
      <c r="P29" s="8"/>
      <c r="Q29" s="24">
        <v>1231</v>
      </c>
      <c r="R29" s="8"/>
      <c r="S29" s="24">
        <v>1256</v>
      </c>
      <c r="T29" s="8"/>
      <c r="U29" s="24">
        <v>1241</v>
      </c>
      <c r="V29" s="8"/>
      <c r="W29" s="24">
        <v>1221</v>
      </c>
      <c r="X29" s="8"/>
      <c r="Y29" s="24">
        <v>1195</v>
      </c>
      <c r="Z29" s="8"/>
      <c r="AA29" s="24">
        <v>1247</v>
      </c>
      <c r="AB29" s="8"/>
      <c r="AC29" s="8"/>
      <c r="AE29" s="8"/>
      <c r="AG29" s="8"/>
    </row>
    <row r="30" ht="12" customHeight="1">
      <c r="A30" s="8" t="s">
        <v>121</v>
      </c>
      <c r="B30" s="8" t="s">
        <v>482</v>
      </c>
      <c r="C30" s="24">
        <v>1097</v>
      </c>
      <c r="D30" s="8"/>
      <c r="E30" s="24">
        <v>1116</v>
      </c>
      <c r="F30" s="8"/>
      <c r="G30" s="24">
        <v>1113</v>
      </c>
      <c r="H30" s="8"/>
      <c r="I30" s="24">
        <v>1086</v>
      </c>
      <c r="J30" s="8"/>
      <c r="K30" s="24">
        <v>1144</v>
      </c>
      <c r="L30" s="8"/>
      <c r="M30" s="24">
        <v>1125</v>
      </c>
      <c r="N30" s="8"/>
      <c r="O30" s="24">
        <v>1207</v>
      </c>
      <c r="P30" s="8"/>
      <c r="Q30" s="24">
        <v>1176</v>
      </c>
      <c r="R30" s="8"/>
      <c r="S30" s="24">
        <v>1097</v>
      </c>
      <c r="T30" s="8"/>
      <c r="U30" s="24">
        <v>1144</v>
      </c>
      <c r="V30" s="8"/>
      <c r="W30" s="24">
        <v>1186</v>
      </c>
      <c r="X30" s="8"/>
      <c r="Y30" s="24">
        <v>1174</v>
      </c>
      <c r="Z30" s="8"/>
      <c r="AA30" s="24">
        <v>1150</v>
      </c>
      <c r="AB30" s="8"/>
      <c r="AC30" s="8"/>
      <c r="AE30" s="8"/>
      <c r="AG30" s="8"/>
    </row>
    <row r="31" ht="12" customHeight="1">
      <c r="A31" s="8" t="s">
        <v>123</v>
      </c>
      <c r="B31" s="8" t="s">
        <v>483</v>
      </c>
      <c r="C31" s="24">
        <v>1148</v>
      </c>
      <c r="D31" s="8"/>
      <c r="E31" s="24">
        <v>1135</v>
      </c>
      <c r="F31" s="8"/>
      <c r="G31" s="24">
        <v>1181</v>
      </c>
      <c r="H31" s="8"/>
      <c r="I31" s="24">
        <v>1166</v>
      </c>
      <c r="J31" s="8"/>
      <c r="K31" s="24">
        <v>1158</v>
      </c>
      <c r="L31" s="8"/>
      <c r="M31" s="24">
        <v>1147</v>
      </c>
      <c r="N31" s="8"/>
      <c r="O31" s="24">
        <v>1138</v>
      </c>
      <c r="P31" s="8"/>
      <c r="Q31" s="24">
        <v>1125</v>
      </c>
      <c r="R31" s="8"/>
      <c r="S31" s="24">
        <v>1132</v>
      </c>
      <c r="T31" s="8"/>
      <c r="U31" s="24">
        <v>1114</v>
      </c>
      <c r="V31" s="8"/>
      <c r="W31" s="24">
        <v>1122</v>
      </c>
      <c r="X31" s="8"/>
      <c r="Y31" s="24">
        <v>1116</v>
      </c>
      <c r="Z31" s="8"/>
      <c r="AA31" s="24">
        <v>1116</v>
      </c>
      <c r="AB31" s="8"/>
      <c r="AC31" s="8"/>
      <c r="AE31" s="8"/>
      <c r="AG31" s="8"/>
    </row>
    <row r="32" ht="12" customHeight="1">
      <c r="A32" s="8" t="s">
        <v>125</v>
      </c>
      <c r="B32" s="8" t="s">
        <v>484</v>
      </c>
      <c r="C32" s="24">
        <v>1138</v>
      </c>
      <c r="D32" s="8"/>
      <c r="E32" s="24">
        <v>1088</v>
      </c>
      <c r="F32" s="8"/>
      <c r="G32" s="24">
        <v>1120</v>
      </c>
      <c r="H32" s="8"/>
      <c r="I32" s="24">
        <v>1098</v>
      </c>
      <c r="J32" s="8"/>
      <c r="K32" s="24">
        <v>1182</v>
      </c>
      <c r="L32" s="8"/>
      <c r="M32" s="24">
        <v>1153</v>
      </c>
      <c r="N32" s="8"/>
      <c r="O32" s="24">
        <v>1135</v>
      </c>
      <c r="P32" s="8"/>
      <c r="Q32" s="24">
        <v>1108</v>
      </c>
      <c r="R32" s="8"/>
      <c r="S32" s="24">
        <v>1126</v>
      </c>
      <c r="T32" s="8"/>
      <c r="U32" s="24">
        <v>1146</v>
      </c>
      <c r="V32" s="8"/>
      <c r="W32" s="24">
        <v>1131</v>
      </c>
      <c r="X32" s="8"/>
      <c r="Y32" s="24">
        <v>1121</v>
      </c>
      <c r="Z32" s="8"/>
      <c r="AA32" s="24">
        <v>1095</v>
      </c>
      <c r="AB32" s="8"/>
      <c r="AC32" s="8"/>
      <c r="AE32" s="8"/>
      <c r="AG32" s="8"/>
    </row>
    <row r="33" ht="12" customHeight="1">
      <c r="A33" s="8" t="s">
        <v>127</v>
      </c>
      <c r="B33" s="8" t="s">
        <v>485</v>
      </c>
      <c r="C33" s="24">
        <v>1135</v>
      </c>
      <c r="D33" s="8"/>
      <c r="E33" s="24">
        <v>1144</v>
      </c>
      <c r="F33" s="8"/>
      <c r="G33" s="24">
        <v>1190</v>
      </c>
      <c r="H33" s="8"/>
      <c r="I33" s="24">
        <v>1191</v>
      </c>
      <c r="J33" s="8"/>
      <c r="K33" s="24">
        <v>1188</v>
      </c>
      <c r="L33" s="8"/>
      <c r="M33" s="24">
        <v>1200</v>
      </c>
      <c r="N33" s="8"/>
      <c r="O33" s="24">
        <v>1150</v>
      </c>
      <c r="P33" s="8"/>
      <c r="Q33" s="24">
        <v>1141</v>
      </c>
      <c r="R33" s="8"/>
      <c r="S33" s="24">
        <v>1142</v>
      </c>
      <c r="T33" s="8"/>
      <c r="U33" s="24">
        <v>1130</v>
      </c>
      <c r="V33" s="8"/>
      <c r="W33" s="24">
        <v>1135</v>
      </c>
      <c r="X33" s="8"/>
      <c r="Y33" s="24">
        <v>1135</v>
      </c>
      <c r="Z33" s="8"/>
      <c r="AA33" s="24">
        <v>1111</v>
      </c>
      <c r="AB33" s="8"/>
      <c r="AC33" s="8"/>
      <c r="AE33" s="8"/>
      <c r="AG33" s="8"/>
    </row>
    <row r="34" ht="12" customHeight="1">
      <c r="A34" s="8" t="s">
        <v>129</v>
      </c>
      <c r="B34" s="8" t="s">
        <v>486</v>
      </c>
      <c r="C34" s="24">
        <v>1192</v>
      </c>
      <c r="D34" s="8"/>
      <c r="E34" s="24">
        <v>1218</v>
      </c>
      <c r="F34" s="8"/>
      <c r="G34" s="24">
        <v>1252</v>
      </c>
      <c r="H34" s="8"/>
      <c r="I34" s="24">
        <v>1240</v>
      </c>
      <c r="J34" s="8"/>
      <c r="K34" s="24">
        <v>1231</v>
      </c>
      <c r="L34" s="8"/>
      <c r="M34" s="24">
        <v>1236</v>
      </c>
      <c r="N34" s="8"/>
      <c r="O34" s="24">
        <v>1240</v>
      </c>
      <c r="P34" s="8"/>
      <c r="Q34" s="24">
        <v>1259</v>
      </c>
      <c r="R34" s="8"/>
      <c r="S34" s="24">
        <v>1244</v>
      </c>
      <c r="T34" s="8"/>
      <c r="U34" s="24">
        <v>1230</v>
      </c>
      <c r="V34" s="8"/>
      <c r="W34" s="24">
        <v>1250</v>
      </c>
      <c r="X34" s="8"/>
      <c r="Y34" s="24">
        <v>1245</v>
      </c>
      <c r="Z34" s="8"/>
      <c r="AA34" s="24">
        <v>1241</v>
      </c>
      <c r="AB34" s="8"/>
      <c r="AC34" s="8"/>
      <c r="AE34" s="8"/>
      <c r="AG34" s="8"/>
    </row>
    <row r="35" ht="12" customHeight="1">
      <c r="A35" s="11" t="s">
        <v>131</v>
      </c>
      <c r="B35" s="8" t="s">
        <v>487</v>
      </c>
      <c r="C35" s="24">
        <v>1154</v>
      </c>
      <c r="D35" s="8"/>
      <c r="E35" s="24">
        <v>1160</v>
      </c>
      <c r="F35" s="8"/>
      <c r="G35" s="24">
        <v>1174</v>
      </c>
      <c r="H35" s="8"/>
      <c r="I35" s="24">
        <v>1119</v>
      </c>
      <c r="J35" s="8"/>
      <c r="K35" s="24">
        <v>1144</v>
      </c>
      <c r="L35" s="8"/>
      <c r="M35" s="24">
        <v>1165</v>
      </c>
      <c r="N35" s="8"/>
      <c r="O35" s="24">
        <v>1167</v>
      </c>
      <c r="P35" s="8"/>
      <c r="Q35" s="24">
        <v>1252</v>
      </c>
      <c r="R35" s="8"/>
      <c r="S35" s="24">
        <v>1242</v>
      </c>
      <c r="T35" s="8"/>
      <c r="U35" s="24">
        <v>1246</v>
      </c>
      <c r="V35" s="8"/>
      <c r="W35" s="24">
        <v>1247</v>
      </c>
      <c r="X35" s="8"/>
      <c r="Y35" s="24">
        <v>1248</v>
      </c>
      <c r="Z35" s="8"/>
      <c r="AA35" s="24">
        <v>1243</v>
      </c>
      <c r="AB35" s="8"/>
      <c r="AC35" s="8"/>
      <c r="AE35" s="8"/>
      <c r="AG35" s="8"/>
    </row>
    <row r="36" ht="12" customHeight="1">
      <c r="A36" s="8" t="s">
        <v>133</v>
      </c>
      <c r="B36" s="8" t="s">
        <v>488</v>
      </c>
      <c r="C36" s="24">
        <v>1038</v>
      </c>
      <c r="D36" s="8"/>
      <c r="E36" s="24">
        <v>1041</v>
      </c>
      <c r="F36" s="8"/>
      <c r="G36" s="24">
        <v>1051</v>
      </c>
      <c r="H36" s="8"/>
      <c r="I36" s="24">
        <v>824</v>
      </c>
      <c r="J36" s="8"/>
      <c r="K36" s="24">
        <v>826</v>
      </c>
      <c r="L36" s="8"/>
      <c r="M36" s="24">
        <v>825</v>
      </c>
      <c r="N36" s="8"/>
      <c r="O36" s="24">
        <v>828</v>
      </c>
      <c r="P36" s="8"/>
      <c r="Q36" s="24">
        <v>1072</v>
      </c>
      <c r="R36" s="8"/>
      <c r="S36" s="24">
        <v>995</v>
      </c>
      <c r="T36" s="8"/>
      <c r="U36" s="24">
        <v>996</v>
      </c>
      <c r="V36" s="8"/>
      <c r="W36" s="24">
        <v>990</v>
      </c>
      <c r="X36" s="8"/>
      <c r="Y36" s="24">
        <v>958</v>
      </c>
      <c r="Z36" s="8"/>
      <c r="AA36" s="24">
        <v>929</v>
      </c>
      <c r="AB36" s="8"/>
      <c r="AC36" s="8"/>
      <c r="AE36" s="8"/>
      <c r="AG36" s="8"/>
    </row>
    <row r="37" ht="12" customHeight="1">
      <c r="A37" s="8" t="s">
        <v>135</v>
      </c>
      <c r="B37" s="8" t="s">
        <v>489</v>
      </c>
      <c r="C37" s="24">
        <v>1200</v>
      </c>
      <c r="D37" s="8"/>
      <c r="E37" s="24">
        <v>1206</v>
      </c>
      <c r="F37" s="8"/>
      <c r="G37" s="24">
        <v>1220</v>
      </c>
      <c r="H37" s="8"/>
      <c r="I37" s="24">
        <v>1236</v>
      </c>
      <c r="J37" s="8"/>
      <c r="K37" s="24">
        <v>1269</v>
      </c>
      <c r="L37" s="8"/>
      <c r="M37" s="24">
        <v>1299</v>
      </c>
      <c r="N37" s="8"/>
      <c r="O37" s="24">
        <v>1300</v>
      </c>
      <c r="P37" s="8"/>
      <c r="Q37" s="24">
        <v>1315</v>
      </c>
      <c r="R37" s="8"/>
      <c r="S37" s="24">
        <v>1332</v>
      </c>
      <c r="T37" s="8"/>
      <c r="U37" s="24">
        <v>1338</v>
      </c>
      <c r="V37" s="8"/>
      <c r="W37" s="24">
        <v>1343</v>
      </c>
      <c r="X37" s="8"/>
      <c r="Y37" s="24">
        <v>1365</v>
      </c>
      <c r="Z37" s="8"/>
      <c r="AA37" s="24">
        <v>1376</v>
      </c>
      <c r="AB37" s="8"/>
      <c r="AC37" s="8"/>
      <c r="AE37" s="8"/>
      <c r="AG37" s="8"/>
    </row>
    <row r="38" ht="12" customHeight="1">
      <c r="A38" s="8" t="s">
        <v>137</v>
      </c>
      <c r="B38" s="8" t="s">
        <v>490</v>
      </c>
      <c r="C38" s="24">
        <v>1376</v>
      </c>
      <c r="D38" s="8"/>
      <c r="E38" s="24">
        <v>1400</v>
      </c>
      <c r="F38" s="8"/>
      <c r="G38" s="24">
        <v>1433</v>
      </c>
      <c r="H38" s="8"/>
      <c r="I38" s="24">
        <v>1490</v>
      </c>
      <c r="J38" s="8"/>
      <c r="K38" s="24">
        <v>1563</v>
      </c>
      <c r="L38" s="8"/>
      <c r="M38" s="24">
        <v>1590</v>
      </c>
      <c r="N38" s="8"/>
      <c r="O38" s="24">
        <v>1603</v>
      </c>
      <c r="P38" s="8"/>
      <c r="Q38" s="24">
        <v>1718</v>
      </c>
      <c r="R38" s="8"/>
      <c r="S38" s="24">
        <v>1740</v>
      </c>
      <c r="T38" s="8"/>
      <c r="U38" s="24">
        <v>1741</v>
      </c>
      <c r="V38" s="8"/>
      <c r="W38" s="24">
        <v>1756</v>
      </c>
      <c r="X38" s="8"/>
      <c r="Y38" s="24">
        <v>1782</v>
      </c>
      <c r="Z38" s="8"/>
      <c r="AA38" s="24">
        <v>1800</v>
      </c>
      <c r="AB38" s="8"/>
      <c r="AC38" s="8"/>
      <c r="AE38" s="8"/>
      <c r="AG38" s="8"/>
    </row>
    <row r="39" ht="12" customHeight="1">
      <c r="A39" s="11" t="s">
        <v>139</v>
      </c>
      <c r="B39" s="8" t="s">
        <v>491</v>
      </c>
      <c r="C39" s="24">
        <v>1134</v>
      </c>
      <c r="D39" s="8"/>
      <c r="E39" s="24">
        <v>1116</v>
      </c>
      <c r="F39" s="8"/>
      <c r="G39" s="24">
        <v>1097</v>
      </c>
      <c r="H39" s="8"/>
      <c r="I39" s="24">
        <v>1190</v>
      </c>
      <c r="J39" s="8"/>
      <c r="K39" s="24">
        <v>1189</v>
      </c>
      <c r="L39" s="8"/>
      <c r="M39" s="24">
        <v>1162</v>
      </c>
      <c r="N39" s="8"/>
      <c r="O39" s="24">
        <v>1166</v>
      </c>
      <c r="P39" s="8"/>
      <c r="Q39" s="24">
        <v>1135</v>
      </c>
      <c r="R39" s="8"/>
      <c r="S39" s="24">
        <v>1146</v>
      </c>
      <c r="T39" s="8"/>
      <c r="U39" s="24">
        <v>1165</v>
      </c>
      <c r="V39" s="8"/>
      <c r="W39" s="24">
        <v>1149</v>
      </c>
      <c r="X39" s="8"/>
      <c r="Y39" s="24">
        <v>1155</v>
      </c>
      <c r="Z39" s="8"/>
      <c r="AA39" s="24">
        <v>1177</v>
      </c>
      <c r="AB39" s="8"/>
      <c r="AC39" s="8"/>
      <c r="AE39" s="8"/>
      <c r="AG39" s="8"/>
    </row>
    <row r="40" ht="12" customHeight="1">
      <c r="A40" s="8" t="s">
        <v>141</v>
      </c>
      <c r="B40" s="8" t="s">
        <v>492</v>
      </c>
      <c r="C40" s="24">
        <v>1072</v>
      </c>
      <c r="D40" s="8"/>
      <c r="E40" s="24">
        <v>1083</v>
      </c>
      <c r="F40" s="8"/>
      <c r="G40" s="24">
        <v>1096</v>
      </c>
      <c r="H40" s="8"/>
      <c r="I40" s="24">
        <v>1124</v>
      </c>
      <c r="J40" s="8"/>
      <c r="K40" s="24">
        <v>1100</v>
      </c>
      <c r="L40" s="8"/>
      <c r="M40" s="24">
        <v>1087</v>
      </c>
      <c r="N40" s="8"/>
      <c r="O40" s="24">
        <v>1057</v>
      </c>
      <c r="P40" s="8"/>
      <c r="Q40" s="24">
        <v>1037</v>
      </c>
      <c r="R40" s="8"/>
      <c r="S40" s="24">
        <v>1059</v>
      </c>
      <c r="T40" s="8"/>
      <c r="U40" s="24">
        <v>1062</v>
      </c>
      <c r="V40" s="8"/>
      <c r="W40" s="24">
        <v>1071</v>
      </c>
      <c r="X40" s="8"/>
      <c r="Y40" s="24">
        <v>1071</v>
      </c>
      <c r="Z40" s="8"/>
      <c r="AA40" s="24">
        <v>1073</v>
      </c>
      <c r="AB40" s="8"/>
      <c r="AC40" s="8"/>
      <c r="AE40" s="8"/>
      <c r="AG40" s="8"/>
    </row>
    <row r="41" ht="12" customHeight="1">
      <c r="A41" s="8" t="s">
        <v>143</v>
      </c>
      <c r="B41" s="8" t="s">
        <v>493</v>
      </c>
      <c r="C41" s="24">
        <v>1105</v>
      </c>
      <c r="D41" s="8"/>
      <c r="E41" s="24">
        <v>1085</v>
      </c>
      <c r="F41" s="8"/>
      <c r="G41" s="24">
        <v>1074</v>
      </c>
      <c r="H41" s="8"/>
      <c r="I41" s="24">
        <v>1205</v>
      </c>
      <c r="J41" s="8"/>
      <c r="K41" s="24">
        <v>1211</v>
      </c>
      <c r="L41" s="8"/>
      <c r="M41" s="24">
        <v>1194</v>
      </c>
      <c r="N41" s="8"/>
      <c r="O41" s="24">
        <v>1215</v>
      </c>
      <c r="P41" s="8"/>
      <c r="Q41" s="24">
        <v>1165</v>
      </c>
      <c r="R41" s="8"/>
      <c r="S41" s="24">
        <v>1155</v>
      </c>
      <c r="T41" s="8"/>
      <c r="U41" s="24">
        <v>1190</v>
      </c>
      <c r="V41" s="8"/>
      <c r="W41" s="24">
        <v>1170</v>
      </c>
      <c r="X41" s="8"/>
      <c r="Y41" s="24">
        <v>1175</v>
      </c>
      <c r="Z41" s="8"/>
      <c r="AA41" s="24">
        <v>1195</v>
      </c>
      <c r="AB41" s="8"/>
      <c r="AC41" s="8"/>
      <c r="AE41" s="8"/>
      <c r="AG41" s="8"/>
    </row>
    <row r="42" ht="12" customHeight="1">
      <c r="A42" s="8" t="s">
        <v>145</v>
      </c>
      <c r="B42" s="8" t="s">
        <v>494</v>
      </c>
      <c r="C42" s="24">
        <v>1194</v>
      </c>
      <c r="D42" s="8"/>
      <c r="E42" s="24">
        <v>1163</v>
      </c>
      <c r="F42" s="8"/>
      <c r="G42" s="24">
        <v>1146</v>
      </c>
      <c r="H42" s="8"/>
      <c r="I42" s="24">
        <v>1335</v>
      </c>
      <c r="J42" s="8"/>
      <c r="K42" s="24">
        <v>1336</v>
      </c>
      <c r="L42" s="8"/>
      <c r="M42" s="24">
        <v>1304</v>
      </c>
      <c r="N42" s="8"/>
      <c r="O42" s="24">
        <v>1313</v>
      </c>
      <c r="P42" s="8"/>
      <c r="Q42" s="24">
        <v>1233</v>
      </c>
      <c r="R42" s="8"/>
      <c r="S42" s="24">
        <v>1217</v>
      </c>
      <c r="T42" s="8"/>
      <c r="U42" s="24">
        <v>1273</v>
      </c>
      <c r="V42" s="8"/>
      <c r="W42" s="24">
        <v>1213</v>
      </c>
      <c r="X42" s="8"/>
      <c r="Y42" s="24">
        <v>1214</v>
      </c>
      <c r="Z42" s="8"/>
      <c r="AA42" s="24">
        <v>1244</v>
      </c>
      <c r="AB42" s="8"/>
      <c r="AC42" s="8"/>
      <c r="AE42" s="8"/>
      <c r="AG42" s="8"/>
    </row>
    <row r="43" ht="12" customHeight="1">
      <c r="A43" s="8" t="s">
        <v>147</v>
      </c>
      <c r="B43" s="8" t="s">
        <v>495</v>
      </c>
      <c r="C43" s="24">
        <v>1392</v>
      </c>
      <c r="D43" s="8"/>
      <c r="E43" s="24">
        <v>1332</v>
      </c>
      <c r="F43" s="8"/>
      <c r="G43" s="24">
        <v>1221</v>
      </c>
      <c r="H43" s="8"/>
      <c r="I43" s="24">
        <v>1258</v>
      </c>
      <c r="J43" s="8"/>
      <c r="K43" s="24">
        <v>1260</v>
      </c>
      <c r="L43" s="8"/>
      <c r="M43" s="24">
        <v>1175</v>
      </c>
      <c r="N43" s="8"/>
      <c r="O43" s="24">
        <v>1158</v>
      </c>
      <c r="P43" s="8"/>
      <c r="Q43" s="24">
        <v>1190</v>
      </c>
      <c r="R43" s="8"/>
      <c r="S43" s="24">
        <v>1275</v>
      </c>
      <c r="T43" s="8"/>
      <c r="U43" s="24">
        <v>1232</v>
      </c>
      <c r="V43" s="8"/>
      <c r="W43" s="24">
        <v>1202</v>
      </c>
      <c r="X43" s="8"/>
      <c r="Y43" s="24">
        <v>1219</v>
      </c>
      <c r="Z43" s="8"/>
      <c r="AA43" s="24">
        <v>1288</v>
      </c>
      <c r="AB43" s="8"/>
      <c r="AC43" s="8"/>
      <c r="AE43" s="8"/>
      <c r="AG43" s="8"/>
    </row>
    <row r="44" ht="12" customHeight="1">
      <c r="A44" s="11" t="s">
        <v>149</v>
      </c>
      <c r="B44" s="8" t="s">
        <v>496</v>
      </c>
      <c r="C44" s="24">
        <v>883</v>
      </c>
      <c r="D44" s="8"/>
      <c r="E44" s="24">
        <v>886</v>
      </c>
      <c r="F44" s="8"/>
      <c r="G44" s="24">
        <v>892</v>
      </c>
      <c r="H44" s="8"/>
      <c r="I44" s="24">
        <v>908</v>
      </c>
      <c r="J44" s="8"/>
      <c r="K44" s="24">
        <v>921</v>
      </c>
      <c r="L44" s="8"/>
      <c r="M44" s="24">
        <v>927</v>
      </c>
      <c r="N44" s="8"/>
      <c r="O44" s="24">
        <v>933</v>
      </c>
      <c r="P44" s="8"/>
      <c r="Q44" s="24">
        <v>943</v>
      </c>
      <c r="R44" s="8"/>
      <c r="S44" s="24">
        <v>964</v>
      </c>
      <c r="T44" s="8"/>
      <c r="U44" s="24">
        <v>969</v>
      </c>
      <c r="V44" s="8"/>
      <c r="W44" s="24">
        <v>970</v>
      </c>
      <c r="X44" s="8"/>
      <c r="Y44" s="24">
        <v>976</v>
      </c>
      <c r="Z44" s="8"/>
      <c r="AA44" s="24">
        <v>1013</v>
      </c>
      <c r="AB44" s="8"/>
      <c r="AC44" s="8"/>
      <c r="AE44" s="8"/>
      <c r="AG44" s="8"/>
    </row>
    <row r="45" ht="12" customHeight="1">
      <c r="A45" s="8" t="s">
        <v>151</v>
      </c>
      <c r="B45" s="8" t="s">
        <v>497</v>
      </c>
      <c r="C45" s="24">
        <v>1426</v>
      </c>
      <c r="D45" s="8"/>
      <c r="E45" s="24">
        <v>1440</v>
      </c>
      <c r="F45" s="8"/>
      <c r="G45" s="24">
        <v>1425</v>
      </c>
      <c r="H45" s="8"/>
      <c r="I45" s="24">
        <v>1517</v>
      </c>
      <c r="J45" s="8"/>
      <c r="K45" s="24">
        <v>1533</v>
      </c>
      <c r="L45" s="8"/>
      <c r="M45" s="24">
        <v>1508</v>
      </c>
      <c r="N45" s="8"/>
      <c r="O45" s="24">
        <v>1501</v>
      </c>
      <c r="P45" s="8"/>
      <c r="Q45" s="24">
        <v>1533</v>
      </c>
      <c r="R45" s="8"/>
      <c r="S45" s="24">
        <v>1529</v>
      </c>
      <c r="T45" s="8"/>
      <c r="U45" s="24">
        <v>1523</v>
      </c>
      <c r="V45" s="8"/>
      <c r="W45" s="24">
        <v>1538</v>
      </c>
      <c r="X45" s="8"/>
      <c r="Y45" s="24">
        <v>1653</v>
      </c>
      <c r="Z45" s="8"/>
      <c r="AA45" s="24">
        <v>1657</v>
      </c>
      <c r="AB45" s="8"/>
      <c r="AC45" s="8"/>
      <c r="AE45" s="8"/>
      <c r="AG45" s="8"/>
    </row>
    <row r="46" ht="12" customHeight="1">
      <c r="A46" s="8" t="s">
        <v>153</v>
      </c>
      <c r="B46" s="8" t="s">
        <v>498</v>
      </c>
      <c r="C46" s="24">
        <v>323</v>
      </c>
      <c r="D46" s="8"/>
      <c r="E46" s="24">
        <v>327</v>
      </c>
      <c r="F46" s="8"/>
      <c r="G46" s="24">
        <v>295</v>
      </c>
      <c r="H46" s="8"/>
      <c r="I46" s="24">
        <v>276</v>
      </c>
      <c r="J46" s="8"/>
      <c r="K46" s="24">
        <v>320</v>
      </c>
      <c r="L46" s="8"/>
      <c r="M46" s="24">
        <v>311</v>
      </c>
      <c r="N46" s="8"/>
      <c r="O46" s="24">
        <v>337</v>
      </c>
      <c r="P46" s="8"/>
      <c r="Q46" s="24">
        <v>286</v>
      </c>
      <c r="R46" s="8"/>
      <c r="S46" s="24">
        <v>285</v>
      </c>
      <c r="T46" s="8"/>
      <c r="U46" s="24">
        <v>270</v>
      </c>
      <c r="V46" s="8"/>
      <c r="W46" s="24">
        <v>251</v>
      </c>
      <c r="X46" s="8"/>
      <c r="Y46" s="24">
        <v>242</v>
      </c>
      <c r="Z46" s="8"/>
      <c r="AA46" s="24">
        <v>270</v>
      </c>
      <c r="AB46" s="8"/>
      <c r="AC46" s="8"/>
      <c r="AE46" s="8"/>
      <c r="AG46" s="8"/>
    </row>
    <row r="47" ht="12" customHeight="1">
      <c r="A47" s="8" t="s">
        <v>155</v>
      </c>
      <c r="B47" s="8" t="s">
        <v>499</v>
      </c>
      <c r="C47" s="24">
        <v>912</v>
      </c>
      <c r="D47" s="8"/>
      <c r="E47" s="24">
        <v>914</v>
      </c>
      <c r="F47" s="8"/>
      <c r="G47" s="24">
        <v>922</v>
      </c>
      <c r="H47" s="8"/>
      <c r="I47" s="24">
        <v>938</v>
      </c>
      <c r="J47" s="8"/>
      <c r="K47" s="24">
        <v>950</v>
      </c>
      <c r="L47" s="8"/>
      <c r="M47" s="24">
        <v>958</v>
      </c>
      <c r="N47" s="8"/>
      <c r="O47" s="24">
        <v>964</v>
      </c>
      <c r="P47" s="8"/>
      <c r="Q47" s="24">
        <v>976</v>
      </c>
      <c r="R47" s="8"/>
      <c r="S47" s="24">
        <v>999</v>
      </c>
      <c r="T47" s="8"/>
      <c r="U47" s="24">
        <v>1016</v>
      </c>
      <c r="V47" s="8"/>
      <c r="W47" s="24">
        <v>1030</v>
      </c>
      <c r="X47" s="8"/>
      <c r="Y47" s="24">
        <v>1040</v>
      </c>
      <c r="Z47" s="8"/>
      <c r="AA47" s="24">
        <v>1070</v>
      </c>
      <c r="AB47" s="8"/>
      <c r="AC47" s="8"/>
      <c r="AE47" s="8"/>
      <c r="AG47" s="8"/>
    </row>
    <row r="48" ht="12" customHeight="1">
      <c r="A48" s="11" t="s">
        <v>157</v>
      </c>
      <c r="B48" s="8" t="s">
        <v>500</v>
      </c>
      <c r="C48" s="24">
        <v>1125</v>
      </c>
      <c r="D48" s="8"/>
      <c r="E48" s="24">
        <v>1136</v>
      </c>
      <c r="F48" s="8"/>
      <c r="G48" s="24">
        <v>1148</v>
      </c>
      <c r="H48" s="8"/>
      <c r="I48" s="24">
        <v>1160</v>
      </c>
      <c r="J48" s="8"/>
      <c r="K48" s="24">
        <v>1181</v>
      </c>
      <c r="L48" s="8"/>
      <c r="M48" s="24">
        <v>1204</v>
      </c>
      <c r="N48" s="8"/>
      <c r="O48" s="24">
        <v>1192</v>
      </c>
      <c r="P48" s="8"/>
      <c r="Q48" s="24">
        <v>1196</v>
      </c>
      <c r="R48" s="8"/>
      <c r="S48" s="24">
        <v>1221</v>
      </c>
      <c r="T48" s="8"/>
      <c r="U48" s="24">
        <v>1216</v>
      </c>
      <c r="V48" s="8"/>
      <c r="W48" s="24">
        <v>1223</v>
      </c>
      <c r="X48" s="8"/>
      <c r="Y48" s="24">
        <v>1234</v>
      </c>
      <c r="Z48" s="8"/>
      <c r="AA48" s="24">
        <v>1252</v>
      </c>
      <c r="AB48" s="8"/>
      <c r="AC48" s="8"/>
      <c r="AE48" s="8"/>
      <c r="AG48" s="8"/>
    </row>
    <row r="49" ht="12" customHeight="1">
      <c r="A49" s="8" t="s">
        <v>159</v>
      </c>
      <c r="B49" s="8" t="s">
        <v>501</v>
      </c>
      <c r="C49" s="24">
        <v>451</v>
      </c>
      <c r="D49" s="8"/>
      <c r="E49" s="24">
        <v>430</v>
      </c>
      <c r="F49" s="8"/>
      <c r="G49" s="24">
        <v>365</v>
      </c>
      <c r="H49" s="8"/>
      <c r="I49" s="24">
        <v>378</v>
      </c>
      <c r="J49" s="8"/>
      <c r="K49" s="24">
        <v>412</v>
      </c>
      <c r="L49" s="8"/>
      <c r="M49" s="24">
        <v>374</v>
      </c>
      <c r="N49" s="8"/>
      <c r="O49" s="24">
        <v>333</v>
      </c>
      <c r="P49" s="8"/>
      <c r="Q49" s="24">
        <v>344</v>
      </c>
      <c r="R49" s="8"/>
      <c r="S49" s="24">
        <v>371</v>
      </c>
      <c r="T49" s="8"/>
      <c r="U49" s="24">
        <v>348</v>
      </c>
      <c r="V49" s="8"/>
      <c r="W49" s="24">
        <v>308</v>
      </c>
      <c r="X49" s="8"/>
      <c r="Y49" s="24">
        <v>314</v>
      </c>
      <c r="Z49" s="8"/>
      <c r="AA49" s="24">
        <v>339</v>
      </c>
      <c r="AB49" s="8"/>
      <c r="AC49" s="8"/>
      <c r="AE49" s="8"/>
      <c r="AG49" s="8"/>
    </row>
    <row r="50" ht="12" customHeight="1">
      <c r="A50" s="8" t="s">
        <v>161</v>
      </c>
      <c r="B50" s="8" t="s">
        <v>502</v>
      </c>
      <c r="C50" s="24">
        <v>1405</v>
      </c>
      <c r="D50" s="8"/>
      <c r="E50" s="24">
        <v>1423</v>
      </c>
      <c r="F50" s="8"/>
      <c r="G50" s="24">
        <v>1420</v>
      </c>
      <c r="H50" s="8"/>
      <c r="I50" s="24">
        <v>1432</v>
      </c>
      <c r="J50" s="8"/>
      <c r="K50" s="24">
        <v>1428</v>
      </c>
      <c r="L50" s="8"/>
      <c r="M50" s="24">
        <v>1433</v>
      </c>
      <c r="N50" s="8"/>
      <c r="O50" s="24">
        <v>1439</v>
      </c>
      <c r="P50" s="8"/>
      <c r="Q50" s="24">
        <v>1442</v>
      </c>
      <c r="R50" s="8"/>
      <c r="S50" s="24">
        <v>1455</v>
      </c>
      <c r="T50" s="8"/>
      <c r="U50" s="24">
        <v>1466</v>
      </c>
      <c r="V50" s="8"/>
      <c r="W50" s="24">
        <v>1492</v>
      </c>
      <c r="X50" s="8"/>
      <c r="Y50" s="24">
        <v>1487</v>
      </c>
      <c r="Z50" s="8"/>
      <c r="AA50" s="24">
        <v>1498</v>
      </c>
      <c r="AB50" s="8"/>
      <c r="AC50" s="8"/>
      <c r="AE50" s="8"/>
      <c r="AG50" s="8"/>
    </row>
    <row r="51" ht="12" customHeight="1">
      <c r="A51" s="8" t="s">
        <v>163</v>
      </c>
      <c r="B51" s="8" t="s">
        <v>503</v>
      </c>
      <c r="C51" s="24">
        <v>1239</v>
      </c>
      <c r="D51" s="8"/>
      <c r="E51" s="24">
        <v>1254</v>
      </c>
      <c r="F51" s="8"/>
      <c r="G51" s="24">
        <v>1299</v>
      </c>
      <c r="H51" s="8"/>
      <c r="I51" s="24">
        <v>1300</v>
      </c>
      <c r="J51" s="8"/>
      <c r="K51" s="24">
        <v>1305</v>
      </c>
      <c r="L51" s="8"/>
      <c r="M51" s="24">
        <v>1316</v>
      </c>
      <c r="N51" s="8"/>
      <c r="O51" s="24">
        <v>1287</v>
      </c>
      <c r="P51" s="8"/>
      <c r="Q51" s="24">
        <v>1309</v>
      </c>
      <c r="R51" s="8"/>
      <c r="S51" s="24">
        <v>1328</v>
      </c>
      <c r="T51" s="8"/>
      <c r="U51" s="24">
        <v>1314</v>
      </c>
      <c r="V51" s="8"/>
      <c r="W51" s="24">
        <v>1286</v>
      </c>
      <c r="X51" s="8"/>
      <c r="Y51" s="24">
        <v>1302</v>
      </c>
      <c r="Z51" s="8"/>
      <c r="AA51" s="24">
        <v>1312</v>
      </c>
      <c r="AB51" s="8"/>
      <c r="AC51" s="8"/>
      <c r="AE51" s="8"/>
      <c r="AG51" s="8"/>
    </row>
    <row r="52" ht="12" customHeight="1">
      <c r="A52" s="8" t="s">
        <v>165</v>
      </c>
      <c r="B52" s="8" t="s">
        <v>504</v>
      </c>
      <c r="C52" s="24">
        <v>1073</v>
      </c>
      <c r="D52" s="8"/>
      <c r="E52" s="24">
        <v>1087</v>
      </c>
      <c r="F52" s="8"/>
      <c r="G52" s="24">
        <v>1107</v>
      </c>
      <c r="H52" s="8"/>
      <c r="I52" s="24">
        <v>1117</v>
      </c>
      <c r="J52" s="8"/>
      <c r="K52" s="24">
        <v>1144</v>
      </c>
      <c r="L52" s="8"/>
      <c r="M52" s="24">
        <v>1180</v>
      </c>
      <c r="N52" s="8"/>
      <c r="O52" s="24">
        <v>1218</v>
      </c>
      <c r="P52" s="8"/>
      <c r="Q52" s="24">
        <v>1210</v>
      </c>
      <c r="R52" s="8"/>
      <c r="S52" s="24">
        <v>1219</v>
      </c>
      <c r="T52" s="8"/>
      <c r="U52" s="24">
        <v>1224</v>
      </c>
      <c r="V52" s="8"/>
      <c r="W52" s="24">
        <v>1297</v>
      </c>
      <c r="X52" s="8"/>
      <c r="Y52" s="24">
        <v>1302</v>
      </c>
      <c r="Z52" s="8"/>
      <c r="AA52" s="24">
        <v>1303</v>
      </c>
      <c r="AB52" s="8"/>
      <c r="AC52" s="8"/>
      <c r="AE52" s="8"/>
      <c r="AG52" s="8"/>
    </row>
    <row r="53" ht="12" customHeight="1">
      <c r="A53" s="8" t="s">
        <v>167</v>
      </c>
      <c r="B53" s="8" t="s">
        <v>505</v>
      </c>
      <c r="C53" s="24">
        <v>1413</v>
      </c>
      <c r="D53" s="8"/>
      <c r="E53" s="24">
        <v>1433</v>
      </c>
      <c r="F53" s="8"/>
      <c r="G53" s="24">
        <v>1462</v>
      </c>
      <c r="H53" s="8"/>
      <c r="I53" s="24">
        <v>1498</v>
      </c>
      <c r="J53" s="8"/>
      <c r="K53" s="24">
        <v>1509</v>
      </c>
      <c r="L53" s="8"/>
      <c r="M53" s="24">
        <v>1517</v>
      </c>
      <c r="N53" s="8"/>
      <c r="O53" s="24">
        <v>1538</v>
      </c>
      <c r="P53" s="8"/>
      <c r="Q53" s="24">
        <v>1547</v>
      </c>
      <c r="R53" s="8"/>
      <c r="S53" s="24">
        <v>1574</v>
      </c>
      <c r="T53" s="8"/>
      <c r="U53" s="24">
        <v>1564</v>
      </c>
      <c r="V53" s="8"/>
      <c r="W53" s="24">
        <v>1565</v>
      </c>
      <c r="X53" s="8"/>
      <c r="Y53" s="24">
        <v>1598</v>
      </c>
      <c r="Z53" s="8"/>
      <c r="AA53" s="24">
        <v>1616</v>
      </c>
      <c r="AB53" s="8"/>
      <c r="AC53" s="8"/>
      <c r="AE53" s="8"/>
      <c r="AG53" s="8"/>
    </row>
    <row r="54" ht="12" customHeight="1">
      <c r="A54" s="8" t="s">
        <v>169</v>
      </c>
      <c r="B54" s="8" t="s">
        <v>506</v>
      </c>
      <c r="C54" s="24">
        <v>1611</v>
      </c>
      <c r="D54" s="8"/>
      <c r="E54" s="24">
        <v>1645</v>
      </c>
      <c r="F54" s="8"/>
      <c r="G54" s="24">
        <v>1637</v>
      </c>
      <c r="H54" s="8"/>
      <c r="I54" s="24">
        <v>1663</v>
      </c>
      <c r="J54" s="8"/>
      <c r="K54" s="24">
        <v>1693</v>
      </c>
      <c r="L54" s="8"/>
      <c r="M54" s="24">
        <v>1807</v>
      </c>
      <c r="N54" s="8"/>
      <c r="O54" s="24">
        <v>1708</v>
      </c>
      <c r="P54" s="8"/>
      <c r="Q54" s="24">
        <v>1694</v>
      </c>
      <c r="R54" s="8"/>
      <c r="S54" s="24">
        <v>1767</v>
      </c>
      <c r="T54" s="8"/>
      <c r="U54" s="24">
        <v>1803</v>
      </c>
      <c r="V54" s="8"/>
      <c r="W54" s="24">
        <v>1813</v>
      </c>
      <c r="X54" s="8"/>
      <c r="Y54" s="24">
        <v>1821</v>
      </c>
      <c r="Z54" s="8"/>
      <c r="AA54" s="24">
        <v>1886</v>
      </c>
      <c r="AB54" s="8"/>
      <c r="AC54" s="8"/>
      <c r="AE54" s="8"/>
      <c r="AG54" s="8"/>
    </row>
    <row r="55" ht="12" customHeight="1">
      <c r="A55" s="11" t="s">
        <v>171</v>
      </c>
      <c r="B55" s="8" t="s">
        <v>507</v>
      </c>
      <c r="C55" s="24">
        <v>1049</v>
      </c>
      <c r="D55" s="8"/>
      <c r="E55" s="24">
        <v>1078</v>
      </c>
      <c r="F55" s="8"/>
      <c r="G55" s="24">
        <v>1078</v>
      </c>
      <c r="H55" s="8"/>
      <c r="I55" s="24">
        <v>1089</v>
      </c>
      <c r="J55" s="8"/>
      <c r="K55" s="24">
        <v>1089</v>
      </c>
      <c r="L55" s="8"/>
      <c r="M55" s="24">
        <v>1122</v>
      </c>
      <c r="N55" s="8"/>
      <c r="O55" s="24">
        <v>1122</v>
      </c>
      <c r="P55" s="8"/>
      <c r="Q55" s="24">
        <v>1066</v>
      </c>
      <c r="R55" s="8"/>
      <c r="S55" s="24">
        <v>1066</v>
      </c>
      <c r="T55" s="8"/>
      <c r="U55" s="24">
        <v>1185</v>
      </c>
      <c r="V55" s="8"/>
      <c r="W55" s="24">
        <v>1185</v>
      </c>
      <c r="X55" s="8"/>
      <c r="Y55" s="24">
        <v>1192</v>
      </c>
      <c r="Z55" s="8"/>
      <c r="AA55" s="24">
        <v>1192</v>
      </c>
      <c r="AB55" s="8"/>
      <c r="AC55" s="8"/>
      <c r="AE55" s="8"/>
      <c r="AG55" s="8"/>
    </row>
    <row r="56" ht="12" customHeight="1">
      <c r="A56" s="8" t="s">
        <v>173</v>
      </c>
      <c r="B56" s="8" t="s">
        <v>508</v>
      </c>
      <c r="C56" s="24">
        <v>1227</v>
      </c>
      <c r="D56" s="8"/>
      <c r="E56" s="24">
        <v>1227</v>
      </c>
      <c r="F56" s="8"/>
      <c r="G56" s="24">
        <v>1227</v>
      </c>
      <c r="H56" s="8"/>
      <c r="I56" s="24">
        <v>1268</v>
      </c>
      <c r="J56" s="8"/>
      <c r="K56" s="24">
        <v>1268</v>
      </c>
      <c r="L56" s="8"/>
      <c r="M56" s="24">
        <v>1268</v>
      </c>
      <c r="N56" s="8"/>
      <c r="O56" s="24">
        <v>1268</v>
      </c>
      <c r="P56" s="8"/>
      <c r="Q56" s="24">
        <v>1053</v>
      </c>
      <c r="R56" s="8"/>
      <c r="S56" s="24">
        <v>1053</v>
      </c>
      <c r="T56" s="8"/>
      <c r="U56" s="24">
        <v>1053</v>
      </c>
      <c r="V56" s="8"/>
      <c r="W56" s="24">
        <v>1053</v>
      </c>
      <c r="X56" s="8"/>
      <c r="Y56" s="24">
        <v>1078</v>
      </c>
      <c r="Z56" s="8"/>
      <c r="AA56" s="24">
        <v>1078</v>
      </c>
      <c r="AB56" s="8"/>
      <c r="AC56" s="8"/>
      <c r="AE56" s="8"/>
      <c r="AG56" s="8"/>
    </row>
    <row r="57" ht="12" customHeight="1">
      <c r="A57" s="8" t="s">
        <v>175</v>
      </c>
      <c r="B57" s="8" t="s">
        <v>509</v>
      </c>
      <c r="C57" s="24">
        <v>1118</v>
      </c>
      <c r="D57" s="8"/>
      <c r="E57" s="24">
        <v>1131</v>
      </c>
      <c r="F57" s="8"/>
      <c r="G57" s="24">
        <v>1131</v>
      </c>
      <c r="H57" s="8"/>
      <c r="I57" s="24">
        <v>1131</v>
      </c>
      <c r="J57" s="8"/>
      <c r="K57" s="24">
        <v>1131</v>
      </c>
      <c r="L57" s="8"/>
      <c r="M57" s="24">
        <v>1157</v>
      </c>
      <c r="N57" s="8"/>
      <c r="O57" s="24">
        <v>1157</v>
      </c>
      <c r="P57" s="8"/>
      <c r="Q57" s="24">
        <v>1157</v>
      </c>
      <c r="R57" s="8"/>
      <c r="S57" s="24">
        <v>1157</v>
      </c>
      <c r="T57" s="8"/>
      <c r="U57" s="24">
        <v>1204</v>
      </c>
      <c r="V57" s="8"/>
      <c r="W57" s="24">
        <v>1204</v>
      </c>
      <c r="X57" s="8"/>
      <c r="Y57" s="24">
        <v>1204</v>
      </c>
      <c r="Z57" s="8"/>
      <c r="AA57" s="24">
        <v>1204</v>
      </c>
      <c r="AB57" s="8"/>
      <c r="AC57" s="8"/>
      <c r="AE57" s="8"/>
      <c r="AG57" s="8"/>
    </row>
    <row r="58" ht="12" customHeight="1">
      <c r="A58" s="8" t="s">
        <v>177</v>
      </c>
      <c r="B58" s="8" t="s">
        <v>510</v>
      </c>
      <c r="C58" s="24">
        <v>949</v>
      </c>
      <c r="D58" s="8"/>
      <c r="E58" s="24">
        <v>1004</v>
      </c>
      <c r="F58" s="8"/>
      <c r="G58" s="24">
        <v>1004</v>
      </c>
      <c r="H58" s="8"/>
      <c r="I58" s="24">
        <v>1004</v>
      </c>
      <c r="J58" s="8"/>
      <c r="K58" s="24">
        <v>1004</v>
      </c>
      <c r="L58" s="8"/>
      <c r="M58" s="24">
        <v>1059</v>
      </c>
      <c r="N58" s="8"/>
      <c r="O58" s="24">
        <v>1059</v>
      </c>
      <c r="P58" s="8"/>
      <c r="Q58" s="24">
        <v>1059</v>
      </c>
      <c r="R58" s="8"/>
      <c r="S58" s="24">
        <v>1059</v>
      </c>
      <c r="T58" s="8"/>
      <c r="U58" s="24">
        <v>1299</v>
      </c>
      <c r="V58" s="8"/>
      <c r="W58" s="24">
        <v>1299</v>
      </c>
      <c r="X58" s="8"/>
      <c r="Y58" s="24">
        <v>1299</v>
      </c>
      <c r="Z58" s="8"/>
      <c r="AA58" s="24">
        <v>1299</v>
      </c>
      <c r="AB58" s="8"/>
      <c r="AC58" s="8"/>
      <c r="AE58" s="8"/>
      <c r="AG58" s="8"/>
    </row>
    <row r="59" ht="12" customHeight="1">
      <c r="A59" s="8" t="s">
        <v>179</v>
      </c>
      <c r="B59" s="8" t="s">
        <v>511</v>
      </c>
      <c r="C59" s="24">
        <v>1099</v>
      </c>
      <c r="D59" s="8"/>
      <c r="E59" s="24">
        <v>1160</v>
      </c>
      <c r="F59" s="8"/>
      <c r="G59" s="24">
        <v>1160</v>
      </c>
      <c r="H59" s="8"/>
      <c r="I59" s="24">
        <v>1160</v>
      </c>
      <c r="J59" s="8"/>
      <c r="K59" s="24">
        <v>1160</v>
      </c>
      <c r="L59" s="8"/>
      <c r="M59" s="24">
        <v>1220</v>
      </c>
      <c r="N59" s="8"/>
      <c r="O59" s="24">
        <v>1220</v>
      </c>
      <c r="P59" s="8"/>
      <c r="Q59" s="24">
        <v>1220</v>
      </c>
      <c r="R59" s="8"/>
      <c r="S59" s="24">
        <v>1220</v>
      </c>
      <c r="T59" s="8"/>
      <c r="U59" s="24">
        <v>1282</v>
      </c>
      <c r="V59" s="8"/>
      <c r="W59" s="24">
        <v>1282</v>
      </c>
      <c r="X59" s="8"/>
      <c r="Y59" s="24">
        <v>1282</v>
      </c>
      <c r="Z59" s="8"/>
      <c r="AA59" s="24">
        <v>1282</v>
      </c>
      <c r="AB59" s="8"/>
      <c r="AC59" s="8"/>
      <c r="AE59" s="8"/>
      <c r="AG59" s="8"/>
    </row>
    <row r="60" ht="12" customHeight="1">
      <c r="A60" s="11" t="s">
        <v>181</v>
      </c>
      <c r="B60" s="8" t="s">
        <v>512</v>
      </c>
      <c r="C60" s="24">
        <v>1299</v>
      </c>
      <c r="D60" s="8"/>
      <c r="E60" s="24">
        <v>1327</v>
      </c>
      <c r="F60" s="8"/>
      <c r="G60" s="24">
        <v>1369</v>
      </c>
      <c r="H60" s="8"/>
      <c r="I60" s="24">
        <v>1404</v>
      </c>
      <c r="J60" s="8"/>
      <c r="K60" s="24">
        <v>1438</v>
      </c>
      <c r="L60" s="8"/>
      <c r="M60" s="24">
        <v>1483</v>
      </c>
      <c r="N60" s="8"/>
      <c r="O60" s="24">
        <v>1522</v>
      </c>
      <c r="P60" s="8"/>
      <c r="Q60" s="24">
        <v>1549</v>
      </c>
      <c r="R60" s="8"/>
      <c r="S60" s="24">
        <v>1573</v>
      </c>
      <c r="T60" s="8"/>
      <c r="U60" s="24">
        <v>1590</v>
      </c>
      <c r="V60" s="8"/>
      <c r="W60" s="24">
        <v>1608</v>
      </c>
      <c r="X60" s="8"/>
      <c r="Y60" s="24">
        <v>1615</v>
      </c>
      <c r="Z60" s="8"/>
      <c r="AA60" s="24">
        <v>1620</v>
      </c>
      <c r="AB60" s="8"/>
      <c r="AC60" s="8"/>
      <c r="AE60" s="8"/>
      <c r="AG60" s="8"/>
    </row>
    <row r="61" ht="12" customHeight="1">
      <c r="A61" s="8" t="s">
        <v>183</v>
      </c>
      <c r="B61" s="8" t="s">
        <v>513</v>
      </c>
      <c r="C61" s="24">
        <v>1142</v>
      </c>
      <c r="D61" s="8"/>
      <c r="E61" s="24">
        <v>1165</v>
      </c>
      <c r="F61" s="8"/>
      <c r="G61" s="24">
        <v>1190</v>
      </c>
      <c r="H61" s="8"/>
      <c r="I61" s="24">
        <v>1184</v>
      </c>
      <c r="J61" s="8"/>
      <c r="K61" s="24">
        <v>1169</v>
      </c>
      <c r="L61" s="8"/>
      <c r="M61" s="24">
        <v>1173</v>
      </c>
      <c r="N61" s="8"/>
      <c r="O61" s="24">
        <v>1169</v>
      </c>
      <c r="P61" s="8"/>
      <c r="Q61" s="24">
        <v>1162</v>
      </c>
      <c r="R61" s="8"/>
      <c r="S61" s="24">
        <v>1162</v>
      </c>
      <c r="T61" s="8"/>
      <c r="U61" s="24">
        <v>1167</v>
      </c>
      <c r="V61" s="8"/>
      <c r="W61" s="24">
        <v>1179</v>
      </c>
      <c r="X61" s="8"/>
      <c r="Y61" s="24">
        <v>1182</v>
      </c>
      <c r="Z61" s="8"/>
      <c r="AA61" s="24">
        <v>1181</v>
      </c>
      <c r="AB61" s="8"/>
      <c r="AC61" s="8"/>
      <c r="AE61" s="8"/>
      <c r="AG61" s="8"/>
    </row>
    <row r="62" ht="12" customHeight="1">
      <c r="A62" s="8" t="s">
        <v>185</v>
      </c>
      <c r="B62" s="8" t="s">
        <v>514</v>
      </c>
      <c r="C62" s="24">
        <v>1243</v>
      </c>
      <c r="D62" s="8"/>
      <c r="E62" s="24">
        <v>1240</v>
      </c>
      <c r="F62" s="8"/>
      <c r="G62" s="24">
        <v>1254</v>
      </c>
      <c r="H62" s="8"/>
      <c r="I62" s="24">
        <v>1277</v>
      </c>
      <c r="J62" s="8"/>
      <c r="K62" s="24">
        <v>1294</v>
      </c>
      <c r="L62" s="8"/>
      <c r="M62" s="24">
        <v>1311</v>
      </c>
      <c r="N62" s="8"/>
      <c r="O62" s="24">
        <v>1352</v>
      </c>
      <c r="P62" s="8"/>
      <c r="Q62" s="24">
        <v>1380</v>
      </c>
      <c r="R62" s="8"/>
      <c r="S62" s="24">
        <v>1409</v>
      </c>
      <c r="T62" s="8"/>
      <c r="U62" s="24">
        <v>1416</v>
      </c>
      <c r="V62" s="8"/>
      <c r="W62" s="24">
        <v>1460</v>
      </c>
      <c r="X62" s="8"/>
      <c r="Y62" s="24">
        <v>1476</v>
      </c>
      <c r="Z62" s="8"/>
      <c r="AA62" s="24">
        <v>1533</v>
      </c>
      <c r="AB62" s="8"/>
      <c r="AC62" s="8"/>
      <c r="AE62" s="8"/>
      <c r="AG62" s="8"/>
    </row>
    <row r="63" ht="12" customHeight="1">
      <c r="A63" s="8" t="s">
        <v>187</v>
      </c>
      <c r="B63" s="8" t="s">
        <v>515</v>
      </c>
      <c r="C63" s="24">
        <v>1368</v>
      </c>
      <c r="D63" s="8"/>
      <c r="E63" s="24">
        <v>1402</v>
      </c>
      <c r="F63" s="8"/>
      <c r="G63" s="24">
        <v>1461</v>
      </c>
      <c r="H63" s="8"/>
      <c r="I63" s="24">
        <v>1526</v>
      </c>
      <c r="J63" s="8"/>
      <c r="K63" s="24">
        <v>1593</v>
      </c>
      <c r="L63" s="8"/>
      <c r="M63" s="24">
        <v>1670</v>
      </c>
      <c r="N63" s="8"/>
      <c r="O63" s="24">
        <v>1739</v>
      </c>
      <c r="P63" s="8"/>
      <c r="Q63" s="24">
        <v>1789</v>
      </c>
      <c r="R63" s="8"/>
      <c r="S63" s="24">
        <v>1831</v>
      </c>
      <c r="T63" s="8"/>
      <c r="U63" s="24">
        <v>1856</v>
      </c>
      <c r="V63" s="8"/>
      <c r="W63" s="24">
        <v>1877</v>
      </c>
      <c r="X63" s="8"/>
      <c r="Y63" s="24">
        <v>1888</v>
      </c>
      <c r="Z63" s="8"/>
      <c r="AA63" s="24">
        <v>1893</v>
      </c>
      <c r="AB63" s="8"/>
      <c r="AC63" s="8"/>
      <c r="AE63" s="8"/>
      <c r="AG63" s="8"/>
    </row>
    <row r="64" ht="12" customHeight="1">
      <c r="A64" s="8" t="s">
        <v>189</v>
      </c>
      <c r="B64" s="8" t="s">
        <v>516</v>
      </c>
      <c r="C64" s="24">
        <v>707</v>
      </c>
      <c r="D64" s="8"/>
      <c r="E64" s="24">
        <v>701</v>
      </c>
      <c r="F64" s="8"/>
      <c r="G64" s="24">
        <v>701</v>
      </c>
      <c r="H64" s="8"/>
      <c r="I64" s="24">
        <v>701</v>
      </c>
      <c r="J64" s="8"/>
      <c r="K64" s="24">
        <v>701</v>
      </c>
      <c r="L64" s="8"/>
      <c r="M64" s="24">
        <v>701</v>
      </c>
      <c r="N64" s="8"/>
      <c r="O64" s="24">
        <v>701</v>
      </c>
      <c r="P64" s="8"/>
      <c r="Q64" s="24">
        <v>681</v>
      </c>
      <c r="R64" s="8"/>
      <c r="S64" s="24">
        <v>674</v>
      </c>
      <c r="T64" s="8"/>
      <c r="U64" s="24">
        <v>674</v>
      </c>
      <c r="V64" s="8"/>
      <c r="W64" s="24">
        <v>670</v>
      </c>
      <c r="X64" s="8"/>
      <c r="Y64" s="24">
        <v>669</v>
      </c>
      <c r="Z64" s="8"/>
      <c r="AA64" s="24">
        <v>669</v>
      </c>
      <c r="AB64" s="8"/>
      <c r="AC64" s="8"/>
      <c r="AE64" s="8"/>
      <c r="AG64" s="8"/>
    </row>
    <row r="65" ht="12" customHeight="1">
      <c r="A65" s="8" t="s">
        <v>191</v>
      </c>
      <c r="B65" s="8" t="s">
        <v>517</v>
      </c>
      <c r="C65" s="24">
        <v>1359</v>
      </c>
      <c r="D65" s="8"/>
      <c r="E65" s="24">
        <v>1374</v>
      </c>
      <c r="F65" s="8"/>
      <c r="G65" s="24">
        <v>1391</v>
      </c>
      <c r="H65" s="8"/>
      <c r="I65" s="24">
        <v>1409</v>
      </c>
      <c r="J65" s="8"/>
      <c r="K65" s="24">
        <v>1417</v>
      </c>
      <c r="L65" s="8"/>
      <c r="M65" s="24">
        <v>1426</v>
      </c>
      <c r="N65" s="8"/>
      <c r="O65" s="24">
        <v>1442</v>
      </c>
      <c r="P65" s="8"/>
      <c r="Q65" s="24">
        <v>1447</v>
      </c>
      <c r="R65" s="8"/>
      <c r="S65" s="24">
        <v>1457</v>
      </c>
      <c r="T65" s="8"/>
      <c r="U65" s="24">
        <v>1464</v>
      </c>
      <c r="V65" s="8"/>
      <c r="W65" s="24">
        <v>1483</v>
      </c>
      <c r="X65" s="8"/>
      <c r="Y65" s="24">
        <v>1477</v>
      </c>
      <c r="Z65" s="8"/>
      <c r="AA65" s="24">
        <v>1478</v>
      </c>
      <c r="AB65" s="8"/>
      <c r="AC65" s="8"/>
      <c r="AE65" s="8"/>
      <c r="AG65" s="8"/>
    </row>
    <row r="66" ht="12" customHeight="1">
      <c r="A66" s="11" t="s">
        <v>193</v>
      </c>
      <c r="B66" s="8" t="s">
        <v>518</v>
      </c>
      <c r="C66" s="24">
        <v>1438</v>
      </c>
      <c r="D66" s="8"/>
      <c r="E66" s="24">
        <v>1536</v>
      </c>
      <c r="F66" s="8"/>
      <c r="G66" s="24">
        <v>1593</v>
      </c>
      <c r="H66" s="8"/>
      <c r="I66" s="24">
        <v>1723</v>
      </c>
      <c r="J66" s="8"/>
      <c r="K66" s="24">
        <v>1884</v>
      </c>
      <c r="L66" s="8"/>
      <c r="M66" s="24">
        <v>1967</v>
      </c>
      <c r="N66" s="8"/>
      <c r="O66" s="24">
        <v>2010</v>
      </c>
      <c r="P66" s="8"/>
      <c r="Q66" s="24">
        <v>2031</v>
      </c>
      <c r="R66" s="8"/>
      <c r="S66" s="24">
        <v>2020</v>
      </c>
      <c r="T66" s="8"/>
      <c r="U66" s="24">
        <v>1982</v>
      </c>
      <c r="V66" s="8"/>
      <c r="W66" s="24">
        <v>1863</v>
      </c>
      <c r="X66" s="8"/>
      <c r="Y66" s="24">
        <v>1751</v>
      </c>
      <c r="Z66" s="8"/>
      <c r="AA66" s="24">
        <v>1684</v>
      </c>
      <c r="AB66" s="8"/>
      <c r="AC66" s="8"/>
      <c r="AE66" s="8"/>
      <c r="AG66" s="8"/>
    </row>
    <row r="67" ht="12" customHeight="1">
      <c r="A67" s="8" t="s">
        <v>195</v>
      </c>
      <c r="B67" s="8" t="s">
        <v>519</v>
      </c>
      <c r="C67" s="24">
        <v>1438</v>
      </c>
      <c r="D67" s="8"/>
      <c r="E67" s="24">
        <v>1536</v>
      </c>
      <c r="F67" s="8"/>
      <c r="G67" s="24">
        <v>1593</v>
      </c>
      <c r="H67" s="8"/>
      <c r="I67" s="24">
        <v>1723</v>
      </c>
      <c r="J67" s="8"/>
      <c r="K67" s="24">
        <v>1884</v>
      </c>
      <c r="L67" s="8"/>
      <c r="M67" s="24">
        <v>1967</v>
      </c>
      <c r="N67" s="8"/>
      <c r="O67" s="24">
        <v>2010</v>
      </c>
      <c r="P67" s="8"/>
      <c r="Q67" s="24">
        <v>2031</v>
      </c>
      <c r="R67" s="8"/>
      <c r="S67" s="24">
        <v>2020</v>
      </c>
      <c r="T67" s="8"/>
      <c r="U67" s="24">
        <v>1982</v>
      </c>
      <c r="V67" s="8"/>
      <c r="W67" s="24">
        <v>1863</v>
      </c>
      <c r="X67" s="8"/>
      <c r="Y67" s="24">
        <v>1751</v>
      </c>
      <c r="Z67" s="8"/>
      <c r="AA67" s="24">
        <v>1684</v>
      </c>
      <c r="AB67" s="8"/>
      <c r="AC67" s="8"/>
      <c r="AE67" s="8"/>
      <c r="AG67" s="8"/>
    </row>
    <row r="68" ht="12" customHeight="1">
      <c r="A68" s="13" t="s">
        <v>69</v>
      </c>
      <c r="B68" s="10" t="s">
        <v>50</v>
      </c>
      <c r="C68" s="25">
        <v>1231</v>
      </c>
      <c r="D68" s="10"/>
      <c r="E68" s="25">
        <v>1252</v>
      </c>
      <c r="F68" s="10"/>
      <c r="G68" s="25">
        <v>1270</v>
      </c>
      <c r="H68" s="10"/>
      <c r="I68" s="25">
        <v>1298</v>
      </c>
      <c r="J68" s="10"/>
      <c r="K68" s="25">
        <v>1310</v>
      </c>
      <c r="L68" s="10"/>
      <c r="M68" s="25">
        <v>1322</v>
      </c>
      <c r="N68" s="10"/>
      <c r="O68" s="25">
        <v>1331</v>
      </c>
      <c r="P68" s="10"/>
      <c r="Q68" s="25">
        <v>1347</v>
      </c>
      <c r="R68" s="10"/>
      <c r="S68" s="25">
        <v>1354</v>
      </c>
      <c r="T68" s="10"/>
      <c r="U68" s="25">
        <v>1369</v>
      </c>
      <c r="V68" s="10"/>
      <c r="W68" s="25">
        <v>1376</v>
      </c>
      <c r="X68" s="10"/>
      <c r="Y68" s="25">
        <v>1390</v>
      </c>
      <c r="Z68" s="10"/>
      <c r="AA68" s="25">
        <v>1394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520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459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460</v>
      </c>
      <c r="C8" s="22">
        <v>2</v>
      </c>
      <c r="D8" s="22"/>
      <c r="E8" s="22">
        <v>4.0999999999999996</v>
      </c>
      <c r="F8" s="22"/>
      <c r="G8" s="22">
        <v>2</v>
      </c>
      <c r="H8" s="22"/>
      <c r="I8" s="22">
        <v>0.80000000000000004</v>
      </c>
      <c r="J8" s="22"/>
      <c r="K8" s="22">
        <v>-1.3</v>
      </c>
      <c r="L8" s="22"/>
      <c r="M8" s="22">
        <v>0.5</v>
      </c>
      <c r="N8" s="22"/>
      <c r="O8" s="22">
        <v>-0.20000000000000001</v>
      </c>
      <c r="P8" s="22"/>
      <c r="Q8" s="22">
        <v>1.3999999999999999</v>
      </c>
      <c r="R8" s="22"/>
      <c r="S8" s="22">
        <v>-0.5</v>
      </c>
      <c r="T8" s="22"/>
      <c r="U8" s="22">
        <v>2</v>
      </c>
      <c r="V8" s="22"/>
      <c r="W8" s="22">
        <v>1.7</v>
      </c>
      <c r="X8" s="22"/>
      <c r="Y8" s="22">
        <v>1.8</v>
      </c>
      <c r="Z8" s="22"/>
      <c r="AA8" s="22">
        <v>-0.90000000000000002</v>
      </c>
      <c r="AB8" s="22"/>
      <c r="AC8" s="22"/>
    </row>
    <row r="9" ht="12" customHeight="1">
      <c r="A9" s="8" t="s">
        <v>79</v>
      </c>
      <c r="B9" s="8" t="s">
        <v>461</v>
      </c>
      <c r="C9" s="26">
        <v>-4.2000000000000002</v>
      </c>
      <c r="D9" s="8"/>
      <c r="E9" s="26">
        <v>9.6999999999999993</v>
      </c>
      <c r="F9" s="8"/>
      <c r="G9" s="26">
        <v>-1.3</v>
      </c>
      <c r="H9" s="8"/>
      <c r="I9" s="26">
        <v>1.2</v>
      </c>
      <c r="J9" s="8"/>
      <c r="K9" s="26">
        <v>-5.9000000000000004</v>
      </c>
      <c r="L9" s="8"/>
      <c r="M9" s="26">
        <v>-1.1000000000000001</v>
      </c>
      <c r="N9" s="8"/>
      <c r="O9" s="26">
        <v>-7.2999999999999998</v>
      </c>
      <c r="P9" s="8"/>
      <c r="Q9" s="26">
        <v>4.5999999999999996</v>
      </c>
      <c r="R9" s="8"/>
      <c r="S9" s="26">
        <v>-4.5999999999999996</v>
      </c>
      <c r="T9" s="8"/>
      <c r="U9" s="26">
        <v>1.5</v>
      </c>
      <c r="V9" s="8"/>
      <c r="W9" s="26">
        <v>3</v>
      </c>
      <c r="X9" s="8"/>
      <c r="Y9" s="26">
        <v>8.4000000000000004</v>
      </c>
      <c r="Z9" s="8"/>
      <c r="AA9" s="26">
        <v>-8.4000000000000004</v>
      </c>
      <c r="AB9" s="8"/>
      <c r="AC9" s="8"/>
    </row>
    <row r="10" ht="12" customHeight="1">
      <c r="A10" s="8" t="s">
        <v>81</v>
      </c>
      <c r="B10" s="8" t="s">
        <v>462</v>
      </c>
      <c r="C10" s="26">
        <v>4.4000000000000004</v>
      </c>
      <c r="D10" s="8"/>
      <c r="E10" s="26">
        <v>1.3</v>
      </c>
      <c r="F10" s="8"/>
      <c r="G10" s="26">
        <v>1.8999999999999999</v>
      </c>
      <c r="H10" s="8"/>
      <c r="I10" s="26">
        <v>0.20000000000000001</v>
      </c>
      <c r="J10" s="8"/>
      <c r="K10" s="26">
        <v>-0.90000000000000002</v>
      </c>
      <c r="L10" s="8"/>
      <c r="M10" s="26">
        <v>-0.59999999999999998</v>
      </c>
      <c r="N10" s="8"/>
      <c r="O10" s="26">
        <v>0.40000000000000002</v>
      </c>
      <c r="P10" s="8"/>
      <c r="Q10" s="26">
        <v>1.3</v>
      </c>
      <c r="R10" s="8"/>
      <c r="S10" s="26">
        <v>0.90000000000000002</v>
      </c>
      <c r="T10" s="8"/>
      <c r="U10" s="26">
        <v>1.5</v>
      </c>
      <c r="V10" s="8"/>
      <c r="W10" s="26">
        <v>1.3999999999999999</v>
      </c>
      <c r="X10" s="8"/>
      <c r="Y10" s="26">
        <v>3.6000000000000001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463</v>
      </c>
      <c r="C11" s="26">
        <v>3.3999999999999999</v>
      </c>
      <c r="D11" s="8"/>
      <c r="E11" s="26">
        <v>4.4000000000000004</v>
      </c>
      <c r="F11" s="8"/>
      <c r="G11" s="26">
        <v>2.7999999999999998</v>
      </c>
      <c r="H11" s="8"/>
      <c r="I11" s="26">
        <v>0.20000000000000001</v>
      </c>
      <c r="J11" s="8"/>
      <c r="K11" s="26">
        <v>-1</v>
      </c>
      <c r="L11" s="8"/>
      <c r="M11" s="26">
        <v>1</v>
      </c>
      <c r="N11" s="8"/>
      <c r="O11" s="26">
        <v>1</v>
      </c>
      <c r="P11" s="8"/>
      <c r="Q11" s="26">
        <v>0.90000000000000002</v>
      </c>
      <c r="R11" s="8"/>
      <c r="S11" s="26">
        <v>-0.20000000000000001</v>
      </c>
      <c r="T11" s="8"/>
      <c r="U11" s="26">
        <v>3</v>
      </c>
      <c r="V11" s="8"/>
      <c r="W11" s="26">
        <v>1.6000000000000001</v>
      </c>
      <c r="X11" s="8"/>
      <c r="Y11" s="26">
        <v>0.40000000000000002</v>
      </c>
      <c r="Z11" s="8"/>
      <c r="AA11" s="26">
        <v>-0.29999999999999999</v>
      </c>
      <c r="AB11" s="8"/>
      <c r="AC11" s="8"/>
    </row>
    <row r="12" ht="12" customHeight="1">
      <c r="A12" s="8" t="s">
        <v>85</v>
      </c>
      <c r="B12" s="8" t="s">
        <v>464</v>
      </c>
      <c r="C12" s="26">
        <v>2.7000000000000002</v>
      </c>
      <c r="D12" s="8"/>
      <c r="E12" s="26">
        <v>2.3999999999999999</v>
      </c>
      <c r="F12" s="8"/>
      <c r="G12" s="26">
        <v>2.7000000000000002</v>
      </c>
      <c r="H12" s="8"/>
      <c r="I12" s="26">
        <v>1.1000000000000001</v>
      </c>
      <c r="J12" s="8"/>
      <c r="K12" s="26">
        <v>0</v>
      </c>
      <c r="L12" s="8"/>
      <c r="M12" s="26">
        <v>1.3</v>
      </c>
      <c r="N12" s="8"/>
      <c r="O12" s="26">
        <v>2.2000000000000002</v>
      </c>
      <c r="P12" s="8"/>
      <c r="Q12" s="26">
        <v>0.80000000000000004</v>
      </c>
      <c r="R12" s="8"/>
      <c r="S12" s="26">
        <v>0.10000000000000001</v>
      </c>
      <c r="T12" s="8"/>
      <c r="U12" s="26">
        <v>2.6000000000000001</v>
      </c>
      <c r="V12" s="8"/>
      <c r="W12" s="26">
        <v>2.7000000000000002</v>
      </c>
      <c r="X12" s="8"/>
      <c r="Y12" s="26">
        <v>-0.69999999999999996</v>
      </c>
      <c r="Z12" s="8"/>
      <c r="AA12" s="26">
        <v>0.59999999999999998</v>
      </c>
      <c r="AB12" s="8"/>
      <c r="AC12" s="8"/>
    </row>
    <row r="13" ht="12" customHeight="1">
      <c r="A13" s="8" t="s">
        <v>87</v>
      </c>
      <c r="B13" s="8" t="s">
        <v>465</v>
      </c>
      <c r="C13" s="26">
        <v>2.2999999999999998</v>
      </c>
      <c r="D13" s="8"/>
      <c r="E13" s="26">
        <v>2.1000000000000001</v>
      </c>
      <c r="F13" s="8"/>
      <c r="G13" s="26">
        <v>3</v>
      </c>
      <c r="H13" s="8"/>
      <c r="I13" s="26">
        <v>1.8</v>
      </c>
      <c r="J13" s="8"/>
      <c r="K13" s="26">
        <v>0.80000000000000004</v>
      </c>
      <c r="L13" s="8"/>
      <c r="M13" s="26">
        <v>1</v>
      </c>
      <c r="N13" s="8"/>
      <c r="O13" s="26">
        <v>1.3999999999999999</v>
      </c>
      <c r="P13" s="8"/>
      <c r="Q13" s="26">
        <v>0.40000000000000002</v>
      </c>
      <c r="R13" s="8"/>
      <c r="S13" s="26">
        <v>0.5</v>
      </c>
      <c r="T13" s="8"/>
      <c r="U13" s="26">
        <v>0.29999999999999999</v>
      </c>
      <c r="V13" s="8"/>
      <c r="W13" s="26">
        <v>0.90000000000000002</v>
      </c>
      <c r="X13" s="8"/>
      <c r="Y13" s="26">
        <v>0.80000000000000004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466</v>
      </c>
      <c r="C14" s="26">
        <v>0.69999999999999996</v>
      </c>
      <c r="D14" s="8"/>
      <c r="E14" s="26">
        <v>4.7000000000000002</v>
      </c>
      <c r="F14" s="8"/>
      <c r="G14" s="26">
        <v>1</v>
      </c>
      <c r="H14" s="8"/>
      <c r="I14" s="26">
        <v>1.1000000000000001</v>
      </c>
      <c r="J14" s="8"/>
      <c r="K14" s="26">
        <v>1.5</v>
      </c>
      <c r="L14" s="8"/>
      <c r="M14" s="26">
        <v>4</v>
      </c>
      <c r="N14" s="8"/>
      <c r="O14" s="26">
        <v>0.59999999999999998</v>
      </c>
      <c r="P14" s="8"/>
      <c r="Q14" s="26">
        <v>0.59999999999999998</v>
      </c>
      <c r="R14" s="8"/>
      <c r="S14" s="26">
        <v>0.10000000000000001</v>
      </c>
      <c r="T14" s="8"/>
      <c r="U14" s="26">
        <v>2.2999999999999998</v>
      </c>
      <c r="V14" s="8"/>
      <c r="W14" s="26">
        <v>-0.10000000000000001</v>
      </c>
      <c r="X14" s="8"/>
      <c r="Y14" s="26">
        <v>0.29999999999999999</v>
      </c>
      <c r="Z14" s="8"/>
      <c r="AA14" s="26">
        <v>0.29999999999999999</v>
      </c>
      <c r="AB14" s="8"/>
      <c r="AC14" s="8"/>
    </row>
    <row r="15" ht="12" customHeight="1">
      <c r="A15" s="8" t="s">
        <v>91</v>
      </c>
      <c r="B15" s="8" t="s">
        <v>467</v>
      </c>
      <c r="C15" s="26">
        <v>0.90000000000000002</v>
      </c>
      <c r="D15" s="8"/>
      <c r="E15" s="26">
        <v>1.7</v>
      </c>
      <c r="F15" s="8"/>
      <c r="G15" s="26">
        <v>2.1000000000000001</v>
      </c>
      <c r="H15" s="8"/>
      <c r="I15" s="26">
        <v>1.7</v>
      </c>
      <c r="J15" s="8"/>
      <c r="K15" s="26">
        <v>0</v>
      </c>
      <c r="L15" s="8"/>
      <c r="M15" s="26">
        <v>1.1000000000000001</v>
      </c>
      <c r="N15" s="8"/>
      <c r="O15" s="26">
        <v>1.3999999999999999</v>
      </c>
      <c r="P15" s="8"/>
      <c r="Q15" s="26">
        <v>1</v>
      </c>
      <c r="R15" s="8"/>
      <c r="S15" s="26">
        <v>-0.59999999999999998</v>
      </c>
      <c r="T15" s="8"/>
      <c r="U15" s="26">
        <v>0.90000000000000002</v>
      </c>
      <c r="V15" s="8"/>
      <c r="W15" s="26">
        <v>-0.5</v>
      </c>
      <c r="X15" s="8"/>
      <c r="Y15" s="26">
        <v>0.59999999999999998</v>
      </c>
      <c r="Z15" s="8"/>
      <c r="AA15" s="26">
        <v>-0.90000000000000002</v>
      </c>
      <c r="AB15" s="8"/>
      <c r="AC15" s="8"/>
    </row>
    <row r="16" ht="12" customHeight="1">
      <c r="A16" s="8" t="s">
        <v>93</v>
      </c>
      <c r="B16" s="8" t="s">
        <v>468</v>
      </c>
      <c r="C16" s="26">
        <v>0.69999999999999996</v>
      </c>
      <c r="D16" s="8"/>
      <c r="E16" s="26">
        <v>7.5999999999999996</v>
      </c>
      <c r="F16" s="8"/>
      <c r="G16" s="26">
        <v>0.10000000000000001</v>
      </c>
      <c r="H16" s="8"/>
      <c r="I16" s="26">
        <v>0.59999999999999998</v>
      </c>
      <c r="J16" s="8"/>
      <c r="K16" s="26">
        <v>3</v>
      </c>
      <c r="L16" s="8"/>
      <c r="M16" s="26">
        <v>6.5999999999999996</v>
      </c>
      <c r="N16" s="8"/>
      <c r="O16" s="26">
        <v>0</v>
      </c>
      <c r="P16" s="8"/>
      <c r="Q16" s="26">
        <v>0.29999999999999999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469</v>
      </c>
      <c r="C17" s="26">
        <v>0.90000000000000002</v>
      </c>
      <c r="D17" s="8"/>
      <c r="E17" s="26">
        <v>-0.5</v>
      </c>
      <c r="F17" s="8"/>
      <c r="G17" s="26">
        <v>3.1000000000000001</v>
      </c>
      <c r="H17" s="8"/>
      <c r="I17" s="26">
        <v>0.29999999999999999</v>
      </c>
      <c r="J17" s="8"/>
      <c r="K17" s="26">
        <v>0.5</v>
      </c>
      <c r="L17" s="8"/>
      <c r="M17" s="26">
        <v>-0.20000000000000001</v>
      </c>
      <c r="N17" s="8"/>
      <c r="O17" s="26">
        <v>0.59999999999999998</v>
      </c>
      <c r="P17" s="8"/>
      <c r="Q17" s="26">
        <v>-0.20000000000000001</v>
      </c>
      <c r="R17" s="8"/>
      <c r="S17" s="26">
        <v>-0.80000000000000004</v>
      </c>
      <c r="T17" s="8"/>
      <c r="U17" s="26">
        <v>0.40000000000000002</v>
      </c>
      <c r="V17" s="8"/>
      <c r="W17" s="26">
        <v>0.10000000000000001</v>
      </c>
      <c r="X17" s="8"/>
      <c r="Y17" s="26">
        <v>0.5</v>
      </c>
      <c r="Z17" s="8"/>
      <c r="AA17" s="26">
        <v>0.90000000000000002</v>
      </c>
      <c r="AB17" s="8"/>
      <c r="AC17" s="8"/>
    </row>
    <row r="18" ht="12" customHeight="1">
      <c r="A18" s="8" t="s">
        <v>97</v>
      </c>
      <c r="B18" s="8" t="s">
        <v>470</v>
      </c>
      <c r="C18" s="26">
        <v>0.90000000000000002</v>
      </c>
      <c r="D18" s="8"/>
      <c r="E18" s="26">
        <v>-0.59999999999999998</v>
      </c>
      <c r="F18" s="8"/>
      <c r="G18" s="26">
        <v>3.2999999999999998</v>
      </c>
      <c r="H18" s="8"/>
      <c r="I18" s="26">
        <v>0.5</v>
      </c>
      <c r="J18" s="8"/>
      <c r="K18" s="26">
        <v>0.5</v>
      </c>
      <c r="L18" s="8"/>
      <c r="M18" s="26">
        <v>-0.10000000000000001</v>
      </c>
      <c r="N18" s="8"/>
      <c r="O18" s="26">
        <v>0.5</v>
      </c>
      <c r="P18" s="8"/>
      <c r="Q18" s="26">
        <v>0</v>
      </c>
      <c r="R18" s="8"/>
      <c r="S18" s="26">
        <v>-0.69999999999999996</v>
      </c>
      <c r="T18" s="8"/>
      <c r="U18" s="26">
        <v>-0.20000000000000001</v>
      </c>
      <c r="V18" s="8"/>
      <c r="W18" s="26">
        <v>0.69999999999999996</v>
      </c>
      <c r="X18" s="8"/>
      <c r="Y18" s="26">
        <v>0.29999999999999999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471</v>
      </c>
      <c r="C19" s="26">
        <v>0.10000000000000001</v>
      </c>
      <c r="D19" s="8"/>
      <c r="E19" s="26">
        <v>-0.10000000000000001</v>
      </c>
      <c r="F19" s="8"/>
      <c r="G19" s="26">
        <v>2.3999999999999999</v>
      </c>
      <c r="H19" s="8"/>
      <c r="I19" s="26">
        <v>-0.90000000000000002</v>
      </c>
      <c r="J19" s="8"/>
      <c r="K19" s="26">
        <v>0.5</v>
      </c>
      <c r="L19" s="8"/>
      <c r="M19" s="26">
        <v>-0.69999999999999996</v>
      </c>
      <c r="N19" s="8"/>
      <c r="O19" s="26">
        <v>2</v>
      </c>
      <c r="P19" s="8"/>
      <c r="Q19" s="26">
        <v>-1.3</v>
      </c>
      <c r="R19" s="8"/>
      <c r="S19" s="26">
        <v>-1.2</v>
      </c>
      <c r="T19" s="8"/>
      <c r="U19" s="26">
        <v>2.2000000000000002</v>
      </c>
      <c r="V19" s="8"/>
      <c r="W19" s="26">
        <v>-2.2999999999999998</v>
      </c>
      <c r="X19" s="8"/>
      <c r="Y19" s="26">
        <v>1.8999999999999999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472</v>
      </c>
      <c r="C20" s="26">
        <v>1</v>
      </c>
      <c r="D20" s="8"/>
      <c r="E20" s="26">
        <v>1.2</v>
      </c>
      <c r="F20" s="8"/>
      <c r="G20" s="26">
        <v>1.3999999999999999</v>
      </c>
      <c r="H20" s="8"/>
      <c r="I20" s="26">
        <v>2.2000000000000002</v>
      </c>
      <c r="J20" s="8"/>
      <c r="K20" s="26">
        <v>1.1000000000000001</v>
      </c>
      <c r="L20" s="8"/>
      <c r="M20" s="26">
        <v>0.90000000000000002</v>
      </c>
      <c r="N20" s="8"/>
      <c r="O20" s="26">
        <v>1.3</v>
      </c>
      <c r="P20" s="8"/>
      <c r="Q20" s="26">
        <v>3</v>
      </c>
      <c r="R20" s="8"/>
      <c r="S20" s="26">
        <v>0.59999999999999998</v>
      </c>
      <c r="T20" s="8"/>
      <c r="U20" s="26">
        <v>0.90000000000000002</v>
      </c>
      <c r="V20" s="8"/>
      <c r="W20" s="26">
        <v>1.3</v>
      </c>
      <c r="X20" s="8"/>
      <c r="Y20" s="26">
        <v>2</v>
      </c>
      <c r="Z20" s="8"/>
      <c r="AA20" s="26">
        <v>0.29999999999999999</v>
      </c>
      <c r="AB20" s="8"/>
      <c r="AC20" s="8"/>
    </row>
    <row r="21" ht="12" customHeight="1">
      <c r="A21" s="8" t="s">
        <v>103</v>
      </c>
      <c r="B21" s="8" t="s">
        <v>473</v>
      </c>
      <c r="C21" s="26">
        <v>1.2</v>
      </c>
      <c r="D21" s="8"/>
      <c r="E21" s="26">
        <v>1.3</v>
      </c>
      <c r="F21" s="8"/>
      <c r="G21" s="26">
        <v>1.3</v>
      </c>
      <c r="H21" s="8"/>
      <c r="I21" s="26">
        <v>1.3999999999999999</v>
      </c>
      <c r="J21" s="8"/>
      <c r="K21" s="26">
        <v>1.2</v>
      </c>
      <c r="L21" s="8"/>
      <c r="M21" s="26">
        <v>1.3</v>
      </c>
      <c r="N21" s="8"/>
      <c r="O21" s="26">
        <v>1.3</v>
      </c>
      <c r="P21" s="8"/>
      <c r="Q21" s="26">
        <v>1</v>
      </c>
      <c r="R21" s="8"/>
      <c r="S21" s="26">
        <v>0.90000000000000002</v>
      </c>
      <c r="T21" s="8"/>
      <c r="U21" s="26">
        <v>0.69999999999999996</v>
      </c>
      <c r="V21" s="8"/>
      <c r="W21" s="26">
        <v>0.80000000000000004</v>
      </c>
      <c r="X21" s="8"/>
      <c r="Y21" s="26">
        <v>0.20000000000000001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474</v>
      </c>
      <c r="C22" s="26">
        <v>1.2</v>
      </c>
      <c r="D22" s="8"/>
      <c r="E22" s="26">
        <v>1.3</v>
      </c>
      <c r="F22" s="8"/>
      <c r="G22" s="26">
        <v>1.3</v>
      </c>
      <c r="H22" s="8"/>
      <c r="I22" s="26">
        <v>1.3999999999999999</v>
      </c>
      <c r="J22" s="8"/>
      <c r="K22" s="26">
        <v>1.2</v>
      </c>
      <c r="L22" s="8"/>
      <c r="M22" s="26">
        <v>1.3</v>
      </c>
      <c r="N22" s="8"/>
      <c r="O22" s="26">
        <v>1.3</v>
      </c>
      <c r="P22" s="8"/>
      <c r="Q22" s="26">
        <v>1</v>
      </c>
      <c r="R22" s="8"/>
      <c r="S22" s="26">
        <v>0.90000000000000002</v>
      </c>
      <c r="T22" s="8"/>
      <c r="U22" s="26">
        <v>0.69999999999999996</v>
      </c>
      <c r="V22" s="8"/>
      <c r="W22" s="26">
        <v>0.80000000000000004</v>
      </c>
      <c r="X22" s="8"/>
      <c r="Y22" s="26">
        <v>0.20000000000000001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475</v>
      </c>
      <c r="C23" s="26">
        <v>1.8999999999999999</v>
      </c>
      <c r="D23" s="8"/>
      <c r="E23" s="26">
        <v>0.10000000000000001</v>
      </c>
      <c r="F23" s="8"/>
      <c r="G23" s="26">
        <v>1.6000000000000001</v>
      </c>
      <c r="H23" s="8"/>
      <c r="I23" s="26">
        <v>0.59999999999999998</v>
      </c>
      <c r="J23" s="8"/>
      <c r="K23" s="26">
        <v>0.5</v>
      </c>
      <c r="L23" s="8"/>
      <c r="M23" s="26">
        <v>0.10000000000000001</v>
      </c>
      <c r="N23" s="8"/>
      <c r="O23" s="26">
        <v>1.6000000000000001</v>
      </c>
      <c r="P23" s="8"/>
      <c r="Q23" s="26">
        <v>0.90000000000000002</v>
      </c>
      <c r="R23" s="8"/>
      <c r="S23" s="26">
        <v>-0.20000000000000001</v>
      </c>
      <c r="T23" s="8"/>
      <c r="U23" s="26">
        <v>0.5</v>
      </c>
      <c r="V23" s="8"/>
      <c r="W23" s="26">
        <v>0.29999999999999999</v>
      </c>
      <c r="X23" s="8"/>
      <c r="Y23" s="26">
        <v>0.69999999999999996</v>
      </c>
      <c r="Z23" s="8"/>
      <c r="AA23" s="26">
        <v>0.69999999999999996</v>
      </c>
      <c r="AB23" s="8"/>
      <c r="AC23" s="8"/>
    </row>
    <row r="24" ht="12" customHeight="1">
      <c r="A24" s="8" t="s">
        <v>109</v>
      </c>
      <c r="B24" s="8" t="s">
        <v>476</v>
      </c>
      <c r="C24" s="26">
        <v>0</v>
      </c>
      <c r="D24" s="8"/>
      <c r="E24" s="26">
        <v>0</v>
      </c>
      <c r="F24" s="8"/>
      <c r="G24" s="26">
        <v>0.10000000000000001</v>
      </c>
      <c r="H24" s="8"/>
      <c r="I24" s="26">
        <v>9.5999999999999996</v>
      </c>
      <c r="J24" s="8"/>
      <c r="K24" s="26">
        <v>0</v>
      </c>
      <c r="L24" s="8"/>
      <c r="M24" s="26">
        <v>0.10000000000000001</v>
      </c>
      <c r="N24" s="8"/>
      <c r="O24" s="26">
        <v>0</v>
      </c>
      <c r="P24" s="8"/>
      <c r="Q24" s="26">
        <v>12.199999999999999</v>
      </c>
      <c r="R24" s="8"/>
      <c r="S24" s="26">
        <v>0.10000000000000001</v>
      </c>
      <c r="T24" s="8"/>
      <c r="U24" s="26">
        <v>0</v>
      </c>
      <c r="V24" s="8"/>
      <c r="W24" s="26">
        <v>0</v>
      </c>
      <c r="X24" s="8"/>
      <c r="Y24" s="26">
        <v>8.3000000000000007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477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12.5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478</v>
      </c>
      <c r="C26" s="26">
        <v>1</v>
      </c>
      <c r="D26" s="8"/>
      <c r="E26" s="26">
        <v>2.2999999999999998</v>
      </c>
      <c r="F26" s="8"/>
      <c r="G26" s="26">
        <v>2.7000000000000002</v>
      </c>
      <c r="H26" s="8"/>
      <c r="I26" s="26">
        <v>-1.2</v>
      </c>
      <c r="J26" s="8"/>
      <c r="K26" s="26">
        <v>1.8999999999999999</v>
      </c>
      <c r="L26" s="8"/>
      <c r="M26" s="26">
        <v>0.40000000000000002</v>
      </c>
      <c r="N26" s="8"/>
      <c r="O26" s="26">
        <v>2.7999999999999998</v>
      </c>
      <c r="P26" s="8"/>
      <c r="Q26" s="26">
        <v>0.80000000000000004</v>
      </c>
      <c r="R26" s="8"/>
      <c r="S26" s="26">
        <v>0.80000000000000004</v>
      </c>
      <c r="T26" s="8"/>
      <c r="U26" s="26">
        <v>2.2999999999999998</v>
      </c>
      <c r="V26" s="8"/>
      <c r="W26" s="26">
        <v>4.7999999999999998</v>
      </c>
      <c r="X26" s="8"/>
      <c r="Y26" s="26">
        <v>3</v>
      </c>
      <c r="Z26" s="8"/>
      <c r="AA26" s="26">
        <v>1.5</v>
      </c>
      <c r="AB26" s="8"/>
      <c r="AC26" s="8"/>
    </row>
    <row r="27" ht="12" customHeight="1">
      <c r="A27" s="8" t="s">
        <v>115</v>
      </c>
      <c r="B27" s="8" t="s">
        <v>479</v>
      </c>
      <c r="C27" s="26">
        <v>0.90000000000000002</v>
      </c>
      <c r="D27" s="8"/>
      <c r="E27" s="26">
        <v>2.1000000000000001</v>
      </c>
      <c r="F27" s="8"/>
      <c r="G27" s="26">
        <v>2.7000000000000002</v>
      </c>
      <c r="H27" s="8"/>
      <c r="I27" s="26">
        <v>-1.7</v>
      </c>
      <c r="J27" s="8"/>
      <c r="K27" s="26">
        <v>1.8</v>
      </c>
      <c r="L27" s="8"/>
      <c r="M27" s="26">
        <v>0.5</v>
      </c>
      <c r="N27" s="8"/>
      <c r="O27" s="26">
        <v>2.8999999999999999</v>
      </c>
      <c r="P27" s="8"/>
      <c r="Q27" s="26">
        <v>0.59999999999999998</v>
      </c>
      <c r="R27" s="8"/>
      <c r="S27" s="26">
        <v>0.59999999999999998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480</v>
      </c>
      <c r="C28" s="26">
        <v>4.2999999999999998</v>
      </c>
      <c r="D28" s="8"/>
      <c r="E28" s="26">
        <v>-0.90000000000000002</v>
      </c>
      <c r="F28" s="8"/>
      <c r="G28" s="26">
        <v>2.8999999999999999</v>
      </c>
      <c r="H28" s="8"/>
      <c r="I28" s="26">
        <v>-1.8999999999999999</v>
      </c>
      <c r="J28" s="8"/>
      <c r="K28" s="26">
        <v>1.2</v>
      </c>
      <c r="L28" s="8"/>
      <c r="M28" s="26">
        <v>-2.1000000000000001</v>
      </c>
      <c r="N28" s="8"/>
      <c r="O28" s="26">
        <v>0.29999999999999999</v>
      </c>
      <c r="P28" s="8"/>
      <c r="Q28" s="26">
        <v>0</v>
      </c>
      <c r="R28" s="8"/>
      <c r="S28" s="26">
        <v>0</v>
      </c>
      <c r="T28" s="8"/>
      <c r="U28" s="26">
        <v>-0.69999999999999996</v>
      </c>
      <c r="V28" s="8"/>
      <c r="W28" s="26">
        <v>0.40000000000000002</v>
      </c>
      <c r="X28" s="8"/>
      <c r="Y28" s="26">
        <v>-0.80000000000000004</v>
      </c>
      <c r="Z28" s="8"/>
      <c r="AA28" s="26">
        <v>0.29999999999999999</v>
      </c>
      <c r="AB28" s="8"/>
      <c r="AC28" s="8"/>
    </row>
    <row r="29" ht="12" customHeight="1">
      <c r="A29" s="8" t="s">
        <v>119</v>
      </c>
      <c r="B29" s="8" t="s">
        <v>481</v>
      </c>
      <c r="C29" s="26">
        <v>7</v>
      </c>
      <c r="D29" s="8"/>
      <c r="E29" s="26">
        <v>-3</v>
      </c>
      <c r="F29" s="8"/>
      <c r="G29" s="26">
        <v>2.7999999999999998</v>
      </c>
      <c r="H29" s="8"/>
      <c r="I29" s="26">
        <v>-3.1000000000000001</v>
      </c>
      <c r="J29" s="8"/>
      <c r="K29" s="26">
        <v>1.5</v>
      </c>
      <c r="L29" s="8"/>
      <c r="M29" s="26">
        <v>-5.5999999999999996</v>
      </c>
      <c r="N29" s="8"/>
      <c r="O29" s="26">
        <v>0.80000000000000004</v>
      </c>
      <c r="P29" s="8"/>
      <c r="Q29" s="26">
        <v>1.1000000000000001</v>
      </c>
      <c r="R29" s="8"/>
      <c r="S29" s="26">
        <v>2</v>
      </c>
      <c r="T29" s="8"/>
      <c r="U29" s="26">
        <v>-1.2</v>
      </c>
      <c r="V29" s="8"/>
      <c r="W29" s="26">
        <v>-1.6000000000000001</v>
      </c>
      <c r="X29" s="8"/>
      <c r="Y29" s="26">
        <v>-2.1000000000000001</v>
      </c>
      <c r="Z29" s="8"/>
      <c r="AA29" s="26">
        <v>4.4000000000000004</v>
      </c>
      <c r="AB29" s="8"/>
      <c r="AC29" s="8"/>
    </row>
    <row r="30" ht="12" customHeight="1">
      <c r="A30" s="8" t="s">
        <v>121</v>
      </c>
      <c r="B30" s="8" t="s">
        <v>482</v>
      </c>
      <c r="C30" s="26">
        <v>1.8</v>
      </c>
      <c r="D30" s="8"/>
      <c r="E30" s="26">
        <v>1.7</v>
      </c>
      <c r="F30" s="8"/>
      <c r="G30" s="26">
        <v>-0.29999999999999999</v>
      </c>
      <c r="H30" s="8"/>
      <c r="I30" s="26">
        <v>-2.3999999999999999</v>
      </c>
      <c r="J30" s="8"/>
      <c r="K30" s="26">
        <v>5.2999999999999998</v>
      </c>
      <c r="L30" s="8"/>
      <c r="M30" s="26">
        <v>-1.7</v>
      </c>
      <c r="N30" s="8"/>
      <c r="O30" s="26">
        <v>7.2999999999999998</v>
      </c>
      <c r="P30" s="8"/>
      <c r="Q30" s="26">
        <v>-2.6000000000000001</v>
      </c>
      <c r="R30" s="8"/>
      <c r="S30" s="26">
        <v>-6.7000000000000002</v>
      </c>
      <c r="T30" s="8"/>
      <c r="U30" s="26">
        <v>4.2999999999999998</v>
      </c>
      <c r="V30" s="8"/>
      <c r="W30" s="26">
        <v>3.7000000000000002</v>
      </c>
      <c r="X30" s="8"/>
      <c r="Y30" s="26">
        <v>-1</v>
      </c>
      <c r="Z30" s="8"/>
      <c r="AA30" s="26">
        <v>-2</v>
      </c>
      <c r="AB30" s="8"/>
      <c r="AC30" s="8"/>
    </row>
    <row r="31" ht="12" customHeight="1">
      <c r="A31" s="8" t="s">
        <v>123</v>
      </c>
      <c r="B31" s="8" t="s">
        <v>483</v>
      </c>
      <c r="C31" s="26">
        <v>1.1000000000000001</v>
      </c>
      <c r="D31" s="8"/>
      <c r="E31" s="26">
        <v>-1.1000000000000001</v>
      </c>
      <c r="F31" s="8"/>
      <c r="G31" s="26">
        <v>4.0999999999999996</v>
      </c>
      <c r="H31" s="8"/>
      <c r="I31" s="26">
        <v>-1.3</v>
      </c>
      <c r="J31" s="8"/>
      <c r="K31" s="26">
        <v>-0.69999999999999996</v>
      </c>
      <c r="L31" s="8"/>
      <c r="M31" s="26">
        <v>-0.90000000000000002</v>
      </c>
      <c r="N31" s="8"/>
      <c r="O31" s="26">
        <v>-0.80000000000000004</v>
      </c>
      <c r="P31" s="8"/>
      <c r="Q31" s="26">
        <v>-1.1000000000000001</v>
      </c>
      <c r="R31" s="8"/>
      <c r="S31" s="26">
        <v>0.59999999999999998</v>
      </c>
      <c r="T31" s="8"/>
      <c r="U31" s="26">
        <v>-1.6000000000000001</v>
      </c>
      <c r="V31" s="8"/>
      <c r="W31" s="26">
        <v>0.69999999999999996</v>
      </c>
      <c r="X31" s="8"/>
      <c r="Y31" s="26">
        <v>-0.5</v>
      </c>
      <c r="Z31" s="8"/>
      <c r="AA31" s="26">
        <v>0</v>
      </c>
      <c r="AB31" s="8"/>
      <c r="AC31" s="8"/>
    </row>
    <row r="32" ht="12" customHeight="1">
      <c r="A32" s="8" t="s">
        <v>125</v>
      </c>
      <c r="B32" s="8" t="s">
        <v>484</v>
      </c>
      <c r="C32" s="26">
        <v>9.4000000000000004</v>
      </c>
      <c r="D32" s="8"/>
      <c r="E32" s="26">
        <v>-4.4000000000000004</v>
      </c>
      <c r="F32" s="8"/>
      <c r="G32" s="26">
        <v>2.8999999999999999</v>
      </c>
      <c r="H32" s="8"/>
      <c r="I32" s="26">
        <v>-2</v>
      </c>
      <c r="J32" s="8"/>
      <c r="K32" s="26">
        <v>7.7000000000000002</v>
      </c>
      <c r="L32" s="8"/>
      <c r="M32" s="26">
        <v>-2.5</v>
      </c>
      <c r="N32" s="8"/>
      <c r="O32" s="26">
        <v>-1.6000000000000001</v>
      </c>
      <c r="P32" s="8"/>
      <c r="Q32" s="26">
        <v>-2.3999999999999999</v>
      </c>
      <c r="R32" s="8"/>
      <c r="S32" s="26">
        <v>1.6000000000000001</v>
      </c>
      <c r="T32" s="8"/>
      <c r="U32" s="26">
        <v>1.8</v>
      </c>
      <c r="V32" s="8"/>
      <c r="W32" s="26">
        <v>-1.3</v>
      </c>
      <c r="X32" s="8"/>
      <c r="Y32" s="26">
        <v>-0.90000000000000002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485</v>
      </c>
      <c r="C33" s="26">
        <v>2.2999999999999998</v>
      </c>
      <c r="D33" s="8"/>
      <c r="E33" s="26">
        <v>0.80000000000000004</v>
      </c>
      <c r="F33" s="8"/>
      <c r="G33" s="26">
        <v>4</v>
      </c>
      <c r="H33" s="8"/>
      <c r="I33" s="26">
        <v>0.10000000000000001</v>
      </c>
      <c r="J33" s="8"/>
      <c r="K33" s="26">
        <v>-0.29999999999999999</v>
      </c>
      <c r="L33" s="8"/>
      <c r="M33" s="26">
        <v>1</v>
      </c>
      <c r="N33" s="8"/>
      <c r="O33" s="26">
        <v>-4.2000000000000002</v>
      </c>
      <c r="P33" s="8"/>
      <c r="Q33" s="26">
        <v>-0.80000000000000004</v>
      </c>
      <c r="R33" s="8"/>
      <c r="S33" s="26">
        <v>0.10000000000000001</v>
      </c>
      <c r="T33" s="8"/>
      <c r="U33" s="26">
        <v>-1.1000000000000001</v>
      </c>
      <c r="V33" s="8"/>
      <c r="W33" s="26">
        <v>0.40000000000000002</v>
      </c>
      <c r="X33" s="8"/>
      <c r="Y33" s="26">
        <v>0</v>
      </c>
      <c r="Z33" s="8"/>
      <c r="AA33" s="26">
        <v>-2.1000000000000001</v>
      </c>
      <c r="AB33" s="8"/>
      <c r="AC33" s="8"/>
    </row>
    <row r="34" ht="12" customHeight="1">
      <c r="A34" s="8" t="s">
        <v>129</v>
      </c>
      <c r="B34" s="8" t="s">
        <v>486</v>
      </c>
      <c r="C34" s="26">
        <v>3.3999999999999999</v>
      </c>
      <c r="D34" s="8"/>
      <c r="E34" s="26">
        <v>2.2000000000000002</v>
      </c>
      <c r="F34" s="8"/>
      <c r="G34" s="26">
        <v>2.7999999999999998</v>
      </c>
      <c r="H34" s="8"/>
      <c r="I34" s="26">
        <v>-1</v>
      </c>
      <c r="J34" s="8"/>
      <c r="K34" s="26">
        <v>-0.69999999999999996</v>
      </c>
      <c r="L34" s="8"/>
      <c r="M34" s="26">
        <v>0.40000000000000002</v>
      </c>
      <c r="N34" s="8"/>
      <c r="O34" s="26">
        <v>0.29999999999999999</v>
      </c>
      <c r="P34" s="8"/>
      <c r="Q34" s="26">
        <v>1.5</v>
      </c>
      <c r="R34" s="8"/>
      <c r="S34" s="26">
        <v>-1.2</v>
      </c>
      <c r="T34" s="8"/>
      <c r="U34" s="26">
        <v>-1.1000000000000001</v>
      </c>
      <c r="V34" s="8"/>
      <c r="W34" s="26">
        <v>1.6000000000000001</v>
      </c>
      <c r="X34" s="8"/>
      <c r="Y34" s="26">
        <v>-0.40000000000000002</v>
      </c>
      <c r="Z34" s="8"/>
      <c r="AA34" s="26">
        <v>-0.29999999999999999</v>
      </c>
      <c r="AB34" s="8"/>
      <c r="AC34" s="8"/>
    </row>
    <row r="35" ht="12" customHeight="1">
      <c r="A35" s="11" t="s">
        <v>131</v>
      </c>
      <c r="B35" s="8" t="s">
        <v>487</v>
      </c>
      <c r="C35" s="26">
        <v>1.7</v>
      </c>
      <c r="D35" s="8"/>
      <c r="E35" s="26">
        <v>0.5</v>
      </c>
      <c r="F35" s="8"/>
      <c r="G35" s="26">
        <v>1.2</v>
      </c>
      <c r="H35" s="8"/>
      <c r="I35" s="26">
        <v>-4.7000000000000002</v>
      </c>
      <c r="J35" s="8"/>
      <c r="K35" s="26">
        <v>2.2000000000000002</v>
      </c>
      <c r="L35" s="8"/>
      <c r="M35" s="26">
        <v>1.8</v>
      </c>
      <c r="N35" s="8"/>
      <c r="O35" s="26">
        <v>0.20000000000000001</v>
      </c>
      <c r="P35" s="8"/>
      <c r="Q35" s="26">
        <v>7.2999999999999998</v>
      </c>
      <c r="R35" s="8"/>
      <c r="S35" s="26">
        <v>-0.80000000000000004</v>
      </c>
      <c r="T35" s="8"/>
      <c r="U35" s="26">
        <v>0.29999999999999999</v>
      </c>
      <c r="V35" s="8"/>
      <c r="W35" s="26">
        <v>0.10000000000000001</v>
      </c>
      <c r="X35" s="8"/>
      <c r="Y35" s="26">
        <v>0.10000000000000001</v>
      </c>
      <c r="Z35" s="8"/>
      <c r="AA35" s="26">
        <v>-0.40000000000000002</v>
      </c>
      <c r="AB35" s="8"/>
      <c r="AC35" s="8"/>
    </row>
    <row r="36" ht="12" customHeight="1">
      <c r="A36" s="8" t="s">
        <v>133</v>
      </c>
      <c r="B36" s="8" t="s">
        <v>488</v>
      </c>
      <c r="C36" s="26">
        <v>1.6000000000000001</v>
      </c>
      <c r="D36" s="8"/>
      <c r="E36" s="26">
        <v>0.29999999999999999</v>
      </c>
      <c r="F36" s="8"/>
      <c r="G36" s="26">
        <v>1</v>
      </c>
      <c r="H36" s="8"/>
      <c r="I36" s="26">
        <v>-21.600000000000001</v>
      </c>
      <c r="J36" s="8"/>
      <c r="K36" s="26">
        <v>0.20000000000000001</v>
      </c>
      <c r="L36" s="8"/>
      <c r="M36" s="26">
        <v>-0.10000000000000001</v>
      </c>
      <c r="N36" s="8"/>
      <c r="O36" s="26">
        <v>0.40000000000000002</v>
      </c>
      <c r="P36" s="8"/>
      <c r="Q36" s="26">
        <v>29.5</v>
      </c>
      <c r="R36" s="8"/>
      <c r="S36" s="26">
        <v>-7.2000000000000002</v>
      </c>
      <c r="T36" s="8"/>
      <c r="U36" s="26">
        <v>0.10000000000000001</v>
      </c>
      <c r="V36" s="8"/>
      <c r="W36" s="26">
        <v>-0.59999999999999998</v>
      </c>
      <c r="X36" s="8"/>
      <c r="Y36" s="26">
        <v>-3.2000000000000002</v>
      </c>
      <c r="Z36" s="8"/>
      <c r="AA36" s="26">
        <v>-3</v>
      </c>
      <c r="AB36" s="8"/>
      <c r="AC36" s="8"/>
    </row>
    <row r="37" ht="12" customHeight="1">
      <c r="A37" s="8" t="s">
        <v>135</v>
      </c>
      <c r="B37" s="8" t="s">
        <v>489</v>
      </c>
      <c r="C37" s="26">
        <v>1.7</v>
      </c>
      <c r="D37" s="8"/>
      <c r="E37" s="26">
        <v>0.5</v>
      </c>
      <c r="F37" s="8"/>
      <c r="G37" s="26">
        <v>1.2</v>
      </c>
      <c r="H37" s="8"/>
      <c r="I37" s="26">
        <v>1.3</v>
      </c>
      <c r="J37" s="8"/>
      <c r="K37" s="26">
        <v>2.7000000000000002</v>
      </c>
      <c r="L37" s="8"/>
      <c r="M37" s="26">
        <v>2.3999999999999999</v>
      </c>
      <c r="N37" s="8"/>
      <c r="O37" s="26">
        <v>0.10000000000000001</v>
      </c>
      <c r="P37" s="8"/>
      <c r="Q37" s="26">
        <v>1.2</v>
      </c>
      <c r="R37" s="8"/>
      <c r="S37" s="26">
        <v>1.3</v>
      </c>
      <c r="T37" s="8"/>
      <c r="U37" s="26">
        <v>0.5</v>
      </c>
      <c r="V37" s="8"/>
      <c r="W37" s="26">
        <v>0.40000000000000002</v>
      </c>
      <c r="X37" s="8"/>
      <c r="Y37" s="26">
        <v>1.6000000000000001</v>
      </c>
      <c r="Z37" s="8"/>
      <c r="AA37" s="26">
        <v>0.80000000000000004</v>
      </c>
      <c r="AB37" s="8"/>
      <c r="AC37" s="8"/>
    </row>
    <row r="38" ht="12" customHeight="1">
      <c r="A38" s="8" t="s">
        <v>137</v>
      </c>
      <c r="B38" s="8" t="s">
        <v>490</v>
      </c>
      <c r="C38" s="26">
        <v>1.6000000000000001</v>
      </c>
      <c r="D38" s="8"/>
      <c r="E38" s="26">
        <v>1.7</v>
      </c>
      <c r="F38" s="8"/>
      <c r="G38" s="26">
        <v>2.3999999999999999</v>
      </c>
      <c r="H38" s="8"/>
      <c r="I38" s="26">
        <v>4</v>
      </c>
      <c r="J38" s="8"/>
      <c r="K38" s="26">
        <v>4.9000000000000004</v>
      </c>
      <c r="L38" s="8"/>
      <c r="M38" s="26">
        <v>1.7</v>
      </c>
      <c r="N38" s="8"/>
      <c r="O38" s="26">
        <v>0.80000000000000004</v>
      </c>
      <c r="P38" s="8"/>
      <c r="Q38" s="26">
        <v>7.2000000000000002</v>
      </c>
      <c r="R38" s="8"/>
      <c r="S38" s="26">
        <v>1.3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491</v>
      </c>
      <c r="C39" s="26">
        <v>-0.59999999999999998</v>
      </c>
      <c r="D39" s="8"/>
      <c r="E39" s="26">
        <v>-1.6000000000000001</v>
      </c>
      <c r="F39" s="8"/>
      <c r="G39" s="26">
        <v>-1.7</v>
      </c>
      <c r="H39" s="8"/>
      <c r="I39" s="26">
        <v>8.5</v>
      </c>
      <c r="J39" s="8"/>
      <c r="K39" s="26">
        <v>-0.10000000000000001</v>
      </c>
      <c r="L39" s="8"/>
      <c r="M39" s="26">
        <v>-2.2999999999999998</v>
      </c>
      <c r="N39" s="8"/>
      <c r="O39" s="26">
        <v>0.29999999999999999</v>
      </c>
      <c r="P39" s="8"/>
      <c r="Q39" s="26">
        <v>-2.7000000000000002</v>
      </c>
      <c r="R39" s="8"/>
      <c r="S39" s="26">
        <v>1</v>
      </c>
      <c r="T39" s="8"/>
      <c r="U39" s="26">
        <v>1.7</v>
      </c>
      <c r="V39" s="8"/>
      <c r="W39" s="26">
        <v>-1.3999999999999999</v>
      </c>
      <c r="X39" s="8"/>
      <c r="Y39" s="26">
        <v>0.5</v>
      </c>
      <c r="Z39" s="8"/>
      <c r="AA39" s="26">
        <v>1.8999999999999999</v>
      </c>
      <c r="AB39" s="8"/>
      <c r="AC39" s="8"/>
    </row>
    <row r="40" ht="12" customHeight="1">
      <c r="A40" s="8" t="s">
        <v>141</v>
      </c>
      <c r="B40" s="8" t="s">
        <v>492</v>
      </c>
      <c r="C40" s="26">
        <v>0</v>
      </c>
      <c r="D40" s="8"/>
      <c r="E40" s="26">
        <v>1</v>
      </c>
      <c r="F40" s="8"/>
      <c r="G40" s="26">
        <v>1.2</v>
      </c>
      <c r="H40" s="8"/>
      <c r="I40" s="26">
        <v>2.6000000000000001</v>
      </c>
      <c r="J40" s="8"/>
      <c r="K40" s="26">
        <v>-2.1000000000000001</v>
      </c>
      <c r="L40" s="8"/>
      <c r="M40" s="26">
        <v>-1.2</v>
      </c>
      <c r="N40" s="8"/>
      <c r="O40" s="26">
        <v>-2.7999999999999998</v>
      </c>
      <c r="P40" s="8"/>
      <c r="Q40" s="26">
        <v>-1.8999999999999999</v>
      </c>
      <c r="R40" s="8"/>
      <c r="S40" s="26">
        <v>2.1000000000000001</v>
      </c>
      <c r="T40" s="8"/>
      <c r="U40" s="26">
        <v>0.29999999999999999</v>
      </c>
      <c r="V40" s="8"/>
      <c r="W40" s="26">
        <v>0.80000000000000004</v>
      </c>
      <c r="X40" s="8"/>
      <c r="Y40" s="26">
        <v>0</v>
      </c>
      <c r="Z40" s="8"/>
      <c r="AA40" s="26">
        <v>0.20000000000000001</v>
      </c>
      <c r="AB40" s="8"/>
      <c r="AC40" s="8"/>
    </row>
    <row r="41" ht="12" customHeight="1">
      <c r="A41" s="8" t="s">
        <v>143</v>
      </c>
      <c r="B41" s="8" t="s">
        <v>493</v>
      </c>
      <c r="C41" s="26">
        <v>-4.5999999999999996</v>
      </c>
      <c r="D41" s="8"/>
      <c r="E41" s="26">
        <v>-1.8</v>
      </c>
      <c r="F41" s="8"/>
      <c r="G41" s="26">
        <v>-1</v>
      </c>
      <c r="H41" s="8"/>
      <c r="I41" s="26">
        <v>12.199999999999999</v>
      </c>
      <c r="J41" s="8"/>
      <c r="K41" s="26">
        <v>0.5</v>
      </c>
      <c r="L41" s="8"/>
      <c r="M41" s="26">
        <v>-1.3999999999999999</v>
      </c>
      <c r="N41" s="8"/>
      <c r="O41" s="26">
        <v>1.8</v>
      </c>
      <c r="P41" s="8"/>
      <c r="Q41" s="26">
        <v>-4.0999999999999996</v>
      </c>
      <c r="R41" s="8"/>
      <c r="S41" s="26">
        <v>-0.90000000000000002</v>
      </c>
      <c r="T41" s="8"/>
      <c r="U41" s="26">
        <v>3</v>
      </c>
      <c r="V41" s="8"/>
      <c r="W41" s="26">
        <v>-1.7</v>
      </c>
      <c r="X41" s="8"/>
      <c r="Y41" s="26">
        <v>0.40000000000000002</v>
      </c>
      <c r="Z41" s="8"/>
      <c r="AA41" s="26">
        <v>1.7</v>
      </c>
      <c r="AB41" s="8"/>
      <c r="AC41" s="8"/>
    </row>
    <row r="42" ht="12" customHeight="1">
      <c r="A42" s="8" t="s">
        <v>145</v>
      </c>
      <c r="B42" s="8" t="s">
        <v>494</v>
      </c>
      <c r="C42" s="26">
        <v>-7.2000000000000002</v>
      </c>
      <c r="D42" s="8"/>
      <c r="E42" s="26">
        <v>-2.6000000000000001</v>
      </c>
      <c r="F42" s="8"/>
      <c r="G42" s="26">
        <v>-1.5</v>
      </c>
      <c r="H42" s="8"/>
      <c r="I42" s="26">
        <v>16.5</v>
      </c>
      <c r="J42" s="8"/>
      <c r="K42" s="26">
        <v>0.10000000000000001</v>
      </c>
      <c r="L42" s="8"/>
      <c r="M42" s="26">
        <v>-2.3999999999999999</v>
      </c>
      <c r="N42" s="8"/>
      <c r="O42" s="26">
        <v>0.69999999999999996</v>
      </c>
      <c r="P42" s="8"/>
      <c r="Q42" s="26">
        <v>-6.0999999999999996</v>
      </c>
      <c r="R42" s="8"/>
      <c r="S42" s="26">
        <v>-1.3</v>
      </c>
      <c r="T42" s="8"/>
      <c r="U42" s="26">
        <v>4.5999999999999996</v>
      </c>
      <c r="V42" s="8"/>
      <c r="W42" s="26">
        <v>-4.7000000000000002</v>
      </c>
      <c r="X42" s="8"/>
      <c r="Y42" s="26">
        <v>0.10000000000000001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495</v>
      </c>
      <c r="C43" s="26">
        <v>16.399999999999999</v>
      </c>
      <c r="D43" s="8"/>
      <c r="E43" s="26">
        <v>-4.2999999999999998</v>
      </c>
      <c r="F43" s="8"/>
      <c r="G43" s="26">
        <v>-8.3000000000000007</v>
      </c>
      <c r="H43" s="8"/>
      <c r="I43" s="26">
        <v>3</v>
      </c>
      <c r="J43" s="8"/>
      <c r="K43" s="26">
        <v>0.20000000000000001</v>
      </c>
      <c r="L43" s="8"/>
      <c r="M43" s="26">
        <v>-6.7000000000000002</v>
      </c>
      <c r="N43" s="8"/>
      <c r="O43" s="26">
        <v>-1.3999999999999999</v>
      </c>
      <c r="P43" s="8"/>
      <c r="Q43" s="26">
        <v>2.7999999999999998</v>
      </c>
      <c r="R43" s="8"/>
      <c r="S43" s="26">
        <v>7.0999999999999996</v>
      </c>
      <c r="T43" s="8"/>
      <c r="U43" s="26">
        <v>-3.3999999999999999</v>
      </c>
      <c r="V43" s="8"/>
      <c r="W43" s="26">
        <v>-2.3999999999999999</v>
      </c>
      <c r="X43" s="8"/>
      <c r="Y43" s="26">
        <v>1.3999999999999999</v>
      </c>
      <c r="Z43" s="8"/>
      <c r="AA43" s="26">
        <v>5.7000000000000002</v>
      </c>
      <c r="AB43" s="8"/>
      <c r="AC43" s="8"/>
    </row>
    <row r="44" ht="12" customHeight="1">
      <c r="A44" s="11" t="s">
        <v>149</v>
      </c>
      <c r="B44" s="8" t="s">
        <v>496</v>
      </c>
      <c r="C44" s="26">
        <v>0.20000000000000001</v>
      </c>
      <c r="D44" s="8"/>
      <c r="E44" s="26">
        <v>0.29999999999999999</v>
      </c>
      <c r="F44" s="8"/>
      <c r="G44" s="26">
        <v>0.69999999999999996</v>
      </c>
      <c r="H44" s="8"/>
      <c r="I44" s="26">
        <v>1.8</v>
      </c>
      <c r="J44" s="8"/>
      <c r="K44" s="26">
        <v>1.3999999999999999</v>
      </c>
      <c r="L44" s="8"/>
      <c r="M44" s="26">
        <v>0.69999999999999996</v>
      </c>
      <c r="N44" s="8"/>
      <c r="O44" s="26">
        <v>0.59999999999999998</v>
      </c>
      <c r="P44" s="8"/>
      <c r="Q44" s="26">
        <v>1.1000000000000001</v>
      </c>
      <c r="R44" s="8"/>
      <c r="S44" s="26">
        <v>2.2000000000000002</v>
      </c>
      <c r="T44" s="8"/>
      <c r="U44" s="26">
        <v>0.5</v>
      </c>
      <c r="V44" s="8"/>
      <c r="W44" s="26">
        <v>0.10000000000000001</v>
      </c>
      <c r="X44" s="8"/>
      <c r="Y44" s="26">
        <v>0.59999999999999998</v>
      </c>
      <c r="Z44" s="8"/>
      <c r="AA44" s="26">
        <v>3.7999999999999998</v>
      </c>
      <c r="AB44" s="8"/>
      <c r="AC44" s="8"/>
    </row>
    <row r="45" ht="12" customHeight="1">
      <c r="A45" s="8" t="s">
        <v>151</v>
      </c>
      <c r="B45" s="8" t="s">
        <v>497</v>
      </c>
      <c r="C45" s="26">
        <v>1.6000000000000001</v>
      </c>
      <c r="D45" s="8"/>
      <c r="E45" s="26">
        <v>1</v>
      </c>
      <c r="F45" s="8"/>
      <c r="G45" s="26">
        <v>-1</v>
      </c>
      <c r="H45" s="8"/>
      <c r="I45" s="26">
        <v>6.5</v>
      </c>
      <c r="J45" s="8"/>
      <c r="K45" s="26">
        <v>1.1000000000000001</v>
      </c>
      <c r="L45" s="8"/>
      <c r="M45" s="26">
        <v>-1.6000000000000001</v>
      </c>
      <c r="N45" s="8"/>
      <c r="O45" s="26">
        <v>-0.5</v>
      </c>
      <c r="P45" s="8"/>
      <c r="Q45" s="26">
        <v>2.1000000000000001</v>
      </c>
      <c r="R45" s="8"/>
      <c r="S45" s="26">
        <v>-0.29999999999999999</v>
      </c>
      <c r="T45" s="8"/>
      <c r="U45" s="26">
        <v>-0.40000000000000002</v>
      </c>
      <c r="V45" s="8"/>
      <c r="W45" s="26">
        <v>1</v>
      </c>
      <c r="X45" s="8"/>
      <c r="Y45" s="26">
        <v>7.5</v>
      </c>
      <c r="Z45" s="8"/>
      <c r="AA45" s="26">
        <v>0.20000000000000001</v>
      </c>
      <c r="AB45" s="8"/>
      <c r="AC45" s="8"/>
    </row>
    <row r="46" ht="12" customHeight="1">
      <c r="A46" s="8" t="s">
        <v>153</v>
      </c>
      <c r="B46" s="8" t="s">
        <v>498</v>
      </c>
      <c r="C46" s="26">
        <v>-0.29999999999999999</v>
      </c>
      <c r="D46" s="8"/>
      <c r="E46" s="26">
        <v>1.2</v>
      </c>
      <c r="F46" s="8"/>
      <c r="G46" s="26">
        <v>-9.8000000000000007</v>
      </c>
      <c r="H46" s="8"/>
      <c r="I46" s="26">
        <v>-6.4000000000000004</v>
      </c>
      <c r="J46" s="8"/>
      <c r="K46" s="26">
        <v>15.9</v>
      </c>
      <c r="L46" s="8"/>
      <c r="M46" s="26">
        <v>-2.7999999999999998</v>
      </c>
      <c r="N46" s="8"/>
      <c r="O46" s="26">
        <v>8.4000000000000004</v>
      </c>
      <c r="P46" s="8"/>
      <c r="Q46" s="26">
        <v>-15.1</v>
      </c>
      <c r="R46" s="8"/>
      <c r="S46" s="26">
        <v>-0.29999999999999999</v>
      </c>
      <c r="T46" s="8"/>
      <c r="U46" s="26">
        <v>-5.2999999999999998</v>
      </c>
      <c r="V46" s="8"/>
      <c r="W46" s="26">
        <v>-7</v>
      </c>
      <c r="X46" s="8"/>
      <c r="Y46" s="26">
        <v>-3.6000000000000001</v>
      </c>
      <c r="Z46" s="8"/>
      <c r="AA46" s="26">
        <v>11.6</v>
      </c>
      <c r="AB46" s="8"/>
      <c r="AC46" s="8"/>
    </row>
    <row r="47" ht="12" customHeight="1">
      <c r="A47" s="8" t="s">
        <v>155</v>
      </c>
      <c r="B47" s="8" t="s">
        <v>499</v>
      </c>
      <c r="C47" s="26">
        <v>0.20000000000000001</v>
      </c>
      <c r="D47" s="8"/>
      <c r="E47" s="26">
        <v>0.20000000000000001</v>
      </c>
      <c r="F47" s="8"/>
      <c r="G47" s="26">
        <v>0.90000000000000002</v>
      </c>
      <c r="H47" s="8"/>
      <c r="I47" s="26">
        <v>1.7</v>
      </c>
      <c r="J47" s="8"/>
      <c r="K47" s="26">
        <v>1.3</v>
      </c>
      <c r="L47" s="8"/>
      <c r="M47" s="26">
        <v>0.80000000000000004</v>
      </c>
      <c r="N47" s="8"/>
      <c r="O47" s="26">
        <v>0.59999999999999998</v>
      </c>
      <c r="P47" s="8"/>
      <c r="Q47" s="26">
        <v>1.2</v>
      </c>
      <c r="R47" s="8"/>
      <c r="S47" s="26">
        <v>2.3999999999999999</v>
      </c>
      <c r="T47" s="8"/>
      <c r="U47" s="26">
        <v>1.7</v>
      </c>
      <c r="V47" s="8"/>
      <c r="W47" s="26">
        <v>1.3999999999999999</v>
      </c>
      <c r="X47" s="8"/>
      <c r="Y47" s="26">
        <v>1</v>
      </c>
      <c r="Z47" s="8"/>
      <c r="AA47" s="26">
        <v>2.8999999999999999</v>
      </c>
      <c r="AB47" s="8"/>
      <c r="AC47" s="8"/>
    </row>
    <row r="48" ht="12" customHeight="1">
      <c r="A48" s="11" t="s">
        <v>157</v>
      </c>
      <c r="B48" s="8" t="s">
        <v>500</v>
      </c>
      <c r="C48" s="26">
        <v>3.2000000000000002</v>
      </c>
      <c r="D48" s="8"/>
      <c r="E48" s="26">
        <v>1</v>
      </c>
      <c r="F48" s="8"/>
      <c r="G48" s="26">
        <v>1.1000000000000001</v>
      </c>
      <c r="H48" s="8"/>
      <c r="I48" s="26">
        <v>1</v>
      </c>
      <c r="J48" s="8"/>
      <c r="K48" s="26">
        <v>1.8</v>
      </c>
      <c r="L48" s="8"/>
      <c r="M48" s="26">
        <v>1.8999999999999999</v>
      </c>
      <c r="N48" s="8"/>
      <c r="O48" s="26">
        <v>-1</v>
      </c>
      <c r="P48" s="8"/>
      <c r="Q48" s="26">
        <v>0.29999999999999999</v>
      </c>
      <c r="R48" s="8"/>
      <c r="S48" s="26">
        <v>2.1000000000000001</v>
      </c>
      <c r="T48" s="8"/>
      <c r="U48" s="26">
        <v>-0.40000000000000002</v>
      </c>
      <c r="V48" s="8"/>
      <c r="W48" s="26">
        <v>0.59999999999999998</v>
      </c>
      <c r="X48" s="8"/>
      <c r="Y48" s="26">
        <v>0.90000000000000002</v>
      </c>
      <c r="Z48" s="8"/>
      <c r="AA48" s="26">
        <v>1.5</v>
      </c>
      <c r="AB48" s="8"/>
      <c r="AC48" s="8"/>
    </row>
    <row r="49" ht="12" customHeight="1">
      <c r="A49" s="8" t="s">
        <v>159</v>
      </c>
      <c r="B49" s="8" t="s">
        <v>501</v>
      </c>
      <c r="C49" s="26">
        <v>7.5999999999999996</v>
      </c>
      <c r="D49" s="8"/>
      <c r="E49" s="26">
        <v>-4.7000000000000002</v>
      </c>
      <c r="F49" s="8"/>
      <c r="G49" s="26">
        <v>-15.1</v>
      </c>
      <c r="H49" s="8"/>
      <c r="I49" s="26">
        <v>3.6000000000000001</v>
      </c>
      <c r="J49" s="8"/>
      <c r="K49" s="26">
        <v>9</v>
      </c>
      <c r="L49" s="8"/>
      <c r="M49" s="26">
        <v>-9.1999999999999993</v>
      </c>
      <c r="N49" s="8"/>
      <c r="O49" s="26">
        <v>-11</v>
      </c>
      <c r="P49" s="8"/>
      <c r="Q49" s="26">
        <v>3.2999999999999998</v>
      </c>
      <c r="R49" s="8"/>
      <c r="S49" s="26">
        <v>7.7999999999999998</v>
      </c>
      <c r="T49" s="8"/>
      <c r="U49" s="26">
        <v>-6.2000000000000002</v>
      </c>
      <c r="V49" s="8"/>
      <c r="W49" s="26">
        <v>-11.5</v>
      </c>
      <c r="X49" s="8"/>
      <c r="Y49" s="26">
        <v>1.8999999999999999</v>
      </c>
      <c r="Z49" s="8"/>
      <c r="AA49" s="26">
        <v>8</v>
      </c>
      <c r="AB49" s="8"/>
      <c r="AC49" s="8"/>
    </row>
    <row r="50" ht="12" customHeight="1">
      <c r="A50" s="8" t="s">
        <v>161</v>
      </c>
      <c r="B50" s="8" t="s">
        <v>502</v>
      </c>
      <c r="C50" s="26">
        <v>1.1000000000000001</v>
      </c>
      <c r="D50" s="8"/>
      <c r="E50" s="26">
        <v>1.3</v>
      </c>
      <c r="F50" s="8"/>
      <c r="G50" s="26">
        <v>-0.20000000000000001</v>
      </c>
      <c r="H50" s="8"/>
      <c r="I50" s="26">
        <v>0.80000000000000004</v>
      </c>
      <c r="J50" s="8"/>
      <c r="K50" s="26">
        <v>-0.29999999999999999</v>
      </c>
      <c r="L50" s="8"/>
      <c r="M50" s="26">
        <v>0.40000000000000002</v>
      </c>
      <c r="N50" s="8"/>
      <c r="O50" s="26">
        <v>0.40000000000000002</v>
      </c>
      <c r="P50" s="8"/>
      <c r="Q50" s="26">
        <v>0.20000000000000001</v>
      </c>
      <c r="R50" s="8"/>
      <c r="S50" s="26">
        <v>0.90000000000000002</v>
      </c>
      <c r="T50" s="8"/>
      <c r="U50" s="26">
        <v>0.80000000000000004</v>
      </c>
      <c r="V50" s="8"/>
      <c r="W50" s="26">
        <v>1.8</v>
      </c>
      <c r="X50" s="8"/>
      <c r="Y50" s="26">
        <v>-0.29999999999999999</v>
      </c>
      <c r="Z50" s="8"/>
      <c r="AA50" s="26">
        <v>0.69999999999999996</v>
      </c>
      <c r="AB50" s="8"/>
      <c r="AC50" s="8"/>
    </row>
    <row r="51" ht="12" customHeight="1">
      <c r="A51" s="8" t="s">
        <v>163</v>
      </c>
      <c r="B51" s="8" t="s">
        <v>503</v>
      </c>
      <c r="C51" s="26">
        <v>3.1000000000000001</v>
      </c>
      <c r="D51" s="8"/>
      <c r="E51" s="26">
        <v>1.2</v>
      </c>
      <c r="F51" s="8"/>
      <c r="G51" s="26">
        <v>3.6000000000000001</v>
      </c>
      <c r="H51" s="8"/>
      <c r="I51" s="26">
        <v>0.10000000000000001</v>
      </c>
      <c r="J51" s="8"/>
      <c r="K51" s="26">
        <v>0.40000000000000002</v>
      </c>
      <c r="L51" s="8"/>
      <c r="M51" s="26">
        <v>0.80000000000000004</v>
      </c>
      <c r="N51" s="8"/>
      <c r="O51" s="26">
        <v>-2.2000000000000002</v>
      </c>
      <c r="P51" s="8"/>
      <c r="Q51" s="26">
        <v>1.7</v>
      </c>
      <c r="R51" s="8"/>
      <c r="S51" s="26">
        <v>1.5</v>
      </c>
      <c r="T51" s="8"/>
      <c r="U51" s="26">
        <v>-1.1000000000000001</v>
      </c>
      <c r="V51" s="8"/>
      <c r="W51" s="26">
        <v>-2.1000000000000001</v>
      </c>
      <c r="X51" s="8"/>
      <c r="Y51" s="26">
        <v>1.2</v>
      </c>
      <c r="Z51" s="8"/>
      <c r="AA51" s="26">
        <v>0.80000000000000004</v>
      </c>
      <c r="AB51" s="8"/>
      <c r="AC51" s="8"/>
    </row>
    <row r="52" ht="12" customHeight="1">
      <c r="A52" s="8" t="s">
        <v>165</v>
      </c>
      <c r="B52" s="8" t="s">
        <v>504</v>
      </c>
      <c r="C52" s="26">
        <v>2</v>
      </c>
      <c r="D52" s="8"/>
      <c r="E52" s="26">
        <v>1.3</v>
      </c>
      <c r="F52" s="8"/>
      <c r="G52" s="26">
        <v>1.8</v>
      </c>
      <c r="H52" s="8"/>
      <c r="I52" s="26">
        <v>0.90000000000000002</v>
      </c>
      <c r="J52" s="8"/>
      <c r="K52" s="26">
        <v>2.3999999999999999</v>
      </c>
      <c r="L52" s="8"/>
      <c r="M52" s="26">
        <v>3.1000000000000001</v>
      </c>
      <c r="N52" s="8"/>
      <c r="O52" s="26">
        <v>3.2000000000000002</v>
      </c>
      <c r="P52" s="8"/>
      <c r="Q52" s="26">
        <v>-0.69999999999999996</v>
      </c>
      <c r="R52" s="8"/>
      <c r="S52" s="26">
        <v>0.69999999999999996</v>
      </c>
      <c r="T52" s="8"/>
      <c r="U52" s="26">
        <v>0.40000000000000002</v>
      </c>
      <c r="V52" s="8"/>
      <c r="W52" s="26">
        <v>6</v>
      </c>
      <c r="X52" s="8"/>
      <c r="Y52" s="26">
        <v>0.40000000000000002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505</v>
      </c>
      <c r="C53" s="26">
        <v>3.3999999999999999</v>
      </c>
      <c r="D53" s="8"/>
      <c r="E53" s="26">
        <v>1.3999999999999999</v>
      </c>
      <c r="F53" s="8"/>
      <c r="G53" s="26">
        <v>2</v>
      </c>
      <c r="H53" s="8"/>
      <c r="I53" s="26">
        <v>2.5</v>
      </c>
      <c r="J53" s="8"/>
      <c r="K53" s="26">
        <v>0.69999999999999996</v>
      </c>
      <c r="L53" s="8"/>
      <c r="M53" s="26">
        <v>0.5</v>
      </c>
      <c r="N53" s="8"/>
      <c r="O53" s="26">
        <v>1.3999999999999999</v>
      </c>
      <c r="P53" s="8"/>
      <c r="Q53" s="26">
        <v>0.59999999999999998</v>
      </c>
      <c r="R53" s="8"/>
      <c r="S53" s="26">
        <v>1.7</v>
      </c>
      <c r="T53" s="8"/>
      <c r="U53" s="26">
        <v>-0.59999999999999998</v>
      </c>
      <c r="V53" s="8"/>
      <c r="W53" s="26">
        <v>0.10000000000000001</v>
      </c>
      <c r="X53" s="8"/>
      <c r="Y53" s="26">
        <v>2.1000000000000001</v>
      </c>
      <c r="Z53" s="8"/>
      <c r="AA53" s="26">
        <v>1.1000000000000001</v>
      </c>
      <c r="AB53" s="8"/>
      <c r="AC53" s="8"/>
    </row>
    <row r="54" ht="12" customHeight="1">
      <c r="A54" s="8" t="s">
        <v>169</v>
      </c>
      <c r="B54" s="8" t="s">
        <v>506</v>
      </c>
      <c r="C54" s="26">
        <v>4.7999999999999998</v>
      </c>
      <c r="D54" s="8"/>
      <c r="E54" s="26">
        <v>2.1000000000000001</v>
      </c>
      <c r="F54" s="8"/>
      <c r="G54" s="26">
        <v>-0.5</v>
      </c>
      <c r="H54" s="8"/>
      <c r="I54" s="26">
        <v>1.6000000000000001</v>
      </c>
      <c r="J54" s="8"/>
      <c r="K54" s="26">
        <v>1.8</v>
      </c>
      <c r="L54" s="8"/>
      <c r="M54" s="26">
        <v>6.7000000000000002</v>
      </c>
      <c r="N54" s="8"/>
      <c r="O54" s="26">
        <v>-5.5</v>
      </c>
      <c r="P54" s="8"/>
      <c r="Q54" s="26">
        <v>-0.80000000000000004</v>
      </c>
      <c r="R54" s="8"/>
      <c r="S54" s="26">
        <v>4.2999999999999998</v>
      </c>
      <c r="T54" s="8"/>
      <c r="U54" s="26">
        <v>2</v>
      </c>
      <c r="V54" s="8"/>
      <c r="W54" s="26">
        <v>0.59999999999999998</v>
      </c>
      <c r="X54" s="8"/>
      <c r="Y54" s="26">
        <v>0.40000000000000002</v>
      </c>
      <c r="Z54" s="8"/>
      <c r="AA54" s="26">
        <v>3.6000000000000001</v>
      </c>
      <c r="AB54" s="8"/>
      <c r="AC54" s="8"/>
    </row>
    <row r="55" ht="12" customHeight="1">
      <c r="A55" s="11" t="s">
        <v>171</v>
      </c>
      <c r="B55" s="8" t="s">
        <v>507</v>
      </c>
      <c r="C55" s="26">
        <v>0</v>
      </c>
      <c r="D55" s="8"/>
      <c r="E55" s="26">
        <v>2.7999999999999998</v>
      </c>
      <c r="F55" s="8"/>
      <c r="G55" s="26">
        <v>0</v>
      </c>
      <c r="H55" s="8"/>
      <c r="I55" s="26">
        <v>1</v>
      </c>
      <c r="J55" s="8"/>
      <c r="K55" s="26">
        <v>0</v>
      </c>
      <c r="L55" s="8"/>
      <c r="M55" s="26">
        <v>3</v>
      </c>
      <c r="N55" s="8"/>
      <c r="O55" s="26">
        <v>0</v>
      </c>
      <c r="P55" s="8"/>
      <c r="Q55" s="26">
        <v>-5</v>
      </c>
      <c r="R55" s="8"/>
      <c r="S55" s="26">
        <v>0</v>
      </c>
      <c r="T55" s="8"/>
      <c r="U55" s="26">
        <v>11.199999999999999</v>
      </c>
      <c r="V55" s="8"/>
      <c r="W55" s="26">
        <v>0</v>
      </c>
      <c r="X55" s="8"/>
      <c r="Y55" s="26">
        <v>0.59999999999999998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508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3.2999999999999998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-17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2.3999999999999999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509</v>
      </c>
      <c r="C57" s="26">
        <v>0</v>
      </c>
      <c r="D57" s="8"/>
      <c r="E57" s="26">
        <v>1.2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2.2999999999999998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510</v>
      </c>
      <c r="C58" s="26">
        <v>0</v>
      </c>
      <c r="D58" s="8"/>
      <c r="E58" s="26">
        <v>5.7999999999999998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5.5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22.699999999999999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511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5.2000000000000002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512</v>
      </c>
      <c r="C60" s="26">
        <v>1.8</v>
      </c>
      <c r="D60" s="8"/>
      <c r="E60" s="26">
        <v>2.2000000000000002</v>
      </c>
      <c r="F60" s="8"/>
      <c r="G60" s="26">
        <v>3.2000000000000002</v>
      </c>
      <c r="H60" s="8"/>
      <c r="I60" s="26">
        <v>2.6000000000000001</v>
      </c>
      <c r="J60" s="8"/>
      <c r="K60" s="26">
        <v>2.3999999999999999</v>
      </c>
      <c r="L60" s="8"/>
      <c r="M60" s="26">
        <v>3.1000000000000001</v>
      </c>
      <c r="N60" s="8"/>
      <c r="O60" s="26">
        <v>2.6000000000000001</v>
      </c>
      <c r="P60" s="8"/>
      <c r="Q60" s="26">
        <v>1.8</v>
      </c>
      <c r="R60" s="8"/>
      <c r="S60" s="26">
        <v>1.5</v>
      </c>
      <c r="T60" s="8"/>
      <c r="U60" s="26">
        <v>1.1000000000000001</v>
      </c>
      <c r="V60" s="8"/>
      <c r="W60" s="26">
        <v>1.1000000000000001</v>
      </c>
      <c r="X60" s="8"/>
      <c r="Y60" s="26">
        <v>0.40000000000000002</v>
      </c>
      <c r="Z60" s="8"/>
      <c r="AA60" s="26">
        <v>0.29999999999999999</v>
      </c>
      <c r="AB60" s="8"/>
      <c r="AC60" s="8"/>
    </row>
    <row r="61" ht="12" customHeight="1">
      <c r="A61" s="8" t="s">
        <v>183</v>
      </c>
      <c r="B61" s="8" t="s">
        <v>513</v>
      </c>
      <c r="C61" s="26">
        <v>2.7000000000000002</v>
      </c>
      <c r="D61" s="8"/>
      <c r="E61" s="26">
        <v>2</v>
      </c>
      <c r="F61" s="8"/>
      <c r="G61" s="26">
        <v>2.1000000000000001</v>
      </c>
      <c r="H61" s="8"/>
      <c r="I61" s="26">
        <v>-0.5</v>
      </c>
      <c r="J61" s="8"/>
      <c r="K61" s="26">
        <v>-1.3</v>
      </c>
      <c r="L61" s="8"/>
      <c r="M61" s="26">
        <v>0.29999999999999999</v>
      </c>
      <c r="N61" s="8"/>
      <c r="O61" s="26">
        <v>-0.29999999999999999</v>
      </c>
      <c r="P61" s="8"/>
      <c r="Q61" s="26">
        <v>-0.59999999999999998</v>
      </c>
      <c r="R61" s="8"/>
      <c r="S61" s="26">
        <v>0</v>
      </c>
      <c r="T61" s="8"/>
      <c r="U61" s="26">
        <v>0.40000000000000002</v>
      </c>
      <c r="V61" s="8"/>
      <c r="W61" s="26">
        <v>1</v>
      </c>
      <c r="X61" s="8"/>
      <c r="Y61" s="26">
        <v>0.29999999999999999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514</v>
      </c>
      <c r="C62" s="26">
        <v>2.1000000000000001</v>
      </c>
      <c r="D62" s="8"/>
      <c r="E62" s="26">
        <v>-0.20000000000000001</v>
      </c>
      <c r="F62" s="8"/>
      <c r="G62" s="26">
        <v>1.1000000000000001</v>
      </c>
      <c r="H62" s="8"/>
      <c r="I62" s="26">
        <v>1.8</v>
      </c>
      <c r="J62" s="8"/>
      <c r="K62" s="26">
        <v>1.3</v>
      </c>
      <c r="L62" s="8"/>
      <c r="M62" s="26">
        <v>1.3</v>
      </c>
      <c r="N62" s="8"/>
      <c r="O62" s="26">
        <v>3.1000000000000001</v>
      </c>
      <c r="P62" s="8"/>
      <c r="Q62" s="26">
        <v>2.1000000000000001</v>
      </c>
      <c r="R62" s="8"/>
      <c r="S62" s="26">
        <v>2.1000000000000001</v>
      </c>
      <c r="T62" s="8"/>
      <c r="U62" s="26">
        <v>0.5</v>
      </c>
      <c r="V62" s="8"/>
      <c r="W62" s="26">
        <v>3.1000000000000001</v>
      </c>
      <c r="X62" s="8"/>
      <c r="Y62" s="26">
        <v>1.1000000000000001</v>
      </c>
      <c r="Z62" s="8"/>
      <c r="AA62" s="26">
        <v>3.8999999999999999</v>
      </c>
      <c r="AB62" s="8"/>
      <c r="AC62" s="8"/>
    </row>
    <row r="63" ht="12" customHeight="1">
      <c r="A63" s="8" t="s">
        <v>187</v>
      </c>
      <c r="B63" s="8" t="s">
        <v>515</v>
      </c>
      <c r="C63" s="26">
        <v>1.8</v>
      </c>
      <c r="D63" s="8"/>
      <c r="E63" s="26">
        <v>2.5</v>
      </c>
      <c r="F63" s="8"/>
      <c r="G63" s="26">
        <v>4.2000000000000002</v>
      </c>
      <c r="H63" s="8"/>
      <c r="I63" s="26">
        <v>4.4000000000000004</v>
      </c>
      <c r="J63" s="8"/>
      <c r="K63" s="26">
        <v>4.4000000000000004</v>
      </c>
      <c r="L63" s="8"/>
      <c r="M63" s="26">
        <v>4.7999999999999998</v>
      </c>
      <c r="N63" s="8"/>
      <c r="O63" s="26">
        <v>4.0999999999999996</v>
      </c>
      <c r="P63" s="8"/>
      <c r="Q63" s="26">
        <v>2.8999999999999999</v>
      </c>
      <c r="R63" s="8"/>
      <c r="S63" s="26">
        <v>2.2999999999999998</v>
      </c>
      <c r="T63" s="8"/>
      <c r="U63" s="26">
        <v>1.3999999999999999</v>
      </c>
      <c r="V63" s="8"/>
      <c r="W63" s="26">
        <v>1.1000000000000001</v>
      </c>
      <c r="X63" s="8"/>
      <c r="Y63" s="26">
        <v>0.59999999999999998</v>
      </c>
      <c r="Z63" s="8"/>
      <c r="AA63" s="26">
        <v>0.29999999999999999</v>
      </c>
      <c r="AB63" s="8"/>
      <c r="AC63" s="8"/>
    </row>
    <row r="64" ht="12" customHeight="1">
      <c r="A64" s="8" t="s">
        <v>189</v>
      </c>
      <c r="B64" s="8" t="s">
        <v>516</v>
      </c>
      <c r="C64" s="26">
        <v>-2.2000000000000002</v>
      </c>
      <c r="D64" s="8"/>
      <c r="E64" s="26">
        <v>-0.80000000000000004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-2.8999999999999999</v>
      </c>
      <c r="R64" s="8"/>
      <c r="S64" s="26">
        <v>-1</v>
      </c>
      <c r="T64" s="8"/>
      <c r="U64" s="26">
        <v>0</v>
      </c>
      <c r="V64" s="8"/>
      <c r="W64" s="26">
        <v>-0.59999999999999998</v>
      </c>
      <c r="X64" s="8"/>
      <c r="Y64" s="26">
        <v>-0.10000000000000001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517</v>
      </c>
      <c r="C65" s="26">
        <v>0.10000000000000001</v>
      </c>
      <c r="D65" s="8"/>
      <c r="E65" s="26">
        <v>1.1000000000000001</v>
      </c>
      <c r="F65" s="8"/>
      <c r="G65" s="26">
        <v>1.2</v>
      </c>
      <c r="H65" s="8"/>
      <c r="I65" s="26">
        <v>1.3</v>
      </c>
      <c r="J65" s="8"/>
      <c r="K65" s="26">
        <v>0.59999999999999998</v>
      </c>
      <c r="L65" s="8"/>
      <c r="M65" s="26">
        <v>0.59999999999999998</v>
      </c>
      <c r="N65" s="8"/>
      <c r="O65" s="26">
        <v>1.1000000000000001</v>
      </c>
      <c r="P65" s="8"/>
      <c r="Q65" s="26">
        <v>0.29999999999999999</v>
      </c>
      <c r="R65" s="8"/>
      <c r="S65" s="26">
        <v>0.69999999999999996</v>
      </c>
      <c r="T65" s="8"/>
      <c r="U65" s="26">
        <v>0.5</v>
      </c>
      <c r="V65" s="8"/>
      <c r="W65" s="26">
        <v>1.3</v>
      </c>
      <c r="X65" s="8"/>
      <c r="Y65" s="26">
        <v>-0.40000000000000002</v>
      </c>
      <c r="Z65" s="8"/>
      <c r="AA65" s="26">
        <v>0.10000000000000001</v>
      </c>
      <c r="AB65" s="8"/>
      <c r="AC65" s="8"/>
    </row>
    <row r="66" ht="12" customHeight="1">
      <c r="A66" s="11" t="s">
        <v>193</v>
      </c>
      <c r="B66" s="8" t="s">
        <v>518</v>
      </c>
      <c r="C66" s="26">
        <v>6.5</v>
      </c>
      <c r="D66" s="8"/>
      <c r="E66" s="26">
        <v>6.7999999999999998</v>
      </c>
      <c r="F66" s="8"/>
      <c r="G66" s="26">
        <v>3.7000000000000002</v>
      </c>
      <c r="H66" s="8"/>
      <c r="I66" s="26">
        <v>8.1999999999999993</v>
      </c>
      <c r="J66" s="8"/>
      <c r="K66" s="26">
        <v>9.3000000000000007</v>
      </c>
      <c r="L66" s="8"/>
      <c r="M66" s="26">
        <v>4.4000000000000004</v>
      </c>
      <c r="N66" s="8"/>
      <c r="O66" s="26">
        <v>2.2000000000000002</v>
      </c>
      <c r="P66" s="8"/>
      <c r="Q66" s="26">
        <v>1</v>
      </c>
      <c r="R66" s="8"/>
      <c r="S66" s="26">
        <v>-0.5</v>
      </c>
      <c r="T66" s="8"/>
      <c r="U66" s="26">
        <v>-1.8999999999999999</v>
      </c>
      <c r="V66" s="8"/>
      <c r="W66" s="26">
        <v>-6</v>
      </c>
      <c r="X66" s="8"/>
      <c r="Y66" s="26">
        <v>-6</v>
      </c>
      <c r="Z66" s="8"/>
      <c r="AA66" s="26">
        <v>-3.7999999999999998</v>
      </c>
      <c r="AB66" s="8"/>
      <c r="AC66" s="8"/>
    </row>
    <row r="67" ht="12" customHeight="1">
      <c r="A67" s="8" t="s">
        <v>195</v>
      </c>
      <c r="B67" s="8" t="s">
        <v>519</v>
      </c>
      <c r="C67" s="26">
        <v>6.5</v>
      </c>
      <c r="D67" s="8"/>
      <c r="E67" s="26">
        <v>6.7999999999999998</v>
      </c>
      <c r="F67" s="8"/>
      <c r="G67" s="26">
        <v>3.7000000000000002</v>
      </c>
      <c r="H67" s="8"/>
      <c r="I67" s="26">
        <v>8.1999999999999993</v>
      </c>
      <c r="J67" s="8"/>
      <c r="K67" s="26">
        <v>9.3000000000000007</v>
      </c>
      <c r="L67" s="8"/>
      <c r="M67" s="26">
        <v>4.4000000000000004</v>
      </c>
      <c r="N67" s="8"/>
      <c r="O67" s="26">
        <v>2.2000000000000002</v>
      </c>
      <c r="P67" s="8"/>
      <c r="Q67" s="26">
        <v>1</v>
      </c>
      <c r="R67" s="8"/>
      <c r="S67" s="26">
        <v>-0.5</v>
      </c>
      <c r="T67" s="8"/>
      <c r="U67" s="26">
        <v>-1.8999999999999999</v>
      </c>
      <c r="V67" s="8"/>
      <c r="W67" s="26">
        <v>-6</v>
      </c>
      <c r="X67" s="8"/>
      <c r="Y67" s="26">
        <v>-6</v>
      </c>
      <c r="Z67" s="8"/>
      <c r="AA67" s="26">
        <v>-3.7999999999999998</v>
      </c>
      <c r="AB67" s="8"/>
      <c r="AC67" s="8"/>
    </row>
    <row r="68" ht="12" customHeight="1">
      <c r="A68" s="13" t="s">
        <v>69</v>
      </c>
      <c r="B68" s="10" t="s">
        <v>50</v>
      </c>
      <c r="C68" s="27">
        <v>1.5</v>
      </c>
      <c r="D68" s="10"/>
      <c r="E68" s="27">
        <v>1.7</v>
      </c>
      <c r="F68" s="10"/>
      <c r="G68" s="27">
        <v>1.3999999999999999</v>
      </c>
      <c r="H68" s="10"/>
      <c r="I68" s="27">
        <v>2.2000000000000002</v>
      </c>
      <c r="J68" s="10"/>
      <c r="K68" s="27">
        <v>0.90000000000000002</v>
      </c>
      <c r="L68" s="10"/>
      <c r="M68" s="27">
        <v>0.90000000000000002</v>
      </c>
      <c r="N68" s="10"/>
      <c r="O68" s="27">
        <v>0.69999999999999996</v>
      </c>
      <c r="P68" s="10"/>
      <c r="Q68" s="27">
        <v>1.2</v>
      </c>
      <c r="R68" s="10"/>
      <c r="S68" s="27">
        <v>0.5</v>
      </c>
      <c r="T68" s="10"/>
      <c r="U68" s="27">
        <v>1.1000000000000001</v>
      </c>
      <c r="V68" s="10"/>
      <c r="W68" s="27">
        <v>0.5</v>
      </c>
      <c r="X68" s="10"/>
      <c r="Y68" s="27">
        <v>1</v>
      </c>
      <c r="Z68" s="10"/>
      <c r="AA68" s="27">
        <v>0.29999999999999999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521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459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460</v>
      </c>
      <c r="C8" s="22">
        <v>11.1</v>
      </c>
      <c r="D8" s="22"/>
      <c r="E8" s="22">
        <v>12</v>
      </c>
      <c r="F8" s="22"/>
      <c r="G8" s="22">
        <v>12.9</v>
      </c>
      <c r="H8" s="22"/>
      <c r="I8" s="22">
        <v>9.1999999999999993</v>
      </c>
      <c r="J8" s="22"/>
      <c r="K8" s="22">
        <v>5.7000000000000002</v>
      </c>
      <c r="L8" s="22"/>
      <c r="M8" s="22">
        <v>1.8999999999999999</v>
      </c>
      <c r="N8" s="22"/>
      <c r="O8" s="22">
        <v>-0.20000000000000001</v>
      </c>
      <c r="P8" s="22"/>
      <c r="Q8" s="22">
        <v>0.40000000000000002</v>
      </c>
      <c r="R8" s="22"/>
      <c r="S8" s="22">
        <v>1.1000000000000001</v>
      </c>
      <c r="T8" s="22"/>
      <c r="U8" s="22">
        <v>2.7000000000000002</v>
      </c>
      <c r="V8" s="22"/>
      <c r="W8" s="22">
        <v>4.5999999999999996</v>
      </c>
      <c r="X8" s="22"/>
      <c r="Y8" s="22">
        <v>5</v>
      </c>
      <c r="Z8" s="22"/>
      <c r="AA8" s="22">
        <v>4.7000000000000002</v>
      </c>
      <c r="AB8" s="22"/>
      <c r="AC8" s="18"/>
    </row>
    <row r="9" ht="12" customHeight="1">
      <c r="A9" s="8" t="s">
        <v>79</v>
      </c>
      <c r="B9" s="8" t="s">
        <v>461</v>
      </c>
      <c r="C9" s="26">
        <v>20</v>
      </c>
      <c r="D9" s="8"/>
      <c r="E9" s="26">
        <v>20.199999999999999</v>
      </c>
      <c r="F9" s="8"/>
      <c r="G9" s="26">
        <v>20.300000000000001</v>
      </c>
      <c r="H9" s="8"/>
      <c r="I9" s="26">
        <v>5.0999999999999996</v>
      </c>
      <c r="J9" s="8"/>
      <c r="K9" s="26">
        <v>3.1000000000000001</v>
      </c>
      <c r="L9" s="8"/>
      <c r="M9" s="26">
        <v>-7</v>
      </c>
      <c r="N9" s="8"/>
      <c r="O9" s="26">
        <v>-12.699999999999999</v>
      </c>
      <c r="P9" s="8"/>
      <c r="Q9" s="26">
        <v>-9.8000000000000007</v>
      </c>
      <c r="R9" s="8"/>
      <c r="S9" s="26">
        <v>-8.5</v>
      </c>
      <c r="T9" s="8"/>
      <c r="U9" s="26">
        <v>-6.2000000000000002</v>
      </c>
      <c r="V9" s="8"/>
      <c r="W9" s="26">
        <v>4.2999999999999998</v>
      </c>
      <c r="X9" s="8"/>
      <c r="Y9" s="26">
        <v>8.0999999999999996</v>
      </c>
      <c r="Z9" s="8"/>
      <c r="AA9" s="26">
        <v>3.7999999999999998</v>
      </c>
      <c r="AB9" s="8"/>
      <c r="AC9" s="8"/>
    </row>
    <row r="10" ht="12" customHeight="1">
      <c r="A10" s="8" t="s">
        <v>81</v>
      </c>
      <c r="B10" s="8" t="s">
        <v>462</v>
      </c>
      <c r="C10" s="26">
        <v>11.300000000000001</v>
      </c>
      <c r="D10" s="8"/>
      <c r="E10" s="26">
        <v>9.3000000000000007</v>
      </c>
      <c r="F10" s="8"/>
      <c r="G10" s="26">
        <v>11</v>
      </c>
      <c r="H10" s="8"/>
      <c r="I10" s="26">
        <v>8.0999999999999996</v>
      </c>
      <c r="J10" s="8"/>
      <c r="K10" s="26">
        <v>2.6000000000000001</v>
      </c>
      <c r="L10" s="8"/>
      <c r="M10" s="26">
        <v>0.69999999999999996</v>
      </c>
      <c r="N10" s="8"/>
      <c r="O10" s="26">
        <v>-0.80000000000000004</v>
      </c>
      <c r="P10" s="8"/>
      <c r="Q10" s="26">
        <v>0.20000000000000001</v>
      </c>
      <c r="R10" s="8"/>
      <c r="S10" s="26">
        <v>2</v>
      </c>
      <c r="T10" s="8"/>
      <c r="U10" s="26">
        <v>4.0999999999999996</v>
      </c>
      <c r="V10" s="8"/>
      <c r="W10" s="26">
        <v>5.0999999999999996</v>
      </c>
      <c r="X10" s="8"/>
      <c r="Y10" s="26">
        <v>7.5</v>
      </c>
      <c r="Z10" s="8"/>
      <c r="AA10" s="26">
        <v>7.2999999999999998</v>
      </c>
      <c r="AB10" s="8"/>
      <c r="AC10" s="8"/>
    </row>
    <row r="11" ht="12" customHeight="1">
      <c r="A11" s="8" t="s">
        <v>83</v>
      </c>
      <c r="B11" s="8" t="s">
        <v>463</v>
      </c>
      <c r="C11" s="26">
        <v>10.300000000000001</v>
      </c>
      <c r="D11" s="8"/>
      <c r="E11" s="26">
        <v>12.4</v>
      </c>
      <c r="F11" s="8"/>
      <c r="G11" s="26">
        <v>13.4</v>
      </c>
      <c r="H11" s="8"/>
      <c r="I11" s="26">
        <v>11.1</v>
      </c>
      <c r="J11" s="8"/>
      <c r="K11" s="26">
        <v>6.5</v>
      </c>
      <c r="L11" s="8"/>
      <c r="M11" s="26">
        <v>2.8999999999999999</v>
      </c>
      <c r="N11" s="8"/>
      <c r="O11" s="26">
        <v>1.1000000000000001</v>
      </c>
      <c r="P11" s="8"/>
      <c r="Q11" s="26">
        <v>1.8</v>
      </c>
      <c r="R11" s="8"/>
      <c r="S11" s="26">
        <v>2.6000000000000001</v>
      </c>
      <c r="T11" s="8"/>
      <c r="U11" s="26">
        <v>4.5999999999999996</v>
      </c>
      <c r="V11" s="8"/>
      <c r="W11" s="26">
        <v>5.2999999999999998</v>
      </c>
      <c r="X11" s="8"/>
      <c r="Y11" s="26">
        <v>4.7999999999999998</v>
      </c>
      <c r="Z11" s="8"/>
      <c r="AA11" s="26">
        <v>4.7000000000000002</v>
      </c>
      <c r="AB11" s="8"/>
      <c r="AC11" s="8"/>
    </row>
    <row r="12" ht="12" customHeight="1">
      <c r="A12" s="8" t="s">
        <v>85</v>
      </c>
      <c r="B12" s="8" t="s">
        <v>464</v>
      </c>
      <c r="C12" s="26">
        <v>7.7000000000000002</v>
      </c>
      <c r="D12" s="8"/>
      <c r="E12" s="26">
        <v>7.9000000000000004</v>
      </c>
      <c r="F12" s="8"/>
      <c r="G12" s="26">
        <v>9.9000000000000004</v>
      </c>
      <c r="H12" s="8"/>
      <c r="I12" s="26">
        <v>9.0999999999999996</v>
      </c>
      <c r="J12" s="8"/>
      <c r="K12" s="26">
        <v>6.2999999999999998</v>
      </c>
      <c r="L12" s="8"/>
      <c r="M12" s="26">
        <v>5.2000000000000002</v>
      </c>
      <c r="N12" s="8"/>
      <c r="O12" s="26">
        <v>4.7000000000000002</v>
      </c>
      <c r="P12" s="8"/>
      <c r="Q12" s="26">
        <v>4.4000000000000004</v>
      </c>
      <c r="R12" s="8"/>
      <c r="S12" s="26">
        <v>4.5</v>
      </c>
      <c r="T12" s="8"/>
      <c r="U12" s="26">
        <v>5.7999999999999998</v>
      </c>
      <c r="V12" s="8"/>
      <c r="W12" s="26">
        <v>6.2999999999999998</v>
      </c>
      <c r="X12" s="8"/>
      <c r="Y12" s="26">
        <v>4.7999999999999998</v>
      </c>
      <c r="Z12" s="8"/>
      <c r="AA12" s="26">
        <v>5.2999999999999998</v>
      </c>
      <c r="AB12" s="8"/>
      <c r="AC12" s="8"/>
    </row>
    <row r="13" ht="12" customHeight="1">
      <c r="A13" s="8" t="s">
        <v>87</v>
      </c>
      <c r="B13" s="8" t="s">
        <v>465</v>
      </c>
      <c r="C13" s="26">
        <v>8.0999999999999996</v>
      </c>
      <c r="D13" s="8"/>
      <c r="E13" s="26">
        <v>9</v>
      </c>
      <c r="F13" s="8"/>
      <c r="G13" s="26">
        <v>9.5</v>
      </c>
      <c r="H13" s="8"/>
      <c r="I13" s="26">
        <v>9.4000000000000004</v>
      </c>
      <c r="J13" s="8"/>
      <c r="K13" s="26">
        <v>7.9000000000000004</v>
      </c>
      <c r="L13" s="8"/>
      <c r="M13" s="26">
        <v>6.7999999999999998</v>
      </c>
      <c r="N13" s="8"/>
      <c r="O13" s="26">
        <v>5.2000000000000002</v>
      </c>
      <c r="P13" s="8"/>
      <c r="Q13" s="26">
        <v>3.7000000000000002</v>
      </c>
      <c r="R13" s="8"/>
      <c r="S13" s="26">
        <v>3.3999999999999999</v>
      </c>
      <c r="T13" s="8"/>
      <c r="U13" s="26">
        <v>2.6000000000000001</v>
      </c>
      <c r="V13" s="8"/>
      <c r="W13" s="26">
        <v>2.1000000000000001</v>
      </c>
      <c r="X13" s="8"/>
      <c r="Y13" s="26">
        <v>2.5</v>
      </c>
      <c r="Z13" s="8"/>
      <c r="AA13" s="26">
        <v>2.5</v>
      </c>
      <c r="AB13" s="8"/>
      <c r="AC13" s="8"/>
    </row>
    <row r="14" ht="12" customHeight="1">
      <c r="A14" s="11" t="s">
        <v>89</v>
      </c>
      <c r="B14" s="8" t="s">
        <v>466</v>
      </c>
      <c r="C14" s="26">
        <v>5.9000000000000004</v>
      </c>
      <c r="D14" s="8"/>
      <c r="E14" s="26">
        <v>7.7999999999999998</v>
      </c>
      <c r="F14" s="8"/>
      <c r="G14" s="26">
        <v>7.9000000000000004</v>
      </c>
      <c r="H14" s="8"/>
      <c r="I14" s="26">
        <v>7.7000000000000002</v>
      </c>
      <c r="J14" s="8"/>
      <c r="K14" s="26">
        <v>8.5</v>
      </c>
      <c r="L14" s="8"/>
      <c r="M14" s="26">
        <v>7.7999999999999998</v>
      </c>
      <c r="N14" s="8"/>
      <c r="O14" s="26">
        <v>7.4000000000000004</v>
      </c>
      <c r="P14" s="8"/>
      <c r="Q14" s="26">
        <v>6.9000000000000004</v>
      </c>
      <c r="R14" s="8"/>
      <c r="S14" s="26">
        <v>5.5</v>
      </c>
      <c r="T14" s="8"/>
      <c r="U14" s="26">
        <v>3.7000000000000002</v>
      </c>
      <c r="V14" s="8"/>
      <c r="W14" s="26">
        <v>2.8999999999999999</v>
      </c>
      <c r="X14" s="8"/>
      <c r="Y14" s="26">
        <v>2.6000000000000001</v>
      </c>
      <c r="Z14" s="8"/>
      <c r="AA14" s="26">
        <v>2.7999999999999998</v>
      </c>
      <c r="AB14" s="8"/>
      <c r="AC14" s="8"/>
    </row>
    <row r="15" ht="12" customHeight="1">
      <c r="A15" s="8" t="s">
        <v>91</v>
      </c>
      <c r="B15" s="8" t="s">
        <v>467</v>
      </c>
      <c r="C15" s="26">
        <v>6.9000000000000004</v>
      </c>
      <c r="D15" s="8"/>
      <c r="E15" s="26">
        <v>7.0999999999999996</v>
      </c>
      <c r="F15" s="8"/>
      <c r="G15" s="26">
        <v>7.2999999999999998</v>
      </c>
      <c r="H15" s="8"/>
      <c r="I15" s="26">
        <v>6.4000000000000004</v>
      </c>
      <c r="J15" s="8"/>
      <c r="K15" s="26">
        <v>5.5</v>
      </c>
      <c r="L15" s="8"/>
      <c r="M15" s="26">
        <v>4.9000000000000004</v>
      </c>
      <c r="N15" s="8"/>
      <c r="O15" s="26">
        <v>4.2000000000000002</v>
      </c>
      <c r="P15" s="8"/>
      <c r="Q15" s="26">
        <v>3.5</v>
      </c>
      <c r="R15" s="8"/>
      <c r="S15" s="26">
        <v>2.8999999999999999</v>
      </c>
      <c r="T15" s="8"/>
      <c r="U15" s="26">
        <v>2.7000000000000002</v>
      </c>
      <c r="V15" s="8"/>
      <c r="W15" s="26">
        <v>0.80000000000000004</v>
      </c>
      <c r="X15" s="8"/>
      <c r="Y15" s="26">
        <v>0.5</v>
      </c>
      <c r="Z15" s="8"/>
      <c r="AA15" s="26">
        <v>0.20000000000000001</v>
      </c>
      <c r="AB15" s="8"/>
      <c r="AC15" s="8"/>
    </row>
    <row r="16" ht="12" customHeight="1">
      <c r="A16" s="8" t="s">
        <v>93</v>
      </c>
      <c r="B16" s="8" t="s">
        <v>468</v>
      </c>
      <c r="C16" s="26">
        <v>5</v>
      </c>
      <c r="D16" s="8"/>
      <c r="E16" s="26">
        <v>8.4000000000000004</v>
      </c>
      <c r="F16" s="8"/>
      <c r="G16" s="26">
        <v>8.4000000000000004</v>
      </c>
      <c r="H16" s="8"/>
      <c r="I16" s="26">
        <v>9.0999999999999996</v>
      </c>
      <c r="J16" s="8"/>
      <c r="K16" s="26">
        <v>11.6</v>
      </c>
      <c r="L16" s="8"/>
      <c r="M16" s="26">
        <v>10.6</v>
      </c>
      <c r="N16" s="8"/>
      <c r="O16" s="26">
        <v>10.5</v>
      </c>
      <c r="P16" s="8"/>
      <c r="Q16" s="26">
        <v>10.199999999999999</v>
      </c>
      <c r="R16" s="8"/>
      <c r="S16" s="26">
        <v>7.7999999999999998</v>
      </c>
      <c r="T16" s="8"/>
      <c r="U16" s="26">
        <v>5</v>
      </c>
      <c r="V16" s="8"/>
      <c r="W16" s="26">
        <v>5.2999999999999998</v>
      </c>
      <c r="X16" s="8"/>
      <c r="Y16" s="26">
        <v>4.9000000000000004</v>
      </c>
      <c r="Z16" s="8"/>
      <c r="AA16" s="26">
        <v>5.7999999999999998</v>
      </c>
      <c r="AB16" s="8"/>
      <c r="AC16" s="8"/>
    </row>
    <row r="17" ht="12" customHeight="1">
      <c r="A17" s="11" t="s">
        <v>95</v>
      </c>
      <c r="B17" s="8" t="s">
        <v>469</v>
      </c>
      <c r="C17" s="26">
        <v>2.7000000000000002</v>
      </c>
      <c r="D17" s="8"/>
      <c r="E17" s="26">
        <v>3.2999999999999998</v>
      </c>
      <c r="F17" s="8"/>
      <c r="G17" s="26">
        <v>5.2000000000000002</v>
      </c>
      <c r="H17" s="8"/>
      <c r="I17" s="26">
        <v>3.7999999999999998</v>
      </c>
      <c r="J17" s="8"/>
      <c r="K17" s="26">
        <v>3.3999999999999999</v>
      </c>
      <c r="L17" s="8"/>
      <c r="M17" s="26">
        <v>3.7000000000000002</v>
      </c>
      <c r="N17" s="8"/>
      <c r="O17" s="26">
        <v>1.2</v>
      </c>
      <c r="P17" s="8"/>
      <c r="Q17" s="26">
        <v>0.69999999999999996</v>
      </c>
      <c r="R17" s="8"/>
      <c r="S17" s="26">
        <v>-0.5</v>
      </c>
      <c r="T17" s="8"/>
      <c r="U17" s="26">
        <v>0</v>
      </c>
      <c r="V17" s="8"/>
      <c r="W17" s="26">
        <v>-0.5</v>
      </c>
      <c r="X17" s="8"/>
      <c r="Y17" s="26">
        <v>0.20000000000000001</v>
      </c>
      <c r="Z17" s="8"/>
      <c r="AA17" s="26">
        <v>1.8999999999999999</v>
      </c>
      <c r="AB17" s="8"/>
      <c r="AC17" s="8"/>
    </row>
    <row r="18" ht="12" customHeight="1">
      <c r="A18" s="8" t="s">
        <v>97</v>
      </c>
      <c r="B18" s="8" t="s">
        <v>470</v>
      </c>
      <c r="C18" s="26">
        <v>2.7000000000000002</v>
      </c>
      <c r="D18" s="8"/>
      <c r="E18" s="26">
        <v>3</v>
      </c>
      <c r="F18" s="8"/>
      <c r="G18" s="26">
        <v>5.2999999999999998</v>
      </c>
      <c r="H18" s="8"/>
      <c r="I18" s="26">
        <v>4.2000000000000002</v>
      </c>
      <c r="J18" s="8"/>
      <c r="K18" s="26">
        <v>3.7000000000000002</v>
      </c>
      <c r="L18" s="8"/>
      <c r="M18" s="26">
        <v>4.2000000000000002</v>
      </c>
      <c r="N18" s="8"/>
      <c r="O18" s="26">
        <v>1.3</v>
      </c>
      <c r="P18" s="8"/>
      <c r="Q18" s="26">
        <v>0.80000000000000004</v>
      </c>
      <c r="R18" s="8"/>
      <c r="S18" s="26">
        <v>-0.40000000000000002</v>
      </c>
      <c r="T18" s="8"/>
      <c r="U18" s="26">
        <v>-0.5</v>
      </c>
      <c r="V18" s="8"/>
      <c r="W18" s="26">
        <v>-0.20000000000000001</v>
      </c>
      <c r="X18" s="8"/>
      <c r="Y18" s="26">
        <v>0.10000000000000001</v>
      </c>
      <c r="Z18" s="8"/>
      <c r="AA18" s="26">
        <v>1.8999999999999999</v>
      </c>
      <c r="AB18" s="8"/>
      <c r="AC18" s="8"/>
    </row>
    <row r="19" ht="12" customHeight="1">
      <c r="A19" s="8" t="s">
        <v>99</v>
      </c>
      <c r="B19" s="8" t="s">
        <v>471</v>
      </c>
      <c r="C19" s="26">
        <v>2.2000000000000002</v>
      </c>
      <c r="D19" s="8"/>
      <c r="E19" s="26">
        <v>4.4000000000000004</v>
      </c>
      <c r="F19" s="8"/>
      <c r="G19" s="26">
        <v>4</v>
      </c>
      <c r="H19" s="8"/>
      <c r="I19" s="26">
        <v>1.3999999999999999</v>
      </c>
      <c r="J19" s="8"/>
      <c r="K19" s="26">
        <v>1.8</v>
      </c>
      <c r="L19" s="8"/>
      <c r="M19" s="26">
        <v>1.1000000000000001</v>
      </c>
      <c r="N19" s="8"/>
      <c r="O19" s="26">
        <v>0.69999999999999996</v>
      </c>
      <c r="P19" s="8"/>
      <c r="Q19" s="26">
        <v>0.40000000000000002</v>
      </c>
      <c r="R19" s="8"/>
      <c r="S19" s="26">
        <v>-1.3</v>
      </c>
      <c r="T19" s="8"/>
      <c r="U19" s="26">
        <v>1.7</v>
      </c>
      <c r="V19" s="8"/>
      <c r="W19" s="26">
        <v>-2.6000000000000001</v>
      </c>
      <c r="X19" s="8"/>
      <c r="Y19" s="26">
        <v>0.59999999999999998</v>
      </c>
      <c r="Z19" s="8"/>
      <c r="AA19" s="26">
        <v>1.5</v>
      </c>
      <c r="AB19" s="8"/>
      <c r="AC19" s="8"/>
    </row>
    <row r="20" ht="12" customHeight="1">
      <c r="A20" s="11" t="s">
        <v>101</v>
      </c>
      <c r="B20" s="8" t="s">
        <v>472</v>
      </c>
      <c r="C20" s="26">
        <v>5.2000000000000002</v>
      </c>
      <c r="D20" s="8"/>
      <c r="E20" s="26">
        <v>5.2999999999999998</v>
      </c>
      <c r="F20" s="8"/>
      <c r="G20" s="26">
        <v>5.5</v>
      </c>
      <c r="H20" s="8"/>
      <c r="I20" s="26">
        <v>5.9000000000000004</v>
      </c>
      <c r="J20" s="8"/>
      <c r="K20" s="26">
        <v>6</v>
      </c>
      <c r="L20" s="8"/>
      <c r="M20" s="26">
        <v>5.7000000000000002</v>
      </c>
      <c r="N20" s="8"/>
      <c r="O20" s="26">
        <v>5.5999999999999996</v>
      </c>
      <c r="P20" s="8"/>
      <c r="Q20" s="26">
        <v>6.4000000000000004</v>
      </c>
      <c r="R20" s="8"/>
      <c r="S20" s="26">
        <v>5.9000000000000004</v>
      </c>
      <c r="T20" s="8"/>
      <c r="U20" s="26">
        <v>5.9000000000000004</v>
      </c>
      <c r="V20" s="8"/>
      <c r="W20" s="26">
        <v>5.9000000000000004</v>
      </c>
      <c r="X20" s="8"/>
      <c r="Y20" s="26">
        <v>4.9000000000000004</v>
      </c>
      <c r="Z20" s="8"/>
      <c r="AA20" s="26">
        <v>4.5999999999999996</v>
      </c>
      <c r="AB20" s="8"/>
      <c r="AC20" s="8"/>
    </row>
    <row r="21" ht="12" customHeight="1">
      <c r="A21" s="8" t="s">
        <v>103</v>
      </c>
      <c r="B21" s="8" t="s">
        <v>473</v>
      </c>
      <c r="C21" s="26">
        <v>5.2999999999999998</v>
      </c>
      <c r="D21" s="8"/>
      <c r="E21" s="26">
        <v>5.2999999999999998</v>
      </c>
      <c r="F21" s="8"/>
      <c r="G21" s="26">
        <v>5.2000000000000002</v>
      </c>
      <c r="H21" s="8"/>
      <c r="I21" s="26">
        <v>5.4000000000000004</v>
      </c>
      <c r="J21" s="8"/>
      <c r="K21" s="26">
        <v>5.2999999999999998</v>
      </c>
      <c r="L21" s="8"/>
      <c r="M21" s="26">
        <v>5.2999999999999998</v>
      </c>
      <c r="N21" s="8"/>
      <c r="O21" s="26">
        <v>5.2999999999999998</v>
      </c>
      <c r="P21" s="8"/>
      <c r="Q21" s="26">
        <v>4.9000000000000004</v>
      </c>
      <c r="R21" s="8"/>
      <c r="S21" s="26">
        <v>4.5999999999999996</v>
      </c>
      <c r="T21" s="8"/>
      <c r="U21" s="26">
        <v>4</v>
      </c>
      <c r="V21" s="8"/>
      <c r="W21" s="26">
        <v>3.5</v>
      </c>
      <c r="X21" s="8"/>
      <c r="Y21" s="26">
        <v>2.7000000000000002</v>
      </c>
      <c r="Z21" s="8"/>
      <c r="AA21" s="26">
        <v>1.8999999999999999</v>
      </c>
      <c r="AB21" s="8"/>
      <c r="AC21" s="8"/>
    </row>
    <row r="22" ht="12" customHeight="1">
      <c r="A22" s="8" t="s">
        <v>105</v>
      </c>
      <c r="B22" s="8" t="s">
        <v>474</v>
      </c>
      <c r="C22" s="26">
        <v>5.2999999999999998</v>
      </c>
      <c r="D22" s="8"/>
      <c r="E22" s="26">
        <v>5.2999999999999998</v>
      </c>
      <c r="F22" s="8"/>
      <c r="G22" s="26">
        <v>5.2000000000000002</v>
      </c>
      <c r="H22" s="8"/>
      <c r="I22" s="26">
        <v>5.4000000000000004</v>
      </c>
      <c r="J22" s="8"/>
      <c r="K22" s="26">
        <v>5.2999999999999998</v>
      </c>
      <c r="L22" s="8"/>
      <c r="M22" s="26">
        <v>5.2999999999999998</v>
      </c>
      <c r="N22" s="8"/>
      <c r="O22" s="26">
        <v>5.2999999999999998</v>
      </c>
      <c r="P22" s="8"/>
      <c r="Q22" s="26">
        <v>4.9000000000000004</v>
      </c>
      <c r="R22" s="8"/>
      <c r="S22" s="26">
        <v>4.5999999999999996</v>
      </c>
      <c r="T22" s="8"/>
      <c r="U22" s="26">
        <v>4</v>
      </c>
      <c r="V22" s="8"/>
      <c r="W22" s="26">
        <v>3.5</v>
      </c>
      <c r="X22" s="8"/>
      <c r="Y22" s="26">
        <v>2.7000000000000002</v>
      </c>
      <c r="Z22" s="8"/>
      <c r="AA22" s="26">
        <v>1.8999999999999999</v>
      </c>
      <c r="AB22" s="8"/>
      <c r="AC22" s="8"/>
    </row>
    <row r="23" ht="12" customHeight="1">
      <c r="A23" s="8" t="s">
        <v>107</v>
      </c>
      <c r="B23" s="8" t="s">
        <v>475</v>
      </c>
      <c r="C23" s="26">
        <v>7.7000000000000002</v>
      </c>
      <c r="D23" s="8"/>
      <c r="E23" s="26">
        <v>5.7999999999999998</v>
      </c>
      <c r="F23" s="8"/>
      <c r="G23" s="26">
        <v>5.4000000000000004</v>
      </c>
      <c r="H23" s="8"/>
      <c r="I23" s="26">
        <v>4.2000000000000002</v>
      </c>
      <c r="J23" s="8"/>
      <c r="K23" s="26">
        <v>2.7999999999999998</v>
      </c>
      <c r="L23" s="8"/>
      <c r="M23" s="26">
        <v>2.8999999999999999</v>
      </c>
      <c r="N23" s="8"/>
      <c r="O23" s="26">
        <v>2.8999999999999999</v>
      </c>
      <c r="P23" s="8"/>
      <c r="Q23" s="26">
        <v>3.1000000000000001</v>
      </c>
      <c r="R23" s="8"/>
      <c r="S23" s="26">
        <v>2.3999999999999999</v>
      </c>
      <c r="T23" s="8"/>
      <c r="U23" s="26">
        <v>2.7999999999999998</v>
      </c>
      <c r="V23" s="8"/>
      <c r="W23" s="26">
        <v>1.5</v>
      </c>
      <c r="X23" s="8"/>
      <c r="Y23" s="26">
        <v>1.3</v>
      </c>
      <c r="Z23" s="8"/>
      <c r="AA23" s="26">
        <v>2.2999999999999998</v>
      </c>
      <c r="AB23" s="8"/>
      <c r="AC23" s="8"/>
    </row>
    <row r="24" ht="12" customHeight="1">
      <c r="A24" s="8" t="s">
        <v>109</v>
      </c>
      <c r="B24" s="8" t="s">
        <v>476</v>
      </c>
      <c r="C24" s="26">
        <v>7.2000000000000002</v>
      </c>
      <c r="D24" s="8"/>
      <c r="E24" s="26">
        <v>7.2000000000000002</v>
      </c>
      <c r="F24" s="8"/>
      <c r="G24" s="26">
        <v>7.2000000000000002</v>
      </c>
      <c r="H24" s="8"/>
      <c r="I24" s="26">
        <v>9.6999999999999993</v>
      </c>
      <c r="J24" s="8"/>
      <c r="K24" s="26">
        <v>9.6999999999999993</v>
      </c>
      <c r="L24" s="8"/>
      <c r="M24" s="26">
        <v>9.8000000000000007</v>
      </c>
      <c r="N24" s="8"/>
      <c r="O24" s="26">
        <v>9.6999999999999993</v>
      </c>
      <c r="P24" s="8"/>
      <c r="Q24" s="26">
        <v>12.300000000000001</v>
      </c>
      <c r="R24" s="8"/>
      <c r="S24" s="26">
        <v>12.300000000000001</v>
      </c>
      <c r="T24" s="8"/>
      <c r="U24" s="26">
        <v>12.300000000000001</v>
      </c>
      <c r="V24" s="8"/>
      <c r="W24" s="26">
        <v>12.300000000000001</v>
      </c>
      <c r="X24" s="8"/>
      <c r="Y24" s="26">
        <v>8.3000000000000007</v>
      </c>
      <c r="Z24" s="8"/>
      <c r="AA24" s="26">
        <v>8.3000000000000007</v>
      </c>
      <c r="AB24" s="8"/>
      <c r="AC24" s="8"/>
    </row>
    <row r="25" ht="12" customHeight="1">
      <c r="A25" s="8" t="s">
        <v>111</v>
      </c>
      <c r="B25" s="8" t="s">
        <v>477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12.5</v>
      </c>
      <c r="R25" s="8"/>
      <c r="S25" s="26">
        <v>12.5</v>
      </c>
      <c r="T25" s="8"/>
      <c r="U25" s="26">
        <v>12.5</v>
      </c>
      <c r="V25" s="8"/>
      <c r="W25" s="26">
        <v>12.5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478</v>
      </c>
      <c r="C26" s="26">
        <v>2.6000000000000001</v>
      </c>
      <c r="D26" s="8"/>
      <c r="E26" s="26">
        <v>3.7000000000000002</v>
      </c>
      <c r="F26" s="8"/>
      <c r="G26" s="26">
        <v>4.7000000000000002</v>
      </c>
      <c r="H26" s="8"/>
      <c r="I26" s="26">
        <v>4.7999999999999998</v>
      </c>
      <c r="J26" s="8"/>
      <c r="K26" s="26">
        <v>5.7999999999999998</v>
      </c>
      <c r="L26" s="8"/>
      <c r="M26" s="26">
        <v>3.8999999999999999</v>
      </c>
      <c r="N26" s="8"/>
      <c r="O26" s="26">
        <v>3.8999999999999999</v>
      </c>
      <c r="P26" s="8"/>
      <c r="Q26" s="26">
        <v>6.0999999999999996</v>
      </c>
      <c r="R26" s="8"/>
      <c r="S26" s="26">
        <v>4.9000000000000004</v>
      </c>
      <c r="T26" s="8"/>
      <c r="U26" s="26">
        <v>6.9000000000000004</v>
      </c>
      <c r="V26" s="8"/>
      <c r="W26" s="26">
        <v>9</v>
      </c>
      <c r="X26" s="8"/>
      <c r="Y26" s="26">
        <v>11.300000000000001</v>
      </c>
      <c r="Z26" s="8"/>
      <c r="AA26" s="26">
        <v>12.1</v>
      </c>
      <c r="AB26" s="8"/>
      <c r="AC26" s="8"/>
    </row>
    <row r="27" ht="12" customHeight="1">
      <c r="A27" s="8" t="s">
        <v>115</v>
      </c>
      <c r="B27" s="8" t="s">
        <v>479</v>
      </c>
      <c r="C27" s="26">
        <v>2.2999999999999998</v>
      </c>
      <c r="D27" s="8"/>
      <c r="E27" s="26">
        <v>3.2000000000000002</v>
      </c>
      <c r="F27" s="8"/>
      <c r="G27" s="26">
        <v>4.2000000000000002</v>
      </c>
      <c r="H27" s="8"/>
      <c r="I27" s="26">
        <v>4</v>
      </c>
      <c r="J27" s="8"/>
      <c r="K27" s="26">
        <v>4.7999999999999998</v>
      </c>
      <c r="L27" s="8"/>
      <c r="M27" s="26">
        <v>3.2000000000000002</v>
      </c>
      <c r="N27" s="8"/>
      <c r="O27" s="26">
        <v>3.5</v>
      </c>
      <c r="P27" s="8"/>
      <c r="Q27" s="26">
        <v>5.9000000000000004</v>
      </c>
      <c r="R27" s="8"/>
      <c r="S27" s="26">
        <v>4.7000000000000002</v>
      </c>
      <c r="T27" s="8"/>
      <c r="U27" s="26">
        <v>6.4000000000000004</v>
      </c>
      <c r="V27" s="8"/>
      <c r="W27" s="26">
        <v>8.5999999999999996</v>
      </c>
      <c r="X27" s="8"/>
      <c r="Y27" s="26">
        <v>11.4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480</v>
      </c>
      <c r="C28" s="26">
        <v>8.5999999999999996</v>
      </c>
      <c r="D28" s="8"/>
      <c r="E28" s="26">
        <v>7.5999999999999996</v>
      </c>
      <c r="F28" s="8"/>
      <c r="G28" s="26">
        <v>8.3000000000000007</v>
      </c>
      <c r="H28" s="8"/>
      <c r="I28" s="26">
        <v>4.4000000000000004</v>
      </c>
      <c r="J28" s="8"/>
      <c r="K28" s="26">
        <v>1.3</v>
      </c>
      <c r="L28" s="8"/>
      <c r="M28" s="26">
        <v>0.10000000000000001</v>
      </c>
      <c r="N28" s="8"/>
      <c r="O28" s="26">
        <v>-2.5</v>
      </c>
      <c r="P28" s="8"/>
      <c r="Q28" s="26">
        <v>-0.69999999999999996</v>
      </c>
      <c r="R28" s="8"/>
      <c r="S28" s="26">
        <v>-1.8999999999999999</v>
      </c>
      <c r="T28" s="8"/>
      <c r="U28" s="26">
        <v>-0.40000000000000002</v>
      </c>
      <c r="V28" s="8"/>
      <c r="W28" s="26">
        <v>-0.29999999999999999</v>
      </c>
      <c r="X28" s="8"/>
      <c r="Y28" s="26">
        <v>-1.1000000000000001</v>
      </c>
      <c r="Z28" s="8"/>
      <c r="AA28" s="26">
        <v>-0.80000000000000004</v>
      </c>
      <c r="AB28" s="8"/>
      <c r="AC28" s="8"/>
    </row>
    <row r="29" ht="12" customHeight="1">
      <c r="A29" s="8" t="s">
        <v>119</v>
      </c>
      <c r="B29" s="8" t="s">
        <v>481</v>
      </c>
      <c r="C29" s="26">
        <v>6.9000000000000004</v>
      </c>
      <c r="D29" s="8"/>
      <c r="E29" s="26">
        <v>6.7999999999999998</v>
      </c>
      <c r="F29" s="8"/>
      <c r="G29" s="26">
        <v>8.3000000000000007</v>
      </c>
      <c r="H29" s="8"/>
      <c r="I29" s="26">
        <v>3.2999999999999998</v>
      </c>
      <c r="J29" s="8"/>
      <c r="K29" s="26">
        <v>-2</v>
      </c>
      <c r="L29" s="8"/>
      <c r="M29" s="26">
        <v>-4.7000000000000002</v>
      </c>
      <c r="N29" s="8"/>
      <c r="O29" s="26">
        <v>-6.5</v>
      </c>
      <c r="P29" s="8"/>
      <c r="Q29" s="26">
        <v>-2.3999999999999999</v>
      </c>
      <c r="R29" s="8"/>
      <c r="S29" s="26">
        <v>-1.8999999999999999</v>
      </c>
      <c r="T29" s="8"/>
      <c r="U29" s="26">
        <v>2.7000000000000002</v>
      </c>
      <c r="V29" s="8"/>
      <c r="W29" s="26">
        <v>0.20000000000000001</v>
      </c>
      <c r="X29" s="8"/>
      <c r="Y29" s="26">
        <v>-2.8999999999999999</v>
      </c>
      <c r="Z29" s="8"/>
      <c r="AA29" s="26">
        <v>-0.69999999999999996</v>
      </c>
      <c r="AB29" s="8"/>
      <c r="AC29" s="8"/>
    </row>
    <row r="30" ht="12" customHeight="1">
      <c r="A30" s="8" t="s">
        <v>121</v>
      </c>
      <c r="B30" s="8" t="s">
        <v>482</v>
      </c>
      <c r="C30" s="26">
        <v>3.7999999999999998</v>
      </c>
      <c r="D30" s="8"/>
      <c r="E30" s="26">
        <v>6.5999999999999996</v>
      </c>
      <c r="F30" s="8"/>
      <c r="G30" s="26">
        <v>0.90000000000000002</v>
      </c>
      <c r="H30" s="8"/>
      <c r="I30" s="26">
        <v>0.69999999999999996</v>
      </c>
      <c r="J30" s="8"/>
      <c r="K30" s="26">
        <v>4.2999999999999998</v>
      </c>
      <c r="L30" s="8"/>
      <c r="M30" s="26">
        <v>0.80000000000000004</v>
      </c>
      <c r="N30" s="8"/>
      <c r="O30" s="26">
        <v>8.4000000000000004</v>
      </c>
      <c r="P30" s="8"/>
      <c r="Q30" s="26">
        <v>8.3000000000000007</v>
      </c>
      <c r="R30" s="8"/>
      <c r="S30" s="26">
        <v>-4.0999999999999996</v>
      </c>
      <c r="T30" s="8"/>
      <c r="U30" s="26">
        <v>1.7</v>
      </c>
      <c r="V30" s="8"/>
      <c r="W30" s="26">
        <v>-1.7</v>
      </c>
      <c r="X30" s="8"/>
      <c r="Y30" s="26">
        <v>-0.20000000000000001</v>
      </c>
      <c r="Z30" s="8"/>
      <c r="AA30" s="26">
        <v>4.7999999999999998</v>
      </c>
      <c r="AB30" s="8"/>
      <c r="AC30" s="8"/>
    </row>
    <row r="31" ht="12" customHeight="1">
      <c r="A31" s="8" t="s">
        <v>123</v>
      </c>
      <c r="B31" s="8" t="s">
        <v>483</v>
      </c>
      <c r="C31" s="26">
        <v>6.0999999999999996</v>
      </c>
      <c r="D31" s="8"/>
      <c r="E31" s="26">
        <v>2.7999999999999998</v>
      </c>
      <c r="F31" s="8"/>
      <c r="G31" s="26">
        <v>4.9000000000000004</v>
      </c>
      <c r="H31" s="8"/>
      <c r="I31" s="26">
        <v>2.6000000000000001</v>
      </c>
      <c r="J31" s="8"/>
      <c r="K31" s="26">
        <v>0.90000000000000002</v>
      </c>
      <c r="L31" s="8"/>
      <c r="M31" s="26">
        <v>1.1000000000000001</v>
      </c>
      <c r="N31" s="8"/>
      <c r="O31" s="26">
        <v>-3.6000000000000001</v>
      </c>
      <c r="P31" s="8"/>
      <c r="Q31" s="26">
        <v>-3.5</v>
      </c>
      <c r="R31" s="8"/>
      <c r="S31" s="26">
        <v>-2.2000000000000002</v>
      </c>
      <c r="T31" s="8"/>
      <c r="U31" s="26">
        <v>-2.8999999999999999</v>
      </c>
      <c r="V31" s="8"/>
      <c r="W31" s="26">
        <v>-1.3999999999999999</v>
      </c>
      <c r="X31" s="8"/>
      <c r="Y31" s="26">
        <v>-0.80000000000000004</v>
      </c>
      <c r="Z31" s="8"/>
      <c r="AA31" s="26">
        <v>-1.3999999999999999</v>
      </c>
      <c r="AB31" s="8"/>
      <c r="AC31" s="8"/>
    </row>
    <row r="32" ht="12" customHeight="1">
      <c r="A32" s="8" t="s">
        <v>125</v>
      </c>
      <c r="B32" s="8" t="s">
        <v>484</v>
      </c>
      <c r="C32" s="26">
        <v>11.9</v>
      </c>
      <c r="D32" s="8"/>
      <c r="E32" s="26">
        <v>7.7000000000000002</v>
      </c>
      <c r="F32" s="8"/>
      <c r="G32" s="26">
        <v>8.3000000000000007</v>
      </c>
      <c r="H32" s="8"/>
      <c r="I32" s="26">
        <v>5.5999999999999996</v>
      </c>
      <c r="J32" s="8"/>
      <c r="K32" s="26">
        <v>3.8999999999999999</v>
      </c>
      <c r="L32" s="8"/>
      <c r="M32" s="26">
        <v>6</v>
      </c>
      <c r="N32" s="8"/>
      <c r="O32" s="26">
        <v>1.3</v>
      </c>
      <c r="P32" s="8"/>
      <c r="Q32" s="26">
        <v>0.90000000000000002</v>
      </c>
      <c r="R32" s="8"/>
      <c r="S32" s="26">
        <v>-4.7000000000000002</v>
      </c>
      <c r="T32" s="8"/>
      <c r="U32" s="26">
        <v>-0.59999999999999998</v>
      </c>
      <c r="V32" s="8"/>
      <c r="W32" s="26">
        <v>-0.40000000000000002</v>
      </c>
      <c r="X32" s="8"/>
      <c r="Y32" s="26">
        <v>1.2</v>
      </c>
      <c r="Z32" s="8"/>
      <c r="AA32" s="26">
        <v>-2.7999999999999998</v>
      </c>
      <c r="AB32" s="8"/>
      <c r="AC32" s="8"/>
    </row>
    <row r="33" ht="12" customHeight="1">
      <c r="A33" s="8" t="s">
        <v>127</v>
      </c>
      <c r="B33" s="8" t="s">
        <v>485</v>
      </c>
      <c r="C33" s="26">
        <v>10.699999999999999</v>
      </c>
      <c r="D33" s="8"/>
      <c r="E33" s="26">
        <v>9.8000000000000007</v>
      </c>
      <c r="F33" s="8"/>
      <c r="G33" s="26">
        <v>9.5</v>
      </c>
      <c r="H33" s="8"/>
      <c r="I33" s="26">
        <v>7.2999999999999998</v>
      </c>
      <c r="J33" s="8"/>
      <c r="K33" s="26">
        <v>4.7000000000000002</v>
      </c>
      <c r="L33" s="8"/>
      <c r="M33" s="26">
        <v>4.9000000000000004</v>
      </c>
      <c r="N33" s="8"/>
      <c r="O33" s="26">
        <v>-3.3999999999999999</v>
      </c>
      <c r="P33" s="8"/>
      <c r="Q33" s="26">
        <v>-4.2000000000000002</v>
      </c>
      <c r="R33" s="8"/>
      <c r="S33" s="26">
        <v>-3.8999999999999999</v>
      </c>
      <c r="T33" s="8"/>
      <c r="U33" s="26">
        <v>-5.7999999999999998</v>
      </c>
      <c r="V33" s="8"/>
      <c r="W33" s="26">
        <v>-1.3</v>
      </c>
      <c r="X33" s="8"/>
      <c r="Y33" s="26">
        <v>-0.5</v>
      </c>
      <c r="Z33" s="8"/>
      <c r="AA33" s="26">
        <v>-2.7000000000000002</v>
      </c>
      <c r="AB33" s="8"/>
      <c r="AC33" s="8"/>
    </row>
    <row r="34" ht="12" customHeight="1">
      <c r="A34" s="8" t="s">
        <v>129</v>
      </c>
      <c r="B34" s="8" t="s">
        <v>486</v>
      </c>
      <c r="C34" s="26">
        <v>13.4</v>
      </c>
      <c r="D34" s="8"/>
      <c r="E34" s="26">
        <v>12.800000000000001</v>
      </c>
      <c r="F34" s="8"/>
      <c r="G34" s="26">
        <v>13.699999999999999</v>
      </c>
      <c r="H34" s="8"/>
      <c r="I34" s="26">
        <v>7.5</v>
      </c>
      <c r="J34" s="8"/>
      <c r="K34" s="26">
        <v>3.2999999999999998</v>
      </c>
      <c r="L34" s="8"/>
      <c r="M34" s="26">
        <v>1.5</v>
      </c>
      <c r="N34" s="8"/>
      <c r="O34" s="26">
        <v>-1</v>
      </c>
      <c r="P34" s="8"/>
      <c r="Q34" s="26">
        <v>1.5</v>
      </c>
      <c r="R34" s="8"/>
      <c r="S34" s="26">
        <v>1.1000000000000001</v>
      </c>
      <c r="T34" s="8"/>
      <c r="U34" s="26">
        <v>-0.5</v>
      </c>
      <c r="V34" s="8"/>
      <c r="W34" s="26">
        <v>0.80000000000000004</v>
      </c>
      <c r="X34" s="8"/>
      <c r="Y34" s="26">
        <v>-1.1000000000000001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487</v>
      </c>
      <c r="C35" s="26">
        <v>5.2999999999999998</v>
      </c>
      <c r="D35" s="8"/>
      <c r="E35" s="26">
        <v>5</v>
      </c>
      <c r="F35" s="8"/>
      <c r="G35" s="26">
        <v>4.7999999999999998</v>
      </c>
      <c r="H35" s="8"/>
      <c r="I35" s="26">
        <v>-1.3999999999999999</v>
      </c>
      <c r="J35" s="8"/>
      <c r="K35" s="26">
        <v>-0.90000000000000002</v>
      </c>
      <c r="L35" s="8"/>
      <c r="M35" s="26">
        <v>0.40000000000000002</v>
      </c>
      <c r="N35" s="8"/>
      <c r="O35" s="26">
        <v>-0.59999999999999998</v>
      </c>
      <c r="P35" s="8"/>
      <c r="Q35" s="26">
        <v>11.9</v>
      </c>
      <c r="R35" s="8"/>
      <c r="S35" s="26">
        <v>8.5999999999999996</v>
      </c>
      <c r="T35" s="8"/>
      <c r="U35" s="26">
        <v>7</v>
      </c>
      <c r="V35" s="8"/>
      <c r="W35" s="26">
        <v>6.9000000000000004</v>
      </c>
      <c r="X35" s="8"/>
      <c r="Y35" s="26">
        <v>-0.29999999999999999</v>
      </c>
      <c r="Z35" s="8"/>
      <c r="AA35" s="26">
        <v>0.10000000000000001</v>
      </c>
      <c r="AB35" s="8"/>
      <c r="AC35" s="8"/>
    </row>
    <row r="36" ht="12" customHeight="1">
      <c r="A36" s="8" t="s">
        <v>133</v>
      </c>
      <c r="B36" s="8" t="s">
        <v>488</v>
      </c>
      <c r="C36" s="26">
        <v>5.5</v>
      </c>
      <c r="D36" s="8"/>
      <c r="E36" s="26">
        <v>4</v>
      </c>
      <c r="F36" s="8"/>
      <c r="G36" s="26">
        <v>4.5</v>
      </c>
      <c r="H36" s="8"/>
      <c r="I36" s="26">
        <v>-19.399999999999999</v>
      </c>
      <c r="J36" s="8"/>
      <c r="K36" s="26">
        <v>-20.399999999999999</v>
      </c>
      <c r="L36" s="8"/>
      <c r="M36" s="26">
        <v>-20.699999999999999</v>
      </c>
      <c r="N36" s="8"/>
      <c r="O36" s="26">
        <v>-21.199999999999999</v>
      </c>
      <c r="P36" s="8"/>
      <c r="Q36" s="26">
        <v>30.100000000000001</v>
      </c>
      <c r="R36" s="8"/>
      <c r="S36" s="26">
        <v>20.5</v>
      </c>
      <c r="T36" s="8"/>
      <c r="U36" s="26">
        <v>20.699999999999999</v>
      </c>
      <c r="V36" s="8"/>
      <c r="W36" s="26">
        <v>19.600000000000001</v>
      </c>
      <c r="X36" s="8"/>
      <c r="Y36" s="26">
        <v>-10.6</v>
      </c>
      <c r="Z36" s="8"/>
      <c r="AA36" s="26">
        <v>-6.5999999999999996</v>
      </c>
      <c r="AB36" s="8"/>
      <c r="AC36" s="8"/>
    </row>
    <row r="37" ht="12" customHeight="1">
      <c r="A37" s="8" t="s">
        <v>135</v>
      </c>
      <c r="B37" s="8" t="s">
        <v>489</v>
      </c>
      <c r="C37" s="26">
        <v>5.0999999999999996</v>
      </c>
      <c r="D37" s="8"/>
      <c r="E37" s="26">
        <v>5.0999999999999996</v>
      </c>
      <c r="F37" s="8"/>
      <c r="G37" s="26">
        <v>4.7000000000000002</v>
      </c>
      <c r="H37" s="8"/>
      <c r="I37" s="26">
        <v>4.7000000000000002</v>
      </c>
      <c r="J37" s="8"/>
      <c r="K37" s="26">
        <v>5.7999999999999998</v>
      </c>
      <c r="L37" s="8"/>
      <c r="M37" s="26">
        <v>7.7000000000000002</v>
      </c>
      <c r="N37" s="8"/>
      <c r="O37" s="26">
        <v>6.5999999999999996</v>
      </c>
      <c r="P37" s="8"/>
      <c r="Q37" s="26">
        <v>6.4000000000000004</v>
      </c>
      <c r="R37" s="8"/>
      <c r="S37" s="26">
        <v>5</v>
      </c>
      <c r="T37" s="8"/>
      <c r="U37" s="26">
        <v>3</v>
      </c>
      <c r="V37" s="8"/>
      <c r="W37" s="26">
        <v>3.2999999999999998</v>
      </c>
      <c r="X37" s="8"/>
      <c r="Y37" s="26">
        <v>3.7999999999999998</v>
      </c>
      <c r="Z37" s="8"/>
      <c r="AA37" s="26">
        <v>3.2999999999999998</v>
      </c>
      <c r="AB37" s="8"/>
      <c r="AC37" s="8"/>
    </row>
    <row r="38" ht="12" customHeight="1">
      <c r="A38" s="8" t="s">
        <v>137</v>
      </c>
      <c r="B38" s="8" t="s">
        <v>490</v>
      </c>
      <c r="C38" s="26">
        <v>8.8000000000000007</v>
      </c>
      <c r="D38" s="8"/>
      <c r="E38" s="26">
        <v>10.699999999999999</v>
      </c>
      <c r="F38" s="8"/>
      <c r="G38" s="26">
        <v>7.2999999999999998</v>
      </c>
      <c r="H38" s="8"/>
      <c r="I38" s="26">
        <v>10</v>
      </c>
      <c r="J38" s="8"/>
      <c r="K38" s="26">
        <v>13.6</v>
      </c>
      <c r="L38" s="8"/>
      <c r="M38" s="26">
        <v>13.6</v>
      </c>
      <c r="N38" s="8"/>
      <c r="O38" s="26">
        <v>11.9</v>
      </c>
      <c r="P38" s="8"/>
      <c r="Q38" s="26">
        <v>15.300000000000001</v>
      </c>
      <c r="R38" s="8"/>
      <c r="S38" s="26">
        <v>11.300000000000001</v>
      </c>
      <c r="T38" s="8"/>
      <c r="U38" s="26">
        <v>9.5</v>
      </c>
      <c r="V38" s="8"/>
      <c r="W38" s="26">
        <v>9.5</v>
      </c>
      <c r="X38" s="8"/>
      <c r="Y38" s="26">
        <v>3.7000000000000002</v>
      </c>
      <c r="Z38" s="8"/>
      <c r="AA38" s="26">
        <v>3.3999999999999999</v>
      </c>
      <c r="AB38" s="8"/>
      <c r="AC38" s="8"/>
    </row>
    <row r="39" ht="12" customHeight="1">
      <c r="A39" s="11" t="s">
        <v>139</v>
      </c>
      <c r="B39" s="8" t="s">
        <v>491</v>
      </c>
      <c r="C39" s="26">
        <v>6.7000000000000002</v>
      </c>
      <c r="D39" s="8"/>
      <c r="E39" s="26">
        <v>0.40000000000000002</v>
      </c>
      <c r="F39" s="8"/>
      <c r="G39" s="26">
        <v>-4</v>
      </c>
      <c r="H39" s="8"/>
      <c r="I39" s="26">
        <v>4.2999999999999998</v>
      </c>
      <c r="J39" s="8"/>
      <c r="K39" s="26">
        <v>4.9000000000000004</v>
      </c>
      <c r="L39" s="8"/>
      <c r="M39" s="26">
        <v>4.0999999999999996</v>
      </c>
      <c r="N39" s="8"/>
      <c r="O39" s="26">
        <v>6.2999999999999998</v>
      </c>
      <c r="P39" s="8"/>
      <c r="Q39" s="26">
        <v>-4.5999999999999996</v>
      </c>
      <c r="R39" s="8"/>
      <c r="S39" s="26">
        <v>-3.6000000000000001</v>
      </c>
      <c r="T39" s="8"/>
      <c r="U39" s="26">
        <v>0.29999999999999999</v>
      </c>
      <c r="V39" s="8"/>
      <c r="W39" s="26">
        <v>-1.5</v>
      </c>
      <c r="X39" s="8"/>
      <c r="Y39" s="26">
        <v>1.8</v>
      </c>
      <c r="Z39" s="8"/>
      <c r="AA39" s="26">
        <v>2.7000000000000002</v>
      </c>
      <c r="AB39" s="8"/>
      <c r="AC39" s="8"/>
    </row>
    <row r="40" ht="12" customHeight="1">
      <c r="A40" s="8" t="s">
        <v>141</v>
      </c>
      <c r="B40" s="8" t="s">
        <v>492</v>
      </c>
      <c r="C40" s="26">
        <v>2.2999999999999998</v>
      </c>
      <c r="D40" s="8"/>
      <c r="E40" s="26">
        <v>0.69999999999999996</v>
      </c>
      <c r="F40" s="8"/>
      <c r="G40" s="26">
        <v>1.8999999999999999</v>
      </c>
      <c r="H40" s="8"/>
      <c r="I40" s="26">
        <v>4.9000000000000004</v>
      </c>
      <c r="J40" s="8"/>
      <c r="K40" s="26">
        <v>2.6000000000000001</v>
      </c>
      <c r="L40" s="8"/>
      <c r="M40" s="26">
        <v>0.40000000000000002</v>
      </c>
      <c r="N40" s="8"/>
      <c r="O40" s="26">
        <v>-3.6000000000000001</v>
      </c>
      <c r="P40" s="8"/>
      <c r="Q40" s="26">
        <v>-7.7000000000000002</v>
      </c>
      <c r="R40" s="8"/>
      <c r="S40" s="26">
        <v>-3.7000000000000002</v>
      </c>
      <c r="T40" s="8"/>
      <c r="U40" s="26">
        <v>-2.2999999999999998</v>
      </c>
      <c r="V40" s="8"/>
      <c r="W40" s="26">
        <v>1.3</v>
      </c>
      <c r="X40" s="8"/>
      <c r="Y40" s="26">
        <v>3.2999999999999998</v>
      </c>
      <c r="Z40" s="8"/>
      <c r="AA40" s="26">
        <v>1.3</v>
      </c>
      <c r="AB40" s="8"/>
      <c r="AC40" s="8"/>
    </row>
    <row r="41" ht="12" customHeight="1">
      <c r="A41" s="8" t="s">
        <v>143</v>
      </c>
      <c r="B41" s="8" t="s">
        <v>493</v>
      </c>
      <c r="C41" s="26">
        <v>3.8999999999999999</v>
      </c>
      <c r="D41" s="8"/>
      <c r="E41" s="26">
        <v>-4.4000000000000004</v>
      </c>
      <c r="F41" s="8"/>
      <c r="G41" s="26">
        <v>-10</v>
      </c>
      <c r="H41" s="8"/>
      <c r="I41" s="26">
        <v>4.0999999999999996</v>
      </c>
      <c r="J41" s="8"/>
      <c r="K41" s="26">
        <v>9.5999999999999996</v>
      </c>
      <c r="L41" s="8"/>
      <c r="M41" s="26">
        <v>10</v>
      </c>
      <c r="N41" s="8"/>
      <c r="O41" s="26">
        <v>13.1</v>
      </c>
      <c r="P41" s="8"/>
      <c r="Q41" s="26">
        <v>-3.2999999999999998</v>
      </c>
      <c r="R41" s="8"/>
      <c r="S41" s="26">
        <v>-4.5999999999999996</v>
      </c>
      <c r="T41" s="8"/>
      <c r="U41" s="26">
        <v>-0.29999999999999999</v>
      </c>
      <c r="V41" s="8"/>
      <c r="W41" s="26">
        <v>-3.7000000000000002</v>
      </c>
      <c r="X41" s="8"/>
      <c r="Y41" s="26">
        <v>0.90000000000000002</v>
      </c>
      <c r="Z41" s="8"/>
      <c r="AA41" s="26">
        <v>3.5</v>
      </c>
      <c r="AB41" s="8"/>
      <c r="AC41" s="8"/>
    </row>
    <row r="42" ht="12" customHeight="1">
      <c r="A42" s="8" t="s">
        <v>145</v>
      </c>
      <c r="B42" s="8" t="s">
        <v>494</v>
      </c>
      <c r="C42" s="26">
        <v>2.2999999999999998</v>
      </c>
      <c r="D42" s="8"/>
      <c r="E42" s="26">
        <v>-8.4000000000000004</v>
      </c>
      <c r="F42" s="8"/>
      <c r="G42" s="26">
        <v>-15</v>
      </c>
      <c r="H42" s="8"/>
      <c r="I42" s="26">
        <v>3.7999999999999998</v>
      </c>
      <c r="J42" s="8"/>
      <c r="K42" s="26">
        <v>11.9</v>
      </c>
      <c r="L42" s="8"/>
      <c r="M42" s="26">
        <v>12.1</v>
      </c>
      <c r="N42" s="8"/>
      <c r="O42" s="26">
        <v>14.6</v>
      </c>
      <c r="P42" s="8"/>
      <c r="Q42" s="26">
        <v>-7.5999999999999996</v>
      </c>
      <c r="R42" s="8"/>
      <c r="S42" s="26">
        <v>-8.9000000000000004</v>
      </c>
      <c r="T42" s="8"/>
      <c r="U42" s="26">
        <v>-2.3999999999999999</v>
      </c>
      <c r="V42" s="8"/>
      <c r="W42" s="26">
        <v>-7.5999999999999996</v>
      </c>
      <c r="X42" s="8"/>
      <c r="Y42" s="26">
        <v>-1.5</v>
      </c>
      <c r="Z42" s="8"/>
      <c r="AA42" s="26">
        <v>2.2000000000000002</v>
      </c>
      <c r="AB42" s="8"/>
      <c r="AC42" s="8"/>
    </row>
    <row r="43" ht="12" customHeight="1">
      <c r="A43" s="8" t="s">
        <v>147</v>
      </c>
      <c r="B43" s="8" t="s">
        <v>495</v>
      </c>
      <c r="C43" s="26">
        <v>8.5</v>
      </c>
      <c r="D43" s="8"/>
      <c r="E43" s="26">
        <v>13.1</v>
      </c>
      <c r="F43" s="8"/>
      <c r="G43" s="26">
        <v>17.899999999999999</v>
      </c>
      <c r="H43" s="8"/>
      <c r="I43" s="26">
        <v>5.2000000000000002</v>
      </c>
      <c r="J43" s="8"/>
      <c r="K43" s="26">
        <v>-9.5</v>
      </c>
      <c r="L43" s="8"/>
      <c r="M43" s="26">
        <v>-11.800000000000001</v>
      </c>
      <c r="N43" s="8"/>
      <c r="O43" s="26">
        <v>-5.2000000000000002</v>
      </c>
      <c r="P43" s="8"/>
      <c r="Q43" s="26">
        <v>-5.4000000000000004</v>
      </c>
      <c r="R43" s="8"/>
      <c r="S43" s="26">
        <v>1.2</v>
      </c>
      <c r="T43" s="8"/>
      <c r="U43" s="26">
        <v>4.9000000000000004</v>
      </c>
      <c r="V43" s="8"/>
      <c r="W43" s="26">
        <v>3.7999999999999998</v>
      </c>
      <c r="X43" s="8"/>
      <c r="Y43" s="26">
        <v>2.3999999999999999</v>
      </c>
      <c r="Z43" s="8"/>
      <c r="AA43" s="26">
        <v>1</v>
      </c>
      <c r="AB43" s="8"/>
      <c r="AC43" s="8"/>
    </row>
    <row r="44" ht="12" customHeight="1">
      <c r="A44" s="11" t="s">
        <v>149</v>
      </c>
      <c r="B44" s="8" t="s">
        <v>496</v>
      </c>
      <c r="C44" s="26">
        <v>2.1000000000000001</v>
      </c>
      <c r="D44" s="8"/>
      <c r="E44" s="26">
        <v>2.1000000000000001</v>
      </c>
      <c r="F44" s="8"/>
      <c r="G44" s="26">
        <v>3.6000000000000001</v>
      </c>
      <c r="H44" s="8"/>
      <c r="I44" s="26">
        <v>3.1000000000000001</v>
      </c>
      <c r="J44" s="8"/>
      <c r="K44" s="26">
        <v>4.2999999999999998</v>
      </c>
      <c r="L44" s="8"/>
      <c r="M44" s="26">
        <v>4.5999999999999996</v>
      </c>
      <c r="N44" s="8"/>
      <c r="O44" s="26">
        <v>4.5999999999999996</v>
      </c>
      <c r="P44" s="8"/>
      <c r="Q44" s="26">
        <v>3.8999999999999999</v>
      </c>
      <c r="R44" s="8"/>
      <c r="S44" s="26">
        <v>4.7000000000000002</v>
      </c>
      <c r="T44" s="8"/>
      <c r="U44" s="26">
        <v>4.5</v>
      </c>
      <c r="V44" s="8"/>
      <c r="W44" s="26">
        <v>4</v>
      </c>
      <c r="X44" s="8"/>
      <c r="Y44" s="26">
        <v>3.5</v>
      </c>
      <c r="Z44" s="8"/>
      <c r="AA44" s="26">
        <v>5.0999999999999996</v>
      </c>
      <c r="AB44" s="8"/>
      <c r="AC44" s="8"/>
    </row>
    <row r="45" ht="12" customHeight="1">
      <c r="A45" s="8" t="s">
        <v>151</v>
      </c>
      <c r="B45" s="8" t="s">
        <v>497</v>
      </c>
      <c r="C45" s="26">
        <v>12.199999999999999</v>
      </c>
      <c r="D45" s="8"/>
      <c r="E45" s="26">
        <v>11.9</v>
      </c>
      <c r="F45" s="8"/>
      <c r="G45" s="26">
        <v>7.5</v>
      </c>
      <c r="H45" s="8"/>
      <c r="I45" s="26">
        <v>8</v>
      </c>
      <c r="J45" s="8"/>
      <c r="K45" s="26">
        <v>7.5</v>
      </c>
      <c r="L45" s="8"/>
      <c r="M45" s="26">
        <v>4.7000000000000002</v>
      </c>
      <c r="N45" s="8"/>
      <c r="O45" s="26">
        <v>5.2999999999999998</v>
      </c>
      <c r="P45" s="8"/>
      <c r="Q45" s="26">
        <v>1.1000000000000001</v>
      </c>
      <c r="R45" s="8"/>
      <c r="S45" s="26">
        <v>-0.29999999999999999</v>
      </c>
      <c r="T45" s="8"/>
      <c r="U45" s="26">
        <v>1</v>
      </c>
      <c r="V45" s="8"/>
      <c r="W45" s="26">
        <v>2.5</v>
      </c>
      <c r="X45" s="8"/>
      <c r="Y45" s="26">
        <v>7.7999999999999998</v>
      </c>
      <c r="Z45" s="8"/>
      <c r="AA45" s="26">
        <v>8.4000000000000004</v>
      </c>
      <c r="AB45" s="8"/>
      <c r="AC45" s="8"/>
    </row>
    <row r="46" ht="12" customHeight="1">
      <c r="A46" s="8" t="s">
        <v>153</v>
      </c>
      <c r="B46" s="8" t="s">
        <v>498</v>
      </c>
      <c r="C46" s="26">
        <v>-15.199999999999999</v>
      </c>
      <c r="D46" s="8"/>
      <c r="E46" s="26">
        <v>-10.699999999999999</v>
      </c>
      <c r="F46" s="8"/>
      <c r="G46" s="26">
        <v>-24.899999999999999</v>
      </c>
      <c r="H46" s="8"/>
      <c r="I46" s="26">
        <v>-14.800000000000001</v>
      </c>
      <c r="J46" s="8"/>
      <c r="K46" s="26">
        <v>-0.90000000000000002</v>
      </c>
      <c r="L46" s="8"/>
      <c r="M46" s="26">
        <v>-4.9000000000000004</v>
      </c>
      <c r="N46" s="8"/>
      <c r="O46" s="26">
        <v>14.199999999999999</v>
      </c>
      <c r="P46" s="8"/>
      <c r="Q46" s="26">
        <v>3.6000000000000001</v>
      </c>
      <c r="R46" s="8"/>
      <c r="S46" s="26">
        <v>-10.9</v>
      </c>
      <c r="T46" s="8"/>
      <c r="U46" s="26">
        <v>-13.199999999999999</v>
      </c>
      <c r="V46" s="8"/>
      <c r="W46" s="26">
        <v>-25.5</v>
      </c>
      <c r="X46" s="8"/>
      <c r="Y46" s="26">
        <v>-15.4</v>
      </c>
      <c r="Z46" s="8"/>
      <c r="AA46" s="26">
        <v>-5.2999999999999998</v>
      </c>
      <c r="AB46" s="8"/>
      <c r="AC46" s="8"/>
    </row>
    <row r="47" ht="12" customHeight="1">
      <c r="A47" s="8" t="s">
        <v>155</v>
      </c>
      <c r="B47" s="8" t="s">
        <v>499</v>
      </c>
      <c r="C47" s="26">
        <v>2</v>
      </c>
      <c r="D47" s="8"/>
      <c r="E47" s="26">
        <v>1.8999999999999999</v>
      </c>
      <c r="F47" s="8"/>
      <c r="G47" s="26">
        <v>3.8999999999999999</v>
      </c>
      <c r="H47" s="8"/>
      <c r="I47" s="26">
        <v>3.1000000000000001</v>
      </c>
      <c r="J47" s="8"/>
      <c r="K47" s="26">
        <v>4.2000000000000002</v>
      </c>
      <c r="L47" s="8"/>
      <c r="M47" s="26">
        <v>4.7999999999999998</v>
      </c>
      <c r="N47" s="8"/>
      <c r="O47" s="26">
        <v>4.5999999999999996</v>
      </c>
      <c r="P47" s="8"/>
      <c r="Q47" s="26">
        <v>4.0999999999999996</v>
      </c>
      <c r="R47" s="8"/>
      <c r="S47" s="26">
        <v>5.2000000000000002</v>
      </c>
      <c r="T47" s="8"/>
      <c r="U47" s="26">
        <v>6.0999999999999996</v>
      </c>
      <c r="V47" s="8"/>
      <c r="W47" s="26">
        <v>6.7999999999999998</v>
      </c>
      <c r="X47" s="8"/>
      <c r="Y47" s="26">
        <v>6.5999999999999996</v>
      </c>
      <c r="Z47" s="8"/>
      <c r="AA47" s="26">
        <v>7.0999999999999996</v>
      </c>
      <c r="AB47" s="8"/>
      <c r="AC47" s="8"/>
    </row>
    <row r="48" ht="12" customHeight="1">
      <c r="A48" s="11" t="s">
        <v>157</v>
      </c>
      <c r="B48" s="8" t="s">
        <v>500</v>
      </c>
      <c r="C48" s="26">
        <v>4.5999999999999996</v>
      </c>
      <c r="D48" s="8"/>
      <c r="E48" s="26">
        <v>6.2999999999999998</v>
      </c>
      <c r="F48" s="8"/>
      <c r="G48" s="26">
        <v>6.5999999999999996</v>
      </c>
      <c r="H48" s="8"/>
      <c r="I48" s="26">
        <v>6.4000000000000004</v>
      </c>
      <c r="J48" s="8"/>
      <c r="K48" s="26">
        <v>5</v>
      </c>
      <c r="L48" s="8"/>
      <c r="M48" s="26">
        <v>6</v>
      </c>
      <c r="N48" s="8"/>
      <c r="O48" s="26">
        <v>3.7999999999999998</v>
      </c>
      <c r="P48" s="8"/>
      <c r="Q48" s="26">
        <v>3.1000000000000001</v>
      </c>
      <c r="R48" s="8"/>
      <c r="S48" s="26">
        <v>3.3999999999999999</v>
      </c>
      <c r="T48" s="8"/>
      <c r="U48" s="26">
        <v>1</v>
      </c>
      <c r="V48" s="8"/>
      <c r="W48" s="26">
        <v>2.6000000000000001</v>
      </c>
      <c r="X48" s="8"/>
      <c r="Y48" s="26">
        <v>3.2000000000000002</v>
      </c>
      <c r="Z48" s="8"/>
      <c r="AA48" s="26">
        <v>2.5</v>
      </c>
      <c r="AB48" s="8"/>
      <c r="AC48" s="8"/>
    </row>
    <row r="49" ht="12" customHeight="1">
      <c r="A49" s="8" t="s">
        <v>159</v>
      </c>
      <c r="B49" s="8" t="s">
        <v>501</v>
      </c>
      <c r="C49" s="26">
        <v>-8.0999999999999996</v>
      </c>
      <c r="D49" s="8"/>
      <c r="E49" s="26">
        <v>-5.0999999999999996</v>
      </c>
      <c r="F49" s="8"/>
      <c r="G49" s="26">
        <v>-8.3000000000000007</v>
      </c>
      <c r="H49" s="8"/>
      <c r="I49" s="26">
        <v>-9.8000000000000007</v>
      </c>
      <c r="J49" s="8"/>
      <c r="K49" s="26">
        <v>-8.5999999999999996</v>
      </c>
      <c r="L49" s="8"/>
      <c r="M49" s="26">
        <v>-13</v>
      </c>
      <c r="N49" s="8"/>
      <c r="O49" s="26">
        <v>-8.8000000000000007</v>
      </c>
      <c r="P49" s="8"/>
      <c r="Q49" s="26">
        <v>-9</v>
      </c>
      <c r="R49" s="8"/>
      <c r="S49" s="26">
        <v>-10</v>
      </c>
      <c r="T49" s="8"/>
      <c r="U49" s="26">
        <v>-7</v>
      </c>
      <c r="V49" s="8"/>
      <c r="W49" s="26">
        <v>-7.5</v>
      </c>
      <c r="X49" s="8"/>
      <c r="Y49" s="26">
        <v>-8.6999999999999993</v>
      </c>
      <c r="Z49" s="8"/>
      <c r="AA49" s="26">
        <v>-8.5999999999999996</v>
      </c>
      <c r="AB49" s="8"/>
      <c r="AC49" s="8"/>
    </row>
    <row r="50" ht="12" customHeight="1">
      <c r="A50" s="8" t="s">
        <v>161</v>
      </c>
      <c r="B50" s="8" t="s">
        <v>502</v>
      </c>
      <c r="C50" s="26">
        <v>7.7000000000000002</v>
      </c>
      <c r="D50" s="8"/>
      <c r="E50" s="26">
        <v>7.7000000000000002</v>
      </c>
      <c r="F50" s="8"/>
      <c r="G50" s="26">
        <v>2.2000000000000002</v>
      </c>
      <c r="H50" s="8"/>
      <c r="I50" s="26">
        <v>3</v>
      </c>
      <c r="J50" s="8"/>
      <c r="K50" s="26">
        <v>1.6000000000000001</v>
      </c>
      <c r="L50" s="8"/>
      <c r="M50" s="26">
        <v>0.69999999999999996</v>
      </c>
      <c r="N50" s="8"/>
      <c r="O50" s="26">
        <v>1.3</v>
      </c>
      <c r="P50" s="8"/>
      <c r="Q50" s="26">
        <v>0.69999999999999996</v>
      </c>
      <c r="R50" s="8"/>
      <c r="S50" s="26">
        <v>1.8999999999999999</v>
      </c>
      <c r="T50" s="8"/>
      <c r="U50" s="26">
        <v>2.2999999999999998</v>
      </c>
      <c r="V50" s="8"/>
      <c r="W50" s="26">
        <v>3.7000000000000002</v>
      </c>
      <c r="X50" s="8"/>
      <c r="Y50" s="26">
        <v>3.1000000000000001</v>
      </c>
      <c r="Z50" s="8"/>
      <c r="AA50" s="26">
        <v>3</v>
      </c>
      <c r="AB50" s="8"/>
      <c r="AC50" s="8"/>
    </row>
    <row r="51" ht="12" customHeight="1">
      <c r="A51" s="8" t="s">
        <v>163</v>
      </c>
      <c r="B51" s="8" t="s">
        <v>503</v>
      </c>
      <c r="C51" s="26">
        <v>7.0999999999999996</v>
      </c>
      <c r="D51" s="8"/>
      <c r="E51" s="26">
        <v>8.5999999999999996</v>
      </c>
      <c r="F51" s="8"/>
      <c r="G51" s="26">
        <v>10.1</v>
      </c>
      <c r="H51" s="8"/>
      <c r="I51" s="26">
        <v>8.1999999999999993</v>
      </c>
      <c r="J51" s="8"/>
      <c r="K51" s="26">
        <v>5.2999999999999998</v>
      </c>
      <c r="L51" s="8"/>
      <c r="M51" s="26">
        <v>4.9000000000000004</v>
      </c>
      <c r="N51" s="8"/>
      <c r="O51" s="26">
        <v>-0.90000000000000002</v>
      </c>
      <c r="P51" s="8"/>
      <c r="Q51" s="26">
        <v>0.69999999999999996</v>
      </c>
      <c r="R51" s="8"/>
      <c r="S51" s="26">
        <v>1.8</v>
      </c>
      <c r="T51" s="8"/>
      <c r="U51" s="26">
        <v>-0.20000000000000001</v>
      </c>
      <c r="V51" s="8"/>
      <c r="W51" s="26">
        <v>-0.10000000000000001</v>
      </c>
      <c r="X51" s="8"/>
      <c r="Y51" s="26">
        <v>-0.5</v>
      </c>
      <c r="Z51" s="8"/>
      <c r="AA51" s="26">
        <v>-1.2</v>
      </c>
      <c r="AB51" s="8"/>
      <c r="AC51" s="8"/>
    </row>
    <row r="52" ht="12" customHeight="1">
      <c r="A52" s="8" t="s">
        <v>165</v>
      </c>
      <c r="B52" s="8" t="s">
        <v>504</v>
      </c>
      <c r="C52" s="26">
        <v>1.7</v>
      </c>
      <c r="D52" s="8"/>
      <c r="E52" s="26">
        <v>2.7999999999999998</v>
      </c>
      <c r="F52" s="8"/>
      <c r="G52" s="26">
        <v>3.7000000000000002</v>
      </c>
      <c r="H52" s="8"/>
      <c r="I52" s="26">
        <v>6.2000000000000002</v>
      </c>
      <c r="J52" s="8"/>
      <c r="K52" s="26">
        <v>6.5999999999999996</v>
      </c>
      <c r="L52" s="8"/>
      <c r="M52" s="26">
        <v>8.5999999999999996</v>
      </c>
      <c r="N52" s="8"/>
      <c r="O52" s="26">
        <v>10</v>
      </c>
      <c r="P52" s="8"/>
      <c r="Q52" s="26">
        <v>8.3000000000000007</v>
      </c>
      <c r="R52" s="8"/>
      <c r="S52" s="26">
        <v>6.5999999999999996</v>
      </c>
      <c r="T52" s="8"/>
      <c r="U52" s="26">
        <v>3.7000000000000002</v>
      </c>
      <c r="V52" s="8"/>
      <c r="W52" s="26">
        <v>6.5</v>
      </c>
      <c r="X52" s="8"/>
      <c r="Y52" s="26">
        <v>7.5999999999999996</v>
      </c>
      <c r="Z52" s="8"/>
      <c r="AA52" s="26">
        <v>6.9000000000000004</v>
      </c>
      <c r="AB52" s="8"/>
      <c r="AC52" s="8"/>
    </row>
    <row r="53" ht="12" customHeight="1">
      <c r="A53" s="8" t="s">
        <v>167</v>
      </c>
      <c r="B53" s="8" t="s">
        <v>505</v>
      </c>
      <c r="C53" s="26">
        <v>5.5999999999999996</v>
      </c>
      <c r="D53" s="8"/>
      <c r="E53" s="26">
        <v>8.6999999999999993</v>
      </c>
      <c r="F53" s="8"/>
      <c r="G53" s="26">
        <v>7.4000000000000004</v>
      </c>
      <c r="H53" s="8"/>
      <c r="I53" s="26">
        <v>9.5999999999999996</v>
      </c>
      <c r="J53" s="8"/>
      <c r="K53" s="26">
        <v>6.7999999999999998</v>
      </c>
      <c r="L53" s="8"/>
      <c r="M53" s="26">
        <v>5.9000000000000004</v>
      </c>
      <c r="N53" s="8"/>
      <c r="O53" s="26">
        <v>5.2000000000000002</v>
      </c>
      <c r="P53" s="8"/>
      <c r="Q53" s="26">
        <v>3.2999999999999998</v>
      </c>
      <c r="R53" s="8"/>
      <c r="S53" s="26">
        <v>4.2999999999999998</v>
      </c>
      <c r="T53" s="8"/>
      <c r="U53" s="26">
        <v>3.1000000000000001</v>
      </c>
      <c r="V53" s="8"/>
      <c r="W53" s="26">
        <v>1.8</v>
      </c>
      <c r="X53" s="8"/>
      <c r="Y53" s="26">
        <v>3.2999999999999998</v>
      </c>
      <c r="Z53" s="8"/>
      <c r="AA53" s="26">
        <v>2.7000000000000002</v>
      </c>
      <c r="AB53" s="8"/>
      <c r="AC53" s="8"/>
    </row>
    <row r="54" ht="12" customHeight="1">
      <c r="A54" s="8" t="s">
        <v>169</v>
      </c>
      <c r="B54" s="8" t="s">
        <v>506</v>
      </c>
      <c r="C54" s="26">
        <v>13.9</v>
      </c>
      <c r="D54" s="8"/>
      <c r="E54" s="26">
        <v>13.300000000000001</v>
      </c>
      <c r="F54" s="8"/>
      <c r="G54" s="26">
        <v>13.1</v>
      </c>
      <c r="H54" s="8"/>
      <c r="I54" s="26">
        <v>8.1999999999999993</v>
      </c>
      <c r="J54" s="8"/>
      <c r="K54" s="26">
        <v>5.0999999999999996</v>
      </c>
      <c r="L54" s="8"/>
      <c r="M54" s="26">
        <v>9.8000000000000007</v>
      </c>
      <c r="N54" s="8"/>
      <c r="O54" s="26">
        <v>4.2999999999999998</v>
      </c>
      <c r="P54" s="8"/>
      <c r="Q54" s="26">
        <v>1.8999999999999999</v>
      </c>
      <c r="R54" s="8"/>
      <c r="S54" s="26">
        <v>4.4000000000000004</v>
      </c>
      <c r="T54" s="8"/>
      <c r="U54" s="26">
        <v>-0.20000000000000001</v>
      </c>
      <c r="V54" s="8"/>
      <c r="W54" s="26">
        <v>6.0999999999999996</v>
      </c>
      <c r="X54" s="8"/>
      <c r="Y54" s="26">
        <v>7.5</v>
      </c>
      <c r="Z54" s="8"/>
      <c r="AA54" s="26">
        <v>6.7000000000000002</v>
      </c>
      <c r="AB54" s="8"/>
      <c r="AC54" s="8"/>
    </row>
    <row r="55" ht="12" customHeight="1">
      <c r="A55" s="11" t="s">
        <v>171</v>
      </c>
      <c r="B55" s="8" t="s">
        <v>507</v>
      </c>
      <c r="C55" s="26">
        <v>2.5</v>
      </c>
      <c r="D55" s="8"/>
      <c r="E55" s="26">
        <v>4</v>
      </c>
      <c r="F55" s="8"/>
      <c r="G55" s="26">
        <v>4</v>
      </c>
      <c r="H55" s="8"/>
      <c r="I55" s="26">
        <v>3.7999999999999998</v>
      </c>
      <c r="J55" s="8"/>
      <c r="K55" s="26">
        <v>3.7999999999999998</v>
      </c>
      <c r="L55" s="8"/>
      <c r="M55" s="26">
        <v>4.0999999999999996</v>
      </c>
      <c r="N55" s="8"/>
      <c r="O55" s="26">
        <v>4.0999999999999996</v>
      </c>
      <c r="P55" s="8"/>
      <c r="Q55" s="26">
        <v>-2.1000000000000001</v>
      </c>
      <c r="R55" s="8"/>
      <c r="S55" s="26">
        <v>-2.1000000000000001</v>
      </c>
      <c r="T55" s="8"/>
      <c r="U55" s="26">
        <v>5.5999999999999996</v>
      </c>
      <c r="V55" s="8"/>
      <c r="W55" s="26">
        <v>5.5999999999999996</v>
      </c>
      <c r="X55" s="8"/>
      <c r="Y55" s="26">
        <v>11.800000000000001</v>
      </c>
      <c r="Z55" s="8"/>
      <c r="AA55" s="26">
        <v>11.800000000000001</v>
      </c>
      <c r="AB55" s="8"/>
      <c r="AC55" s="8"/>
    </row>
    <row r="56" ht="12" customHeight="1">
      <c r="A56" s="8" t="s">
        <v>173</v>
      </c>
      <c r="B56" s="8" t="s">
        <v>508</v>
      </c>
      <c r="C56" s="26">
        <v>3.7999999999999998</v>
      </c>
      <c r="D56" s="8"/>
      <c r="E56" s="26">
        <v>3.7999999999999998</v>
      </c>
      <c r="F56" s="8"/>
      <c r="G56" s="26">
        <v>3.7999999999999998</v>
      </c>
      <c r="H56" s="8"/>
      <c r="I56" s="26">
        <v>3.2999999999999998</v>
      </c>
      <c r="J56" s="8"/>
      <c r="K56" s="26">
        <v>3.2999999999999998</v>
      </c>
      <c r="L56" s="8"/>
      <c r="M56" s="26">
        <v>3.2999999999999998</v>
      </c>
      <c r="N56" s="8"/>
      <c r="O56" s="26">
        <v>3.2999999999999998</v>
      </c>
      <c r="P56" s="8"/>
      <c r="Q56" s="26">
        <v>-17</v>
      </c>
      <c r="R56" s="8"/>
      <c r="S56" s="26">
        <v>-17</v>
      </c>
      <c r="T56" s="8"/>
      <c r="U56" s="26">
        <v>-17</v>
      </c>
      <c r="V56" s="8"/>
      <c r="W56" s="26">
        <v>-17</v>
      </c>
      <c r="X56" s="8"/>
      <c r="Y56" s="26">
        <v>2.3999999999999999</v>
      </c>
      <c r="Z56" s="8"/>
      <c r="AA56" s="26">
        <v>2.3999999999999999</v>
      </c>
      <c r="AB56" s="8"/>
      <c r="AC56" s="8"/>
    </row>
    <row r="57" ht="12" customHeight="1">
      <c r="A57" s="8" t="s">
        <v>175</v>
      </c>
      <c r="B57" s="8" t="s">
        <v>509</v>
      </c>
      <c r="C57" s="26">
        <v>2.7000000000000002</v>
      </c>
      <c r="D57" s="8"/>
      <c r="E57" s="26">
        <v>1.2</v>
      </c>
      <c r="F57" s="8"/>
      <c r="G57" s="26">
        <v>1.2</v>
      </c>
      <c r="H57" s="8"/>
      <c r="I57" s="26">
        <v>1.2</v>
      </c>
      <c r="J57" s="8"/>
      <c r="K57" s="26">
        <v>1.2</v>
      </c>
      <c r="L57" s="8"/>
      <c r="M57" s="26">
        <v>2.2999999999999998</v>
      </c>
      <c r="N57" s="8"/>
      <c r="O57" s="26">
        <v>2.2999999999999998</v>
      </c>
      <c r="P57" s="8"/>
      <c r="Q57" s="26">
        <v>2.2999999999999998</v>
      </c>
      <c r="R57" s="8"/>
      <c r="S57" s="26">
        <v>2.2999999999999998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  <c r="AC57" s="8"/>
    </row>
    <row r="58" ht="12" customHeight="1">
      <c r="A58" s="8" t="s">
        <v>177</v>
      </c>
      <c r="B58" s="8" t="s">
        <v>510</v>
      </c>
      <c r="C58" s="26">
        <v>1.3999999999999999</v>
      </c>
      <c r="D58" s="8"/>
      <c r="E58" s="26">
        <v>5.7999999999999998</v>
      </c>
      <c r="F58" s="8"/>
      <c r="G58" s="26">
        <v>5.7999999999999998</v>
      </c>
      <c r="H58" s="8"/>
      <c r="I58" s="26">
        <v>5.7999999999999998</v>
      </c>
      <c r="J58" s="8"/>
      <c r="K58" s="26">
        <v>5.7999999999999998</v>
      </c>
      <c r="L58" s="8"/>
      <c r="M58" s="26">
        <v>5.5</v>
      </c>
      <c r="N58" s="8"/>
      <c r="O58" s="26">
        <v>5.5</v>
      </c>
      <c r="P58" s="8"/>
      <c r="Q58" s="26">
        <v>5.5</v>
      </c>
      <c r="R58" s="8"/>
      <c r="S58" s="26">
        <v>5.5</v>
      </c>
      <c r="T58" s="8"/>
      <c r="U58" s="26">
        <v>22.699999999999999</v>
      </c>
      <c r="V58" s="8"/>
      <c r="W58" s="26">
        <v>22.699999999999999</v>
      </c>
      <c r="X58" s="8"/>
      <c r="Y58" s="26">
        <v>22.699999999999999</v>
      </c>
      <c r="Z58" s="8"/>
      <c r="AA58" s="26">
        <v>22.699999999999999</v>
      </c>
      <c r="AB58" s="8"/>
      <c r="AC58" s="8"/>
    </row>
    <row r="59" ht="12" customHeight="1">
      <c r="A59" s="8" t="s">
        <v>179</v>
      </c>
      <c r="B59" s="8" t="s">
        <v>511</v>
      </c>
      <c r="C59" s="26">
        <v>0.80000000000000004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5.2000000000000002</v>
      </c>
      <c r="N59" s="8"/>
      <c r="O59" s="26">
        <v>5.2000000000000002</v>
      </c>
      <c r="P59" s="8"/>
      <c r="Q59" s="26">
        <v>5.2000000000000002</v>
      </c>
      <c r="R59" s="8"/>
      <c r="S59" s="26">
        <v>5.2000000000000002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512</v>
      </c>
      <c r="C60" s="26">
        <v>4.9000000000000004</v>
      </c>
      <c r="D60" s="8"/>
      <c r="E60" s="26">
        <v>6</v>
      </c>
      <c r="F60" s="8"/>
      <c r="G60" s="26">
        <v>8.4000000000000004</v>
      </c>
      <c r="H60" s="8"/>
      <c r="I60" s="26">
        <v>10</v>
      </c>
      <c r="J60" s="8"/>
      <c r="K60" s="26">
        <v>10.699999999999999</v>
      </c>
      <c r="L60" s="8"/>
      <c r="M60" s="26">
        <v>11.800000000000001</v>
      </c>
      <c r="N60" s="8"/>
      <c r="O60" s="26">
        <v>11.199999999999999</v>
      </c>
      <c r="P60" s="8"/>
      <c r="Q60" s="26">
        <v>10.300000000000001</v>
      </c>
      <c r="R60" s="8"/>
      <c r="S60" s="26">
        <v>9.4000000000000004</v>
      </c>
      <c r="T60" s="8"/>
      <c r="U60" s="26">
        <v>7.2000000000000002</v>
      </c>
      <c r="V60" s="8"/>
      <c r="W60" s="26">
        <v>5.7000000000000002</v>
      </c>
      <c r="X60" s="8"/>
      <c r="Y60" s="26">
        <v>4.2999999999999998</v>
      </c>
      <c r="Z60" s="8"/>
      <c r="AA60" s="26">
        <v>3</v>
      </c>
      <c r="AB60" s="8"/>
      <c r="AC60" s="8"/>
    </row>
    <row r="61" ht="12" customHeight="1">
      <c r="A61" s="8" t="s">
        <v>183</v>
      </c>
      <c r="B61" s="8" t="s">
        <v>513</v>
      </c>
      <c r="C61" s="26">
        <v>8.5</v>
      </c>
      <c r="D61" s="8"/>
      <c r="E61" s="26">
        <v>8.4000000000000004</v>
      </c>
      <c r="F61" s="8"/>
      <c r="G61" s="26">
        <v>8.4000000000000004</v>
      </c>
      <c r="H61" s="8"/>
      <c r="I61" s="26">
        <v>6.5</v>
      </c>
      <c r="J61" s="8"/>
      <c r="K61" s="26">
        <v>2.3999999999999999</v>
      </c>
      <c r="L61" s="8"/>
      <c r="M61" s="26">
        <v>0.69999999999999996</v>
      </c>
      <c r="N61" s="8"/>
      <c r="O61" s="26">
        <v>-1.8</v>
      </c>
      <c r="P61" s="8"/>
      <c r="Q61" s="26">
        <v>-1.8999999999999999</v>
      </c>
      <c r="R61" s="8"/>
      <c r="S61" s="26">
        <v>-0.59999999999999998</v>
      </c>
      <c r="T61" s="8"/>
      <c r="U61" s="26">
        <v>-0.5</v>
      </c>
      <c r="V61" s="8"/>
      <c r="W61" s="26">
        <v>0.90000000000000002</v>
      </c>
      <c r="X61" s="8"/>
      <c r="Y61" s="26">
        <v>1.7</v>
      </c>
      <c r="Z61" s="8"/>
      <c r="AA61" s="26">
        <v>1.6000000000000001</v>
      </c>
      <c r="AB61" s="8"/>
      <c r="AC61" s="8"/>
    </row>
    <row r="62" ht="12" customHeight="1">
      <c r="A62" s="8" t="s">
        <v>185</v>
      </c>
      <c r="B62" s="8" t="s">
        <v>514</v>
      </c>
      <c r="C62" s="26">
        <v>7.4000000000000004</v>
      </c>
      <c r="D62" s="8"/>
      <c r="E62" s="26">
        <v>5.4000000000000004</v>
      </c>
      <c r="F62" s="8"/>
      <c r="G62" s="26">
        <v>6.2000000000000002</v>
      </c>
      <c r="H62" s="8"/>
      <c r="I62" s="26">
        <v>4.9000000000000004</v>
      </c>
      <c r="J62" s="8"/>
      <c r="K62" s="26">
        <v>4.0999999999999996</v>
      </c>
      <c r="L62" s="8"/>
      <c r="M62" s="26">
        <v>5.7000000000000002</v>
      </c>
      <c r="N62" s="8"/>
      <c r="O62" s="26">
        <v>7.7999999999999998</v>
      </c>
      <c r="P62" s="8"/>
      <c r="Q62" s="26">
        <v>8.0999999999999996</v>
      </c>
      <c r="R62" s="8"/>
      <c r="S62" s="26">
        <v>8.9000000000000004</v>
      </c>
      <c r="T62" s="8"/>
      <c r="U62" s="26">
        <v>8</v>
      </c>
      <c r="V62" s="8"/>
      <c r="W62" s="26">
        <v>8</v>
      </c>
      <c r="X62" s="8"/>
      <c r="Y62" s="26">
        <v>7</v>
      </c>
      <c r="Z62" s="8"/>
      <c r="AA62" s="26">
        <v>8.8000000000000007</v>
      </c>
      <c r="AB62" s="8"/>
      <c r="AC62" s="8"/>
    </row>
    <row r="63" ht="12" customHeight="1">
      <c r="A63" s="8" t="s">
        <v>187</v>
      </c>
      <c r="B63" s="8" t="s">
        <v>515</v>
      </c>
      <c r="C63" s="26">
        <v>3.2999999999999998</v>
      </c>
      <c r="D63" s="8"/>
      <c r="E63" s="26">
        <v>5.2000000000000002</v>
      </c>
      <c r="F63" s="8"/>
      <c r="G63" s="26">
        <v>9.1999999999999993</v>
      </c>
      <c r="H63" s="8"/>
      <c r="I63" s="26">
        <v>13.5</v>
      </c>
      <c r="J63" s="8"/>
      <c r="K63" s="26">
        <v>16.399999999999999</v>
      </c>
      <c r="L63" s="8"/>
      <c r="M63" s="26">
        <v>19.100000000000001</v>
      </c>
      <c r="N63" s="8"/>
      <c r="O63" s="26">
        <v>19</v>
      </c>
      <c r="P63" s="8"/>
      <c r="Q63" s="26">
        <v>17.199999999999999</v>
      </c>
      <c r="R63" s="8"/>
      <c r="S63" s="26">
        <v>14.9</v>
      </c>
      <c r="T63" s="8"/>
      <c r="U63" s="26">
        <v>11.1</v>
      </c>
      <c r="V63" s="8"/>
      <c r="W63" s="26">
        <v>7.9000000000000004</v>
      </c>
      <c r="X63" s="8"/>
      <c r="Y63" s="26">
        <v>5.5</v>
      </c>
      <c r="Z63" s="8"/>
      <c r="AA63" s="26">
        <v>3.3999999999999999</v>
      </c>
      <c r="AB63" s="8"/>
      <c r="AC63" s="8"/>
    </row>
    <row r="64" ht="12" customHeight="1">
      <c r="A64" s="8" t="s">
        <v>189</v>
      </c>
      <c r="B64" s="8" t="s">
        <v>516</v>
      </c>
      <c r="C64" s="26">
        <v>-1</v>
      </c>
      <c r="D64" s="8"/>
      <c r="E64" s="26">
        <v>-1.8</v>
      </c>
      <c r="F64" s="8"/>
      <c r="G64" s="26">
        <v>3.2000000000000002</v>
      </c>
      <c r="H64" s="8"/>
      <c r="I64" s="26">
        <v>-3</v>
      </c>
      <c r="J64" s="8"/>
      <c r="K64" s="26">
        <v>-0.80000000000000004</v>
      </c>
      <c r="L64" s="8"/>
      <c r="M64" s="26">
        <v>0</v>
      </c>
      <c r="N64" s="8"/>
      <c r="O64" s="26">
        <v>0</v>
      </c>
      <c r="P64" s="8"/>
      <c r="Q64" s="26">
        <v>-2.8999999999999999</v>
      </c>
      <c r="R64" s="8"/>
      <c r="S64" s="26">
        <v>-3.8999999999999999</v>
      </c>
      <c r="T64" s="8"/>
      <c r="U64" s="26">
        <v>-3.8999999999999999</v>
      </c>
      <c r="V64" s="8"/>
      <c r="W64" s="26">
        <v>-4.4000000000000004</v>
      </c>
      <c r="X64" s="8"/>
      <c r="Y64" s="26">
        <v>-1.8</v>
      </c>
      <c r="Z64" s="8"/>
      <c r="AA64" s="26">
        <v>-0.69999999999999996</v>
      </c>
      <c r="AB64" s="8"/>
      <c r="AC64" s="8"/>
    </row>
    <row r="65" ht="12" customHeight="1">
      <c r="A65" s="8" t="s">
        <v>191</v>
      </c>
      <c r="B65" s="8" t="s">
        <v>517</v>
      </c>
      <c r="C65" s="26">
        <v>5.7999999999999998</v>
      </c>
      <c r="D65" s="8"/>
      <c r="E65" s="26">
        <v>5.2999999999999998</v>
      </c>
      <c r="F65" s="8"/>
      <c r="G65" s="26">
        <v>3.7000000000000002</v>
      </c>
      <c r="H65" s="8"/>
      <c r="I65" s="26">
        <v>3.7999999999999998</v>
      </c>
      <c r="J65" s="8"/>
      <c r="K65" s="26">
        <v>4.2999999999999998</v>
      </c>
      <c r="L65" s="8"/>
      <c r="M65" s="26">
        <v>3.7999999999999998</v>
      </c>
      <c r="N65" s="8"/>
      <c r="O65" s="26">
        <v>3.7000000000000002</v>
      </c>
      <c r="P65" s="8"/>
      <c r="Q65" s="26">
        <v>2.7000000000000002</v>
      </c>
      <c r="R65" s="8"/>
      <c r="S65" s="26">
        <v>2.7999999999999998</v>
      </c>
      <c r="T65" s="8"/>
      <c r="U65" s="26">
        <v>2.7000000000000002</v>
      </c>
      <c r="V65" s="8"/>
      <c r="W65" s="26">
        <v>2.7999999999999998</v>
      </c>
      <c r="X65" s="8"/>
      <c r="Y65" s="26">
        <v>2.1000000000000001</v>
      </c>
      <c r="Z65" s="8"/>
      <c r="AA65" s="26">
        <v>1.3999999999999999</v>
      </c>
      <c r="AB65" s="8"/>
      <c r="AC65" s="8"/>
    </row>
    <row r="66" ht="12" customHeight="1">
      <c r="A66" s="11" t="s">
        <v>193</v>
      </c>
      <c r="B66" s="8" t="s">
        <v>518</v>
      </c>
      <c r="C66" s="26">
        <v>44.100000000000001</v>
      </c>
      <c r="D66" s="8"/>
      <c r="E66" s="26">
        <v>37.600000000000001</v>
      </c>
      <c r="F66" s="8"/>
      <c r="G66" s="26">
        <v>29.5</v>
      </c>
      <c r="H66" s="8"/>
      <c r="I66" s="26">
        <v>27.600000000000001</v>
      </c>
      <c r="J66" s="8"/>
      <c r="K66" s="26">
        <v>31</v>
      </c>
      <c r="L66" s="8"/>
      <c r="M66" s="26">
        <v>28.100000000000001</v>
      </c>
      <c r="N66" s="8"/>
      <c r="O66" s="26">
        <v>26.199999999999999</v>
      </c>
      <c r="P66" s="8"/>
      <c r="Q66" s="26">
        <v>17.899999999999999</v>
      </c>
      <c r="R66" s="8"/>
      <c r="S66" s="26">
        <v>7.2000000000000002</v>
      </c>
      <c r="T66" s="8"/>
      <c r="U66" s="26">
        <v>0.80000000000000004</v>
      </c>
      <c r="V66" s="8"/>
      <c r="W66" s="26">
        <v>-7.2999999999999998</v>
      </c>
      <c r="X66" s="8"/>
      <c r="Y66" s="26">
        <v>-13.800000000000001</v>
      </c>
      <c r="Z66" s="8"/>
      <c r="AA66" s="26">
        <v>-16.600000000000001</v>
      </c>
      <c r="AB66" s="8"/>
      <c r="AC66" s="8"/>
    </row>
    <row r="67" ht="12" customHeight="1">
      <c r="A67" s="8" t="s">
        <v>195</v>
      </c>
      <c r="B67" s="8" t="s">
        <v>519</v>
      </c>
      <c r="C67" s="26">
        <v>44.100000000000001</v>
      </c>
      <c r="D67" s="8"/>
      <c r="E67" s="26">
        <v>37.600000000000001</v>
      </c>
      <c r="F67" s="8"/>
      <c r="G67" s="26">
        <v>29.5</v>
      </c>
      <c r="H67" s="8"/>
      <c r="I67" s="26">
        <v>27.600000000000001</v>
      </c>
      <c r="J67" s="8"/>
      <c r="K67" s="26">
        <v>31</v>
      </c>
      <c r="L67" s="8"/>
      <c r="M67" s="26">
        <v>28.100000000000001</v>
      </c>
      <c r="N67" s="8"/>
      <c r="O67" s="26">
        <v>26.199999999999999</v>
      </c>
      <c r="P67" s="8"/>
      <c r="Q67" s="26">
        <v>17.899999999999999</v>
      </c>
      <c r="R67" s="8"/>
      <c r="S67" s="26">
        <v>7.2000000000000002</v>
      </c>
      <c r="T67" s="8"/>
      <c r="U67" s="26">
        <v>0.80000000000000004</v>
      </c>
      <c r="V67" s="8"/>
      <c r="W67" s="26">
        <v>-7.2999999999999998</v>
      </c>
      <c r="X67" s="8"/>
      <c r="Y67" s="26">
        <v>-13.800000000000001</v>
      </c>
      <c r="Z67" s="8"/>
      <c r="AA67" s="26">
        <v>-16.600000000000001</v>
      </c>
      <c r="AB67" s="8"/>
      <c r="AC67" s="8"/>
    </row>
    <row r="68" ht="12" customHeight="1">
      <c r="A68" s="13" t="s">
        <v>69</v>
      </c>
      <c r="B68" s="10" t="s">
        <v>50</v>
      </c>
      <c r="C68" s="27">
        <v>7.5</v>
      </c>
      <c r="D68" s="10"/>
      <c r="E68" s="27">
        <v>7.0999999999999996</v>
      </c>
      <c r="F68" s="10"/>
      <c r="G68" s="27">
        <v>6.9000000000000004</v>
      </c>
      <c r="H68" s="10"/>
      <c r="I68" s="27">
        <v>7</v>
      </c>
      <c r="J68" s="10"/>
      <c r="K68" s="27">
        <v>6.4000000000000004</v>
      </c>
      <c r="L68" s="10"/>
      <c r="M68" s="27">
        <v>5.5999999999999996</v>
      </c>
      <c r="N68" s="10"/>
      <c r="O68" s="27">
        <v>4.7999999999999998</v>
      </c>
      <c r="P68" s="10"/>
      <c r="Q68" s="27">
        <v>3.7999999999999998</v>
      </c>
      <c r="R68" s="10"/>
      <c r="S68" s="27">
        <v>3.3999999999999999</v>
      </c>
      <c r="T68" s="10"/>
      <c r="U68" s="27">
        <v>3.6000000000000001</v>
      </c>
      <c r="V68" s="10"/>
      <c r="W68" s="27">
        <v>3.3999999999999999</v>
      </c>
      <c r="X68" s="10"/>
      <c r="Y68" s="27">
        <v>3.2000000000000002</v>
      </c>
      <c r="Z68" s="10"/>
      <c r="AA68" s="27">
        <v>3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522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523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524</v>
      </c>
      <c r="C8" s="19">
        <v>1240</v>
      </c>
      <c r="D8" s="19"/>
      <c r="E8" s="19">
        <v>1288</v>
      </c>
      <c r="F8" s="19"/>
      <c r="G8" s="19">
        <v>1313</v>
      </c>
      <c r="H8" s="19"/>
      <c r="I8" s="19">
        <v>1321</v>
      </c>
      <c r="J8" s="19"/>
      <c r="K8" s="19">
        <v>1307</v>
      </c>
      <c r="L8" s="19"/>
      <c r="M8" s="19">
        <v>1315</v>
      </c>
      <c r="N8" s="19"/>
      <c r="O8" s="19">
        <v>1314</v>
      </c>
      <c r="P8" s="19"/>
      <c r="Q8" s="19">
        <v>1331</v>
      </c>
      <c r="R8" s="19"/>
      <c r="S8" s="19">
        <v>1325</v>
      </c>
      <c r="T8" s="19"/>
      <c r="U8" s="19">
        <v>1349</v>
      </c>
      <c r="V8" s="19"/>
      <c r="W8" s="19">
        <v>1371</v>
      </c>
      <c r="X8" s="19"/>
      <c r="Y8" s="19">
        <v>1395</v>
      </c>
      <c r="Z8" s="19"/>
      <c r="AA8" s="19">
        <v>1384</v>
      </c>
      <c r="AB8" s="19"/>
      <c r="AC8" s="18"/>
      <c r="AE8" s="18"/>
      <c r="AG8" s="18"/>
    </row>
    <row r="9" ht="12" customHeight="1">
      <c r="A9" s="8" t="s">
        <v>79</v>
      </c>
      <c r="B9" s="8" t="s">
        <v>525</v>
      </c>
      <c r="C9" s="24">
        <v>1398</v>
      </c>
      <c r="D9" s="8"/>
      <c r="E9" s="24">
        <v>1538</v>
      </c>
      <c r="F9" s="8"/>
      <c r="G9" s="24">
        <v>1509</v>
      </c>
      <c r="H9" s="8"/>
      <c r="I9" s="24">
        <v>1512</v>
      </c>
      <c r="J9" s="8"/>
      <c r="K9" s="24">
        <v>1424</v>
      </c>
      <c r="L9" s="8"/>
      <c r="M9" s="24">
        <v>1412</v>
      </c>
      <c r="N9" s="8"/>
      <c r="O9" s="24">
        <v>1306</v>
      </c>
      <c r="P9" s="8"/>
      <c r="Q9" s="24">
        <v>1374</v>
      </c>
      <c r="R9" s="8"/>
      <c r="S9" s="24">
        <v>1314</v>
      </c>
      <c r="T9" s="8"/>
      <c r="U9" s="24">
        <v>1335</v>
      </c>
      <c r="V9" s="8"/>
      <c r="W9" s="24">
        <v>1372</v>
      </c>
      <c r="X9" s="8"/>
      <c r="Y9" s="24">
        <v>1485</v>
      </c>
      <c r="Z9" s="8"/>
      <c r="AA9" s="24">
        <v>1366</v>
      </c>
      <c r="AB9" s="8"/>
      <c r="AC9" s="8"/>
      <c r="AE9" s="8"/>
      <c r="AG9" s="8"/>
    </row>
    <row r="10" ht="12" customHeight="1">
      <c r="A10" s="8" t="s">
        <v>81</v>
      </c>
      <c r="B10" s="8" t="s">
        <v>526</v>
      </c>
      <c r="C10" s="24">
        <v>1233</v>
      </c>
      <c r="D10" s="8"/>
      <c r="E10" s="24">
        <v>1255</v>
      </c>
      <c r="F10" s="8"/>
      <c r="G10" s="24">
        <v>1274</v>
      </c>
      <c r="H10" s="8"/>
      <c r="I10" s="24">
        <v>1278</v>
      </c>
      <c r="J10" s="8"/>
      <c r="K10" s="24">
        <v>1265</v>
      </c>
      <c r="L10" s="8"/>
      <c r="M10" s="24">
        <v>1263</v>
      </c>
      <c r="N10" s="8"/>
      <c r="O10" s="24">
        <v>1266</v>
      </c>
      <c r="P10" s="8"/>
      <c r="Q10" s="24">
        <v>1278</v>
      </c>
      <c r="R10" s="8"/>
      <c r="S10" s="24">
        <v>1287</v>
      </c>
      <c r="T10" s="8"/>
      <c r="U10" s="24">
        <v>1306</v>
      </c>
      <c r="V10" s="8"/>
      <c r="W10" s="24">
        <v>1324</v>
      </c>
      <c r="X10" s="8"/>
      <c r="Y10" s="24">
        <v>1371</v>
      </c>
      <c r="Z10" s="8"/>
      <c r="AA10" s="24">
        <v>1381</v>
      </c>
      <c r="AB10" s="8"/>
      <c r="AC10" s="8"/>
      <c r="AE10" s="8"/>
      <c r="AG10" s="8"/>
    </row>
    <row r="11" ht="12" customHeight="1">
      <c r="A11" s="8" t="s">
        <v>83</v>
      </c>
      <c r="B11" s="8" t="s">
        <v>527</v>
      </c>
      <c r="C11" s="24">
        <v>1165</v>
      </c>
      <c r="D11" s="8"/>
      <c r="E11" s="24">
        <v>1214</v>
      </c>
      <c r="F11" s="8"/>
      <c r="G11" s="24">
        <v>1247</v>
      </c>
      <c r="H11" s="8"/>
      <c r="I11" s="24">
        <v>1251</v>
      </c>
      <c r="J11" s="8"/>
      <c r="K11" s="24">
        <v>1240</v>
      </c>
      <c r="L11" s="8"/>
      <c r="M11" s="24">
        <v>1254</v>
      </c>
      <c r="N11" s="8"/>
      <c r="O11" s="24">
        <v>1266</v>
      </c>
      <c r="P11" s="8"/>
      <c r="Q11" s="24">
        <v>1276</v>
      </c>
      <c r="R11" s="8"/>
      <c r="S11" s="24">
        <v>1272</v>
      </c>
      <c r="T11" s="8"/>
      <c r="U11" s="24">
        <v>1309</v>
      </c>
      <c r="V11" s="8"/>
      <c r="W11" s="24">
        <v>1330</v>
      </c>
      <c r="X11" s="8"/>
      <c r="Y11" s="24">
        <v>1335</v>
      </c>
      <c r="Z11" s="8"/>
      <c r="AA11" s="24">
        <v>1330</v>
      </c>
      <c r="AB11" s="8"/>
      <c r="AC11" s="8"/>
      <c r="AE11" s="8"/>
      <c r="AG11" s="8"/>
    </row>
    <row r="12" ht="12" customHeight="1">
      <c r="A12" s="8" t="s">
        <v>85</v>
      </c>
      <c r="B12" s="8" t="s">
        <v>528</v>
      </c>
      <c r="C12" s="24">
        <v>1149</v>
      </c>
      <c r="D12" s="8"/>
      <c r="E12" s="24">
        <v>1174</v>
      </c>
      <c r="F12" s="8"/>
      <c r="G12" s="24">
        <v>1209</v>
      </c>
      <c r="H12" s="8"/>
      <c r="I12" s="24">
        <v>1218</v>
      </c>
      <c r="J12" s="8"/>
      <c r="K12" s="24">
        <v>1219</v>
      </c>
      <c r="L12" s="8"/>
      <c r="M12" s="24">
        <v>1233</v>
      </c>
      <c r="N12" s="8"/>
      <c r="O12" s="24">
        <v>1262</v>
      </c>
      <c r="P12" s="8"/>
      <c r="Q12" s="24">
        <v>1271</v>
      </c>
      <c r="R12" s="8"/>
      <c r="S12" s="24">
        <v>1271</v>
      </c>
      <c r="T12" s="8"/>
      <c r="U12" s="24">
        <v>1301</v>
      </c>
      <c r="V12" s="8"/>
      <c r="W12" s="24">
        <v>1335</v>
      </c>
      <c r="X12" s="8"/>
      <c r="Y12" s="24">
        <v>1326</v>
      </c>
      <c r="Z12" s="8"/>
      <c r="AA12" s="24">
        <v>1333</v>
      </c>
      <c r="AB12" s="8"/>
      <c r="AC12" s="8"/>
      <c r="AE12" s="8"/>
      <c r="AG12" s="8"/>
    </row>
    <row r="13" ht="12" customHeight="1">
      <c r="A13" s="8" t="s">
        <v>87</v>
      </c>
      <c r="B13" s="8" t="s">
        <v>529</v>
      </c>
      <c r="C13" s="24">
        <v>1341</v>
      </c>
      <c r="D13" s="8"/>
      <c r="E13" s="24">
        <v>1367</v>
      </c>
      <c r="F13" s="8"/>
      <c r="G13" s="24">
        <v>1408</v>
      </c>
      <c r="H13" s="8"/>
      <c r="I13" s="24">
        <v>1430</v>
      </c>
      <c r="J13" s="8"/>
      <c r="K13" s="24">
        <v>1443</v>
      </c>
      <c r="L13" s="8"/>
      <c r="M13" s="24">
        <v>1456</v>
      </c>
      <c r="N13" s="8"/>
      <c r="O13" s="24">
        <v>1476</v>
      </c>
      <c r="P13" s="8"/>
      <c r="Q13" s="24">
        <v>1482</v>
      </c>
      <c r="R13" s="8"/>
      <c r="S13" s="24">
        <v>1489</v>
      </c>
      <c r="T13" s="8"/>
      <c r="U13" s="24">
        <v>1493</v>
      </c>
      <c r="V13" s="8"/>
      <c r="W13" s="24">
        <v>1506</v>
      </c>
      <c r="X13" s="8"/>
      <c r="Y13" s="24">
        <v>1518</v>
      </c>
      <c r="Z13" s="8"/>
      <c r="AA13" s="24">
        <v>1525</v>
      </c>
      <c r="AB13" s="8"/>
      <c r="AC13" s="8"/>
      <c r="AE13" s="8"/>
      <c r="AG13" s="8"/>
    </row>
    <row r="14" ht="12" customHeight="1">
      <c r="A14" s="11" t="s">
        <v>89</v>
      </c>
      <c r="B14" s="8" t="s">
        <v>530</v>
      </c>
      <c r="C14" s="24">
        <v>1430</v>
      </c>
      <c r="D14" s="8"/>
      <c r="E14" s="24">
        <v>1496</v>
      </c>
      <c r="F14" s="8"/>
      <c r="G14" s="24">
        <v>1510</v>
      </c>
      <c r="H14" s="8"/>
      <c r="I14" s="24">
        <v>1528</v>
      </c>
      <c r="J14" s="8"/>
      <c r="K14" s="24">
        <v>1552</v>
      </c>
      <c r="L14" s="8"/>
      <c r="M14" s="24">
        <v>1613</v>
      </c>
      <c r="N14" s="8"/>
      <c r="O14" s="24">
        <v>1625</v>
      </c>
      <c r="P14" s="8"/>
      <c r="Q14" s="24">
        <v>1632</v>
      </c>
      <c r="R14" s="8"/>
      <c r="S14" s="24">
        <v>1634</v>
      </c>
      <c r="T14" s="8"/>
      <c r="U14" s="24">
        <v>1666</v>
      </c>
      <c r="V14" s="8"/>
      <c r="W14" s="24">
        <v>1663</v>
      </c>
      <c r="X14" s="8"/>
      <c r="Y14" s="24">
        <v>1670</v>
      </c>
      <c r="Z14" s="8"/>
      <c r="AA14" s="24">
        <v>1672</v>
      </c>
      <c r="AB14" s="8"/>
      <c r="AC14" s="8"/>
      <c r="AE14" s="8"/>
      <c r="AG14" s="8"/>
    </row>
    <row r="15" ht="12" customHeight="1">
      <c r="A15" s="8" t="s">
        <v>91</v>
      </c>
      <c r="B15" s="8" t="s">
        <v>531</v>
      </c>
      <c r="C15" s="24">
        <v>1128</v>
      </c>
      <c r="D15" s="8"/>
      <c r="E15" s="24">
        <v>1147</v>
      </c>
      <c r="F15" s="8"/>
      <c r="G15" s="24">
        <v>1168</v>
      </c>
      <c r="H15" s="8"/>
      <c r="I15" s="24">
        <v>1189</v>
      </c>
      <c r="J15" s="8"/>
      <c r="K15" s="24">
        <v>1189</v>
      </c>
      <c r="L15" s="8"/>
      <c r="M15" s="24">
        <v>1201</v>
      </c>
      <c r="N15" s="8"/>
      <c r="O15" s="24">
        <v>1220</v>
      </c>
      <c r="P15" s="8"/>
      <c r="Q15" s="24">
        <v>1227</v>
      </c>
      <c r="R15" s="8"/>
      <c r="S15" s="24">
        <v>1220</v>
      </c>
      <c r="T15" s="8"/>
      <c r="U15" s="24">
        <v>1230</v>
      </c>
      <c r="V15" s="8"/>
      <c r="W15" s="24">
        <v>1224</v>
      </c>
      <c r="X15" s="8"/>
      <c r="Y15" s="24">
        <v>1233</v>
      </c>
      <c r="Z15" s="8"/>
      <c r="AA15" s="24">
        <v>1223</v>
      </c>
      <c r="AB15" s="8"/>
      <c r="AC15" s="8"/>
      <c r="AE15" s="8"/>
      <c r="AG15" s="8"/>
    </row>
    <row r="16" ht="12" customHeight="1">
      <c r="A16" s="8" t="s">
        <v>93</v>
      </c>
      <c r="B16" s="8" t="s">
        <v>532</v>
      </c>
      <c r="C16" s="24">
        <v>1952</v>
      </c>
      <c r="D16" s="8"/>
      <c r="E16" s="24">
        <v>2101</v>
      </c>
      <c r="F16" s="8"/>
      <c r="G16" s="24">
        <v>2103</v>
      </c>
      <c r="H16" s="8"/>
      <c r="I16" s="24">
        <v>2115</v>
      </c>
      <c r="J16" s="8"/>
      <c r="K16" s="24">
        <v>2181</v>
      </c>
      <c r="L16" s="8"/>
      <c r="M16" s="24">
        <v>2325</v>
      </c>
      <c r="N16" s="8"/>
      <c r="O16" s="24">
        <v>2325</v>
      </c>
      <c r="P16" s="8"/>
      <c r="Q16" s="24">
        <v>2333</v>
      </c>
      <c r="R16" s="8"/>
      <c r="S16" s="24">
        <v>2350</v>
      </c>
      <c r="T16" s="8"/>
      <c r="U16" s="24">
        <v>2442</v>
      </c>
      <c r="V16" s="8"/>
      <c r="W16" s="24">
        <v>2448</v>
      </c>
      <c r="X16" s="8"/>
      <c r="Y16" s="24">
        <v>2448</v>
      </c>
      <c r="Z16" s="8"/>
      <c r="AA16" s="24">
        <v>2486</v>
      </c>
      <c r="AB16" s="8"/>
      <c r="AC16" s="8"/>
      <c r="AE16" s="8"/>
      <c r="AG16" s="8"/>
    </row>
    <row r="17" ht="12" customHeight="1">
      <c r="A17" s="11" t="s">
        <v>95</v>
      </c>
      <c r="B17" s="8" t="s">
        <v>533</v>
      </c>
      <c r="C17" s="24">
        <v>1045</v>
      </c>
      <c r="D17" s="8"/>
      <c r="E17" s="24">
        <v>1045</v>
      </c>
      <c r="F17" s="8"/>
      <c r="G17" s="24">
        <v>1073</v>
      </c>
      <c r="H17" s="8"/>
      <c r="I17" s="24">
        <v>1073</v>
      </c>
      <c r="J17" s="8"/>
      <c r="K17" s="24">
        <v>1083</v>
      </c>
      <c r="L17" s="8"/>
      <c r="M17" s="24">
        <v>1083</v>
      </c>
      <c r="N17" s="8"/>
      <c r="O17" s="24">
        <v>1088</v>
      </c>
      <c r="P17" s="8"/>
      <c r="Q17" s="24">
        <v>1087</v>
      </c>
      <c r="R17" s="8"/>
      <c r="S17" s="24">
        <v>1075</v>
      </c>
      <c r="T17" s="8"/>
      <c r="U17" s="24">
        <v>1080</v>
      </c>
      <c r="V17" s="8"/>
      <c r="W17" s="24">
        <v>1080</v>
      </c>
      <c r="X17" s="8"/>
      <c r="Y17" s="24">
        <v>1085</v>
      </c>
      <c r="Z17" s="8"/>
      <c r="AA17" s="24">
        <v>1094</v>
      </c>
      <c r="AB17" s="8"/>
      <c r="AC17" s="8"/>
      <c r="AE17" s="8"/>
      <c r="AG17" s="8"/>
    </row>
    <row r="18" ht="12" customHeight="1">
      <c r="A18" s="8" t="s">
        <v>97</v>
      </c>
      <c r="B18" s="8" t="s">
        <v>534</v>
      </c>
      <c r="C18" s="24">
        <v>1036</v>
      </c>
      <c r="D18" s="8"/>
      <c r="E18" s="24">
        <v>1034</v>
      </c>
      <c r="F18" s="8"/>
      <c r="G18" s="24">
        <v>1066</v>
      </c>
      <c r="H18" s="8"/>
      <c r="I18" s="24">
        <v>1067</v>
      </c>
      <c r="J18" s="8"/>
      <c r="K18" s="24">
        <v>1079</v>
      </c>
      <c r="L18" s="8"/>
      <c r="M18" s="24">
        <v>1081</v>
      </c>
      <c r="N18" s="8"/>
      <c r="O18" s="24">
        <v>1082</v>
      </c>
      <c r="P18" s="8"/>
      <c r="Q18" s="24">
        <v>1080</v>
      </c>
      <c r="R18" s="8"/>
      <c r="S18" s="24">
        <v>1066</v>
      </c>
      <c r="T18" s="8"/>
      <c r="U18" s="24">
        <v>1066</v>
      </c>
      <c r="V18" s="8"/>
      <c r="W18" s="24">
        <v>1074</v>
      </c>
      <c r="X18" s="8"/>
      <c r="Y18" s="24">
        <v>1075</v>
      </c>
      <c r="Z18" s="8"/>
      <c r="AA18" s="24">
        <v>1087</v>
      </c>
      <c r="AB18" s="8"/>
      <c r="AC18" s="8"/>
      <c r="AE18" s="8"/>
      <c r="AG18" s="8"/>
    </row>
    <row r="19" ht="12" customHeight="1">
      <c r="A19" s="8" t="s">
        <v>99</v>
      </c>
      <c r="B19" s="8" t="s">
        <v>535</v>
      </c>
      <c r="C19" s="24">
        <v>1061</v>
      </c>
      <c r="D19" s="8"/>
      <c r="E19" s="24">
        <v>1069</v>
      </c>
      <c r="F19" s="8"/>
      <c r="G19" s="24">
        <v>1083</v>
      </c>
      <c r="H19" s="8"/>
      <c r="I19" s="24">
        <v>1076</v>
      </c>
      <c r="J19" s="8"/>
      <c r="K19" s="24">
        <v>1078</v>
      </c>
      <c r="L19" s="8"/>
      <c r="M19" s="24">
        <v>1071</v>
      </c>
      <c r="N19" s="8"/>
      <c r="O19" s="24">
        <v>1091</v>
      </c>
      <c r="P19" s="8"/>
      <c r="Q19" s="24">
        <v>1092</v>
      </c>
      <c r="R19" s="8"/>
      <c r="S19" s="24">
        <v>1090</v>
      </c>
      <c r="T19" s="8"/>
      <c r="U19" s="24">
        <v>1112</v>
      </c>
      <c r="V19" s="8"/>
      <c r="W19" s="24">
        <v>1085</v>
      </c>
      <c r="X19" s="8"/>
      <c r="Y19" s="24">
        <v>1104</v>
      </c>
      <c r="Z19" s="8"/>
      <c r="AA19" s="24">
        <v>1101</v>
      </c>
      <c r="AB19" s="8"/>
      <c r="AC19" s="8"/>
      <c r="AE19" s="8"/>
      <c r="AG19" s="8"/>
    </row>
    <row r="20" ht="12" customHeight="1">
      <c r="A20" s="11" t="s">
        <v>101</v>
      </c>
      <c r="B20" s="8" t="s">
        <v>536</v>
      </c>
      <c r="C20" s="24">
        <v>1289</v>
      </c>
      <c r="D20" s="8"/>
      <c r="E20" s="24">
        <v>1305</v>
      </c>
      <c r="F20" s="8"/>
      <c r="G20" s="24">
        <v>1323</v>
      </c>
      <c r="H20" s="8"/>
      <c r="I20" s="24">
        <v>1351</v>
      </c>
      <c r="J20" s="8"/>
      <c r="K20" s="24">
        <v>1366</v>
      </c>
      <c r="L20" s="8"/>
      <c r="M20" s="24">
        <v>1378</v>
      </c>
      <c r="N20" s="8"/>
      <c r="O20" s="24">
        <v>1396</v>
      </c>
      <c r="P20" s="8"/>
      <c r="Q20" s="24">
        <v>1436</v>
      </c>
      <c r="R20" s="8"/>
      <c r="S20" s="24">
        <v>1445</v>
      </c>
      <c r="T20" s="8"/>
      <c r="U20" s="24">
        <v>1457</v>
      </c>
      <c r="V20" s="8"/>
      <c r="W20" s="24">
        <v>1476</v>
      </c>
      <c r="X20" s="8"/>
      <c r="Y20" s="24">
        <v>1509</v>
      </c>
      <c r="Z20" s="8"/>
      <c r="AA20" s="24">
        <v>1515</v>
      </c>
      <c r="AB20" s="8"/>
      <c r="AC20" s="8"/>
      <c r="AE20" s="8"/>
      <c r="AG20" s="8"/>
    </row>
    <row r="21" ht="12" customHeight="1">
      <c r="A21" s="8" t="s">
        <v>103</v>
      </c>
      <c r="B21" s="8" t="s">
        <v>537</v>
      </c>
      <c r="C21" s="24">
        <v>1287</v>
      </c>
      <c r="D21" s="8"/>
      <c r="E21" s="24">
        <v>1303</v>
      </c>
      <c r="F21" s="8"/>
      <c r="G21" s="24">
        <v>1320</v>
      </c>
      <c r="H21" s="8"/>
      <c r="I21" s="24">
        <v>1338</v>
      </c>
      <c r="J21" s="8"/>
      <c r="K21" s="24">
        <v>1354</v>
      </c>
      <c r="L21" s="8"/>
      <c r="M21" s="24">
        <v>1372</v>
      </c>
      <c r="N21" s="8"/>
      <c r="O21" s="24">
        <v>1389</v>
      </c>
      <c r="P21" s="8"/>
      <c r="Q21" s="24">
        <v>1403</v>
      </c>
      <c r="R21" s="8"/>
      <c r="S21" s="24">
        <v>1415</v>
      </c>
      <c r="T21" s="8"/>
      <c r="U21" s="24">
        <v>1425</v>
      </c>
      <c r="V21" s="8"/>
      <c r="W21" s="24">
        <v>1436</v>
      </c>
      <c r="X21" s="8"/>
      <c r="Y21" s="24">
        <v>1440</v>
      </c>
      <c r="Z21" s="8"/>
      <c r="AA21" s="24">
        <v>1442</v>
      </c>
      <c r="AB21" s="8"/>
      <c r="AC21" s="8"/>
      <c r="AE21" s="8"/>
      <c r="AG21" s="8"/>
    </row>
    <row r="22" ht="12" customHeight="1">
      <c r="A22" s="8" t="s">
        <v>105</v>
      </c>
      <c r="B22" s="8" t="s">
        <v>538</v>
      </c>
      <c r="C22" s="24">
        <v>1287</v>
      </c>
      <c r="D22" s="8"/>
      <c r="E22" s="24">
        <v>1303</v>
      </c>
      <c r="F22" s="8"/>
      <c r="G22" s="24">
        <v>1320</v>
      </c>
      <c r="H22" s="8"/>
      <c r="I22" s="24">
        <v>1338</v>
      </c>
      <c r="J22" s="8"/>
      <c r="K22" s="24">
        <v>1354</v>
      </c>
      <c r="L22" s="8"/>
      <c r="M22" s="24">
        <v>1372</v>
      </c>
      <c r="N22" s="8"/>
      <c r="O22" s="24">
        <v>1389</v>
      </c>
      <c r="P22" s="8"/>
      <c r="Q22" s="24">
        <v>1403</v>
      </c>
      <c r="R22" s="8"/>
      <c r="S22" s="24">
        <v>1415</v>
      </c>
      <c r="T22" s="8"/>
      <c r="U22" s="24">
        <v>1425</v>
      </c>
      <c r="V22" s="8"/>
      <c r="W22" s="24">
        <v>1436</v>
      </c>
      <c r="X22" s="8"/>
      <c r="Y22" s="24">
        <v>1440</v>
      </c>
      <c r="Z22" s="8"/>
      <c r="AA22" s="24">
        <v>1442</v>
      </c>
      <c r="AB22" s="8"/>
      <c r="AC22" s="8"/>
      <c r="AE22" s="8"/>
      <c r="AG22" s="8"/>
    </row>
    <row r="23" ht="12" customHeight="1">
      <c r="A23" s="8" t="s">
        <v>107</v>
      </c>
      <c r="B23" s="8" t="s">
        <v>539</v>
      </c>
      <c r="C23" s="24">
        <v>1339</v>
      </c>
      <c r="D23" s="8"/>
      <c r="E23" s="24">
        <v>1335</v>
      </c>
      <c r="F23" s="8"/>
      <c r="G23" s="24">
        <v>1363</v>
      </c>
      <c r="H23" s="8"/>
      <c r="I23" s="24">
        <v>1374</v>
      </c>
      <c r="J23" s="8"/>
      <c r="K23" s="24">
        <v>1379</v>
      </c>
      <c r="L23" s="8"/>
      <c r="M23" s="24">
        <v>1381</v>
      </c>
      <c r="N23" s="8"/>
      <c r="O23" s="24">
        <v>1402</v>
      </c>
      <c r="P23" s="8"/>
      <c r="Q23" s="24">
        <v>1423</v>
      </c>
      <c r="R23" s="8"/>
      <c r="S23" s="24">
        <v>1418</v>
      </c>
      <c r="T23" s="8"/>
      <c r="U23" s="24">
        <v>1424</v>
      </c>
      <c r="V23" s="8"/>
      <c r="W23" s="24">
        <v>1428</v>
      </c>
      <c r="X23" s="8"/>
      <c r="Y23" s="24">
        <v>1438</v>
      </c>
      <c r="Z23" s="8"/>
      <c r="AA23" s="24">
        <v>1448</v>
      </c>
      <c r="AB23" s="8"/>
      <c r="AC23" s="8"/>
      <c r="AE23" s="8"/>
      <c r="AG23" s="8"/>
    </row>
    <row r="24" ht="12" customHeight="1">
      <c r="A24" s="8" t="s">
        <v>109</v>
      </c>
      <c r="B24" s="8" t="s">
        <v>540</v>
      </c>
      <c r="C24" s="24">
        <v>1508</v>
      </c>
      <c r="D24" s="8"/>
      <c r="E24" s="24">
        <v>1509</v>
      </c>
      <c r="F24" s="8"/>
      <c r="G24" s="24">
        <v>1510</v>
      </c>
      <c r="H24" s="8"/>
      <c r="I24" s="24">
        <v>1653</v>
      </c>
      <c r="J24" s="8"/>
      <c r="K24" s="24">
        <v>1653</v>
      </c>
      <c r="L24" s="8"/>
      <c r="M24" s="24">
        <v>1654</v>
      </c>
      <c r="N24" s="8"/>
      <c r="O24" s="24">
        <v>1655</v>
      </c>
      <c r="P24" s="8"/>
      <c r="Q24" s="24">
        <v>1851</v>
      </c>
      <c r="R24" s="8"/>
      <c r="S24" s="24">
        <v>1852</v>
      </c>
      <c r="T24" s="8"/>
      <c r="U24" s="24">
        <v>1852</v>
      </c>
      <c r="V24" s="8"/>
      <c r="W24" s="24">
        <v>1852</v>
      </c>
      <c r="X24" s="8"/>
      <c r="Y24" s="24">
        <v>2004</v>
      </c>
      <c r="Z24" s="8"/>
      <c r="AA24" s="24">
        <v>2004</v>
      </c>
      <c r="AB24" s="8"/>
      <c r="AC24" s="8"/>
      <c r="AE24" s="8"/>
      <c r="AG24" s="8"/>
    </row>
    <row r="25" ht="12" customHeight="1">
      <c r="A25" s="8" t="s">
        <v>111</v>
      </c>
      <c r="B25" s="8" t="s">
        <v>541</v>
      </c>
      <c r="C25" s="24">
        <v>1538</v>
      </c>
      <c r="D25" s="8"/>
      <c r="E25" s="24">
        <v>1538</v>
      </c>
      <c r="F25" s="8"/>
      <c r="G25" s="24">
        <v>1538</v>
      </c>
      <c r="H25" s="8"/>
      <c r="I25" s="24">
        <v>1688</v>
      </c>
      <c r="J25" s="8"/>
      <c r="K25" s="24">
        <v>1688</v>
      </c>
      <c r="L25" s="8"/>
      <c r="M25" s="24">
        <v>1688</v>
      </c>
      <c r="N25" s="8"/>
      <c r="O25" s="24">
        <v>1688</v>
      </c>
      <c r="P25" s="8"/>
      <c r="Q25" s="24">
        <v>1893</v>
      </c>
      <c r="R25" s="8"/>
      <c r="S25" s="24">
        <v>1893</v>
      </c>
      <c r="T25" s="8"/>
      <c r="U25" s="24">
        <v>1893</v>
      </c>
      <c r="V25" s="8"/>
      <c r="W25" s="24">
        <v>1893</v>
      </c>
      <c r="X25" s="8"/>
      <c r="Y25" s="24">
        <v>2060</v>
      </c>
      <c r="Z25" s="8"/>
      <c r="AA25" s="24">
        <v>2060</v>
      </c>
      <c r="AB25" s="8"/>
      <c r="AC25" s="8"/>
      <c r="AE25" s="8"/>
      <c r="AG25" s="8"/>
    </row>
    <row r="26" ht="12" customHeight="1">
      <c r="A26" s="8" t="s">
        <v>113</v>
      </c>
      <c r="B26" s="8" t="s">
        <v>542</v>
      </c>
      <c r="C26" s="24">
        <v>1116</v>
      </c>
      <c r="D26" s="8"/>
      <c r="E26" s="24">
        <v>1141</v>
      </c>
      <c r="F26" s="8"/>
      <c r="G26" s="24">
        <v>1172</v>
      </c>
      <c r="H26" s="8"/>
      <c r="I26" s="24">
        <v>1157</v>
      </c>
      <c r="J26" s="8"/>
      <c r="K26" s="24">
        <v>1179</v>
      </c>
      <c r="L26" s="8"/>
      <c r="M26" s="24">
        <v>1184</v>
      </c>
      <c r="N26" s="8"/>
      <c r="O26" s="24">
        <v>1217</v>
      </c>
      <c r="P26" s="8"/>
      <c r="Q26" s="24">
        <v>1226</v>
      </c>
      <c r="R26" s="8"/>
      <c r="S26" s="24">
        <v>1236</v>
      </c>
      <c r="T26" s="8"/>
      <c r="U26" s="24">
        <v>1266</v>
      </c>
      <c r="V26" s="8"/>
      <c r="W26" s="24">
        <v>1326</v>
      </c>
      <c r="X26" s="8"/>
      <c r="Y26" s="24">
        <v>1365</v>
      </c>
      <c r="Z26" s="8"/>
      <c r="AA26" s="24">
        <v>1387</v>
      </c>
      <c r="AB26" s="8"/>
      <c r="AC26" s="8"/>
      <c r="AE26" s="8"/>
      <c r="AG26" s="8"/>
    </row>
    <row r="27" ht="12" customHeight="1">
      <c r="A27" s="8" t="s">
        <v>115</v>
      </c>
      <c r="B27" s="8" t="s">
        <v>543</v>
      </c>
      <c r="C27" s="24">
        <v>1101</v>
      </c>
      <c r="D27" s="8"/>
      <c r="E27" s="24">
        <v>1126</v>
      </c>
      <c r="F27" s="8"/>
      <c r="G27" s="24">
        <v>1155</v>
      </c>
      <c r="H27" s="8"/>
      <c r="I27" s="24">
        <v>1135</v>
      </c>
      <c r="J27" s="8"/>
      <c r="K27" s="24">
        <v>1155</v>
      </c>
      <c r="L27" s="8"/>
      <c r="M27" s="24">
        <v>1160</v>
      </c>
      <c r="N27" s="8"/>
      <c r="O27" s="24">
        <v>1195</v>
      </c>
      <c r="P27" s="8"/>
      <c r="Q27" s="24">
        <v>1202</v>
      </c>
      <c r="R27" s="8"/>
      <c r="S27" s="24">
        <v>1209</v>
      </c>
      <c r="T27" s="8"/>
      <c r="U27" s="24">
        <v>1235</v>
      </c>
      <c r="V27" s="8"/>
      <c r="W27" s="24">
        <v>1297</v>
      </c>
      <c r="X27" s="8"/>
      <c r="Y27" s="24">
        <v>1338</v>
      </c>
      <c r="Z27" s="8"/>
      <c r="AA27" s="24">
        <v>1355</v>
      </c>
      <c r="AB27" s="8"/>
      <c r="AC27" s="8"/>
      <c r="AE27" s="8"/>
      <c r="AG27" s="8"/>
    </row>
    <row r="28" ht="12" customHeight="1">
      <c r="A28" s="11" t="s">
        <v>117</v>
      </c>
      <c r="B28" s="8" t="s">
        <v>544</v>
      </c>
      <c r="C28" s="24">
        <v>1184</v>
      </c>
      <c r="D28" s="8"/>
      <c r="E28" s="24">
        <v>1173</v>
      </c>
      <c r="F28" s="8"/>
      <c r="G28" s="24">
        <v>1209</v>
      </c>
      <c r="H28" s="8"/>
      <c r="I28" s="24">
        <v>1192</v>
      </c>
      <c r="J28" s="8"/>
      <c r="K28" s="24">
        <v>1198</v>
      </c>
      <c r="L28" s="8"/>
      <c r="M28" s="24">
        <v>1177</v>
      </c>
      <c r="N28" s="8"/>
      <c r="O28" s="24">
        <v>1181</v>
      </c>
      <c r="P28" s="8"/>
      <c r="Q28" s="24">
        <v>1187</v>
      </c>
      <c r="R28" s="8"/>
      <c r="S28" s="24">
        <v>1185</v>
      </c>
      <c r="T28" s="8"/>
      <c r="U28" s="24">
        <v>1179</v>
      </c>
      <c r="V28" s="8"/>
      <c r="W28" s="24">
        <v>1184</v>
      </c>
      <c r="X28" s="8"/>
      <c r="Y28" s="24">
        <v>1170</v>
      </c>
      <c r="Z28" s="8"/>
      <c r="AA28" s="24">
        <v>1179</v>
      </c>
      <c r="AB28" s="8"/>
      <c r="AC28" s="8"/>
      <c r="AE28" s="8"/>
      <c r="AG28" s="8"/>
    </row>
    <row r="29" ht="12" customHeight="1">
      <c r="A29" s="8" t="s">
        <v>119</v>
      </c>
      <c r="B29" s="8" t="s">
        <v>545</v>
      </c>
      <c r="C29" s="24">
        <v>1287</v>
      </c>
      <c r="D29" s="8"/>
      <c r="E29" s="24">
        <v>1232</v>
      </c>
      <c r="F29" s="8"/>
      <c r="G29" s="24">
        <v>1274</v>
      </c>
      <c r="H29" s="8"/>
      <c r="I29" s="24">
        <v>1241</v>
      </c>
      <c r="J29" s="8"/>
      <c r="K29" s="24">
        <v>1246</v>
      </c>
      <c r="L29" s="8"/>
      <c r="M29" s="24">
        <v>1168</v>
      </c>
      <c r="N29" s="8"/>
      <c r="O29" s="24">
        <v>1183</v>
      </c>
      <c r="P29" s="8"/>
      <c r="Q29" s="24">
        <v>1213</v>
      </c>
      <c r="R29" s="8"/>
      <c r="S29" s="24">
        <v>1218</v>
      </c>
      <c r="T29" s="8"/>
      <c r="U29" s="24">
        <v>1207</v>
      </c>
      <c r="V29" s="8"/>
      <c r="W29" s="24">
        <v>1190</v>
      </c>
      <c r="X29" s="8"/>
      <c r="Y29" s="24">
        <v>1160</v>
      </c>
      <c r="Z29" s="8"/>
      <c r="AA29" s="24">
        <v>1212</v>
      </c>
      <c r="AB29" s="8"/>
      <c r="AC29" s="8"/>
      <c r="AE29" s="8"/>
      <c r="AG29" s="8"/>
    </row>
    <row r="30" ht="12" customHeight="1">
      <c r="A30" s="8" t="s">
        <v>121</v>
      </c>
      <c r="B30" s="8" t="s">
        <v>546</v>
      </c>
      <c r="C30" s="24">
        <v>1086</v>
      </c>
      <c r="D30" s="8"/>
      <c r="E30" s="24">
        <v>1108</v>
      </c>
      <c r="F30" s="8"/>
      <c r="G30" s="24">
        <v>1109</v>
      </c>
      <c r="H30" s="8"/>
      <c r="I30" s="24">
        <v>1077</v>
      </c>
      <c r="J30" s="8"/>
      <c r="K30" s="24">
        <v>1133</v>
      </c>
      <c r="L30" s="8"/>
      <c r="M30" s="24">
        <v>1115</v>
      </c>
      <c r="N30" s="8"/>
      <c r="O30" s="24">
        <v>1205</v>
      </c>
      <c r="P30" s="8"/>
      <c r="Q30" s="24">
        <v>1168</v>
      </c>
      <c r="R30" s="8"/>
      <c r="S30" s="24">
        <v>1086</v>
      </c>
      <c r="T30" s="8"/>
      <c r="U30" s="24">
        <v>1133</v>
      </c>
      <c r="V30" s="8"/>
      <c r="W30" s="24">
        <v>1175</v>
      </c>
      <c r="X30" s="8"/>
      <c r="Y30" s="24">
        <v>1163</v>
      </c>
      <c r="Z30" s="8"/>
      <c r="AA30" s="24">
        <v>1139</v>
      </c>
      <c r="AB30" s="8"/>
      <c r="AC30" s="8"/>
      <c r="AE30" s="8"/>
      <c r="AG30" s="8"/>
    </row>
    <row r="31" ht="12" customHeight="1">
      <c r="A31" s="8" t="s">
        <v>123</v>
      </c>
      <c r="B31" s="8" t="s">
        <v>547</v>
      </c>
      <c r="C31" s="24">
        <v>1116</v>
      </c>
      <c r="D31" s="8"/>
      <c r="E31" s="24">
        <v>1103</v>
      </c>
      <c r="F31" s="8"/>
      <c r="G31" s="24">
        <v>1150</v>
      </c>
      <c r="H31" s="8"/>
      <c r="I31" s="24">
        <v>1134</v>
      </c>
      <c r="J31" s="8"/>
      <c r="K31" s="24">
        <v>1124</v>
      </c>
      <c r="L31" s="8"/>
      <c r="M31" s="24">
        <v>1107</v>
      </c>
      <c r="N31" s="8"/>
      <c r="O31" s="24">
        <v>1102</v>
      </c>
      <c r="P31" s="8"/>
      <c r="Q31" s="24">
        <v>1084</v>
      </c>
      <c r="R31" s="8"/>
      <c r="S31" s="24">
        <v>1095</v>
      </c>
      <c r="T31" s="8"/>
      <c r="U31" s="24">
        <v>1078</v>
      </c>
      <c r="V31" s="8"/>
      <c r="W31" s="24">
        <v>1088</v>
      </c>
      <c r="X31" s="8"/>
      <c r="Y31" s="24">
        <v>1081</v>
      </c>
      <c r="Z31" s="8"/>
      <c r="AA31" s="24">
        <v>1081</v>
      </c>
      <c r="AB31" s="8"/>
      <c r="AC31" s="8"/>
      <c r="AE31" s="8"/>
      <c r="AG31" s="8"/>
    </row>
    <row r="32" ht="12" customHeight="1">
      <c r="A32" s="8" t="s">
        <v>125</v>
      </c>
      <c r="B32" s="8" t="s">
        <v>548</v>
      </c>
      <c r="C32" s="24">
        <v>1142</v>
      </c>
      <c r="D32" s="8"/>
      <c r="E32" s="24">
        <v>1107</v>
      </c>
      <c r="F32" s="8"/>
      <c r="G32" s="24">
        <v>1142</v>
      </c>
      <c r="H32" s="8"/>
      <c r="I32" s="24">
        <v>1120</v>
      </c>
      <c r="J32" s="8"/>
      <c r="K32" s="24">
        <v>1189</v>
      </c>
      <c r="L32" s="8"/>
      <c r="M32" s="24">
        <v>1193</v>
      </c>
      <c r="N32" s="8"/>
      <c r="O32" s="24">
        <v>1178</v>
      </c>
      <c r="P32" s="8"/>
      <c r="Q32" s="24">
        <v>1146</v>
      </c>
      <c r="R32" s="8"/>
      <c r="S32" s="24">
        <v>1163</v>
      </c>
      <c r="T32" s="8"/>
      <c r="U32" s="24">
        <v>1184</v>
      </c>
      <c r="V32" s="8"/>
      <c r="W32" s="24">
        <v>1168</v>
      </c>
      <c r="X32" s="8"/>
      <c r="Y32" s="24">
        <v>1158</v>
      </c>
      <c r="Z32" s="8"/>
      <c r="AA32" s="24">
        <v>1131</v>
      </c>
      <c r="AB32" s="8"/>
      <c r="AC32" s="8"/>
      <c r="AE32" s="8"/>
      <c r="AG32" s="8"/>
    </row>
    <row r="33" ht="12" customHeight="1">
      <c r="A33" s="8" t="s">
        <v>127</v>
      </c>
      <c r="B33" s="8" t="s">
        <v>549</v>
      </c>
      <c r="C33" s="24">
        <v>1128</v>
      </c>
      <c r="D33" s="8"/>
      <c r="E33" s="24">
        <v>1131</v>
      </c>
      <c r="F33" s="8"/>
      <c r="G33" s="24">
        <v>1172</v>
      </c>
      <c r="H33" s="8"/>
      <c r="I33" s="24">
        <v>1174</v>
      </c>
      <c r="J33" s="8"/>
      <c r="K33" s="24">
        <v>1173</v>
      </c>
      <c r="L33" s="8"/>
      <c r="M33" s="24">
        <v>1180</v>
      </c>
      <c r="N33" s="8"/>
      <c r="O33" s="24">
        <v>1143</v>
      </c>
      <c r="P33" s="8"/>
      <c r="Q33" s="24">
        <v>1143</v>
      </c>
      <c r="R33" s="8"/>
      <c r="S33" s="24">
        <v>1144</v>
      </c>
      <c r="T33" s="8"/>
      <c r="U33" s="24">
        <v>1133</v>
      </c>
      <c r="V33" s="8"/>
      <c r="W33" s="24">
        <v>1134</v>
      </c>
      <c r="X33" s="8"/>
      <c r="Y33" s="24">
        <v>1132</v>
      </c>
      <c r="Z33" s="8"/>
      <c r="AA33" s="24">
        <v>1109</v>
      </c>
      <c r="AB33" s="8"/>
      <c r="AC33" s="8"/>
      <c r="AE33" s="8"/>
      <c r="AG33" s="8"/>
    </row>
    <row r="34" ht="12" customHeight="1">
      <c r="A34" s="8" t="s">
        <v>129</v>
      </c>
      <c r="B34" s="8" t="s">
        <v>550</v>
      </c>
      <c r="C34" s="24">
        <v>1193</v>
      </c>
      <c r="D34" s="8"/>
      <c r="E34" s="24">
        <v>1215</v>
      </c>
      <c r="F34" s="8"/>
      <c r="G34" s="24">
        <v>1243</v>
      </c>
      <c r="H34" s="8"/>
      <c r="I34" s="24">
        <v>1235</v>
      </c>
      <c r="J34" s="8"/>
      <c r="K34" s="24">
        <v>1231</v>
      </c>
      <c r="L34" s="8"/>
      <c r="M34" s="24">
        <v>1241</v>
      </c>
      <c r="N34" s="8"/>
      <c r="O34" s="24">
        <v>1249</v>
      </c>
      <c r="P34" s="8"/>
      <c r="Q34" s="24">
        <v>1272</v>
      </c>
      <c r="R34" s="8"/>
      <c r="S34" s="24">
        <v>1268</v>
      </c>
      <c r="T34" s="8"/>
      <c r="U34" s="24">
        <v>1254</v>
      </c>
      <c r="V34" s="8"/>
      <c r="W34" s="24">
        <v>1273</v>
      </c>
      <c r="X34" s="8"/>
      <c r="Y34" s="24">
        <v>1269</v>
      </c>
      <c r="Z34" s="8"/>
      <c r="AA34" s="24">
        <v>1265</v>
      </c>
      <c r="AB34" s="8"/>
      <c r="AC34" s="8"/>
      <c r="AE34" s="8"/>
      <c r="AG34" s="8"/>
    </row>
    <row r="35" ht="12" customHeight="1">
      <c r="A35" s="11" t="s">
        <v>131</v>
      </c>
      <c r="B35" s="8" t="s">
        <v>551</v>
      </c>
      <c r="C35" s="24">
        <v>1171</v>
      </c>
      <c r="D35" s="8"/>
      <c r="E35" s="24">
        <v>1179</v>
      </c>
      <c r="F35" s="8"/>
      <c r="G35" s="24">
        <v>1198</v>
      </c>
      <c r="H35" s="8"/>
      <c r="I35" s="24">
        <v>1185</v>
      </c>
      <c r="J35" s="8"/>
      <c r="K35" s="24">
        <v>1214</v>
      </c>
      <c r="L35" s="8"/>
      <c r="M35" s="24">
        <v>1238</v>
      </c>
      <c r="N35" s="8"/>
      <c r="O35" s="24">
        <v>1243</v>
      </c>
      <c r="P35" s="8"/>
      <c r="Q35" s="24">
        <v>1300</v>
      </c>
      <c r="R35" s="8"/>
      <c r="S35" s="24">
        <v>1299</v>
      </c>
      <c r="T35" s="8"/>
      <c r="U35" s="24">
        <v>1303</v>
      </c>
      <c r="V35" s="8"/>
      <c r="W35" s="24">
        <v>1304</v>
      </c>
      <c r="X35" s="8"/>
      <c r="Y35" s="24">
        <v>1307</v>
      </c>
      <c r="Z35" s="8"/>
      <c r="AA35" s="24">
        <v>1304</v>
      </c>
      <c r="AB35" s="8"/>
      <c r="AC35" s="8"/>
      <c r="AE35" s="8"/>
      <c r="AG35" s="8"/>
    </row>
    <row r="36" ht="12" customHeight="1">
      <c r="A36" s="8" t="s">
        <v>133</v>
      </c>
      <c r="B36" s="8" t="s">
        <v>552</v>
      </c>
      <c r="C36" s="24">
        <v>1035</v>
      </c>
      <c r="D36" s="8"/>
      <c r="E36" s="24">
        <v>1040</v>
      </c>
      <c r="F36" s="8"/>
      <c r="G36" s="24">
        <v>1057</v>
      </c>
      <c r="H36" s="8"/>
      <c r="I36" s="24">
        <v>962</v>
      </c>
      <c r="J36" s="8"/>
      <c r="K36" s="24">
        <v>964</v>
      </c>
      <c r="L36" s="8"/>
      <c r="M36" s="24">
        <v>959</v>
      </c>
      <c r="N36" s="8"/>
      <c r="O36" s="24">
        <v>964</v>
      </c>
      <c r="P36" s="8"/>
      <c r="Q36" s="24">
        <v>1085</v>
      </c>
      <c r="R36" s="8"/>
      <c r="S36" s="24">
        <v>1042</v>
      </c>
      <c r="T36" s="8"/>
      <c r="U36" s="24">
        <v>1045</v>
      </c>
      <c r="V36" s="8"/>
      <c r="W36" s="24">
        <v>1041</v>
      </c>
      <c r="X36" s="8"/>
      <c r="Y36" s="24">
        <v>1013</v>
      </c>
      <c r="Z36" s="8"/>
      <c r="AA36" s="24">
        <v>990</v>
      </c>
      <c r="AB36" s="8"/>
      <c r="AC36" s="8"/>
      <c r="AE36" s="8"/>
      <c r="AG36" s="8"/>
    </row>
    <row r="37" ht="12" customHeight="1">
      <c r="A37" s="8" t="s">
        <v>135</v>
      </c>
      <c r="B37" s="8" t="s">
        <v>553</v>
      </c>
      <c r="C37" s="24">
        <v>1224</v>
      </c>
      <c r="D37" s="8"/>
      <c r="E37" s="24">
        <v>1230</v>
      </c>
      <c r="F37" s="8"/>
      <c r="G37" s="24">
        <v>1245</v>
      </c>
      <c r="H37" s="8"/>
      <c r="I37" s="24">
        <v>1257</v>
      </c>
      <c r="J37" s="8"/>
      <c r="K37" s="24">
        <v>1291</v>
      </c>
      <c r="L37" s="8"/>
      <c r="M37" s="24">
        <v>1328</v>
      </c>
      <c r="N37" s="8"/>
      <c r="O37" s="24">
        <v>1330</v>
      </c>
      <c r="P37" s="8"/>
      <c r="Q37" s="24">
        <v>1341</v>
      </c>
      <c r="R37" s="8"/>
      <c r="S37" s="24">
        <v>1357</v>
      </c>
      <c r="T37" s="8"/>
      <c r="U37" s="24">
        <v>1362</v>
      </c>
      <c r="V37" s="8"/>
      <c r="W37" s="24">
        <v>1367</v>
      </c>
      <c r="X37" s="8"/>
      <c r="Y37" s="24">
        <v>1391</v>
      </c>
      <c r="Z37" s="8"/>
      <c r="AA37" s="24">
        <v>1403</v>
      </c>
      <c r="AB37" s="8"/>
      <c r="AC37" s="8"/>
      <c r="AE37" s="8"/>
      <c r="AG37" s="8"/>
    </row>
    <row r="38" ht="12" customHeight="1">
      <c r="A38" s="8" t="s">
        <v>137</v>
      </c>
      <c r="B38" s="8" t="s">
        <v>554</v>
      </c>
      <c r="C38" s="24">
        <v>1361</v>
      </c>
      <c r="D38" s="8"/>
      <c r="E38" s="24">
        <v>1385</v>
      </c>
      <c r="F38" s="8"/>
      <c r="G38" s="24">
        <v>1419</v>
      </c>
      <c r="H38" s="8"/>
      <c r="I38" s="24">
        <v>1473</v>
      </c>
      <c r="J38" s="8"/>
      <c r="K38" s="24">
        <v>1543</v>
      </c>
      <c r="L38" s="8"/>
      <c r="M38" s="24">
        <v>1574</v>
      </c>
      <c r="N38" s="8"/>
      <c r="O38" s="24">
        <v>1587</v>
      </c>
      <c r="P38" s="8"/>
      <c r="Q38" s="24">
        <v>1696</v>
      </c>
      <c r="R38" s="8"/>
      <c r="S38" s="24">
        <v>1715</v>
      </c>
      <c r="T38" s="8"/>
      <c r="U38" s="24">
        <v>1716</v>
      </c>
      <c r="V38" s="8"/>
      <c r="W38" s="24">
        <v>1731</v>
      </c>
      <c r="X38" s="8"/>
      <c r="Y38" s="24">
        <v>1757</v>
      </c>
      <c r="Z38" s="8"/>
      <c r="AA38" s="24">
        <v>1775</v>
      </c>
      <c r="AB38" s="8"/>
      <c r="AC38" s="8"/>
      <c r="AE38" s="8"/>
      <c r="AG38" s="8"/>
    </row>
    <row r="39" ht="12" customHeight="1">
      <c r="A39" s="11" t="s">
        <v>139</v>
      </c>
      <c r="B39" s="8" t="s">
        <v>555</v>
      </c>
      <c r="C39" s="24">
        <v>1158</v>
      </c>
      <c r="D39" s="8"/>
      <c r="E39" s="24">
        <v>1141</v>
      </c>
      <c r="F39" s="8"/>
      <c r="G39" s="24">
        <v>1123</v>
      </c>
      <c r="H39" s="8"/>
      <c r="I39" s="24">
        <v>1216</v>
      </c>
      <c r="J39" s="8"/>
      <c r="K39" s="24">
        <v>1210</v>
      </c>
      <c r="L39" s="8"/>
      <c r="M39" s="24">
        <v>1187</v>
      </c>
      <c r="N39" s="8"/>
      <c r="O39" s="24">
        <v>1183</v>
      </c>
      <c r="P39" s="8"/>
      <c r="Q39" s="24">
        <v>1151</v>
      </c>
      <c r="R39" s="8"/>
      <c r="S39" s="24">
        <v>1163</v>
      </c>
      <c r="T39" s="8"/>
      <c r="U39" s="24">
        <v>1181</v>
      </c>
      <c r="V39" s="8"/>
      <c r="W39" s="24">
        <v>1163</v>
      </c>
      <c r="X39" s="8"/>
      <c r="Y39" s="24">
        <v>1169</v>
      </c>
      <c r="Z39" s="8"/>
      <c r="AA39" s="24">
        <v>1193</v>
      </c>
      <c r="AB39" s="8"/>
      <c r="AC39" s="8"/>
      <c r="AE39" s="8"/>
      <c r="AG39" s="8"/>
    </row>
    <row r="40" ht="12" customHeight="1">
      <c r="A40" s="8" t="s">
        <v>141</v>
      </c>
      <c r="B40" s="8" t="s">
        <v>556</v>
      </c>
      <c r="C40" s="24">
        <v>1089</v>
      </c>
      <c r="D40" s="8"/>
      <c r="E40" s="24">
        <v>1099</v>
      </c>
      <c r="F40" s="8"/>
      <c r="G40" s="24">
        <v>1112</v>
      </c>
      <c r="H40" s="8"/>
      <c r="I40" s="24">
        <v>1139</v>
      </c>
      <c r="J40" s="8"/>
      <c r="K40" s="24">
        <v>1113</v>
      </c>
      <c r="L40" s="8"/>
      <c r="M40" s="24">
        <v>1103</v>
      </c>
      <c r="N40" s="8"/>
      <c r="O40" s="24">
        <v>1068</v>
      </c>
      <c r="P40" s="8"/>
      <c r="Q40" s="24">
        <v>1045</v>
      </c>
      <c r="R40" s="8"/>
      <c r="S40" s="24">
        <v>1072</v>
      </c>
      <c r="T40" s="8"/>
      <c r="U40" s="24">
        <v>1073</v>
      </c>
      <c r="V40" s="8"/>
      <c r="W40" s="24">
        <v>1087</v>
      </c>
      <c r="X40" s="8"/>
      <c r="Y40" s="24">
        <v>1086</v>
      </c>
      <c r="Z40" s="8"/>
      <c r="AA40" s="24">
        <v>1086</v>
      </c>
      <c r="AB40" s="8"/>
      <c r="AC40" s="8"/>
      <c r="AE40" s="8"/>
      <c r="AG40" s="8"/>
    </row>
    <row r="41" ht="12" customHeight="1">
      <c r="A41" s="8" t="s">
        <v>143</v>
      </c>
      <c r="B41" s="8" t="s">
        <v>557</v>
      </c>
      <c r="C41" s="24">
        <v>1130</v>
      </c>
      <c r="D41" s="8"/>
      <c r="E41" s="24">
        <v>1106</v>
      </c>
      <c r="F41" s="8"/>
      <c r="G41" s="24">
        <v>1092</v>
      </c>
      <c r="H41" s="8"/>
      <c r="I41" s="24">
        <v>1224</v>
      </c>
      <c r="J41" s="8"/>
      <c r="K41" s="24">
        <v>1228</v>
      </c>
      <c r="L41" s="8"/>
      <c r="M41" s="24">
        <v>1209</v>
      </c>
      <c r="N41" s="8"/>
      <c r="O41" s="24">
        <v>1228</v>
      </c>
      <c r="P41" s="8"/>
      <c r="Q41" s="24">
        <v>1176</v>
      </c>
      <c r="R41" s="8"/>
      <c r="S41" s="24">
        <v>1165</v>
      </c>
      <c r="T41" s="8"/>
      <c r="U41" s="24">
        <v>1204</v>
      </c>
      <c r="V41" s="8"/>
      <c r="W41" s="24">
        <v>1179</v>
      </c>
      <c r="X41" s="8"/>
      <c r="Y41" s="24">
        <v>1183</v>
      </c>
      <c r="Z41" s="8"/>
      <c r="AA41" s="24">
        <v>1205</v>
      </c>
      <c r="AB41" s="8"/>
      <c r="AC41" s="8"/>
      <c r="AE41" s="8"/>
      <c r="AG41" s="8"/>
    </row>
    <row r="42" ht="12" customHeight="1">
      <c r="A42" s="8" t="s">
        <v>145</v>
      </c>
      <c r="B42" s="8" t="s">
        <v>558</v>
      </c>
      <c r="C42" s="24">
        <v>1201</v>
      </c>
      <c r="D42" s="8"/>
      <c r="E42" s="24">
        <v>1170</v>
      </c>
      <c r="F42" s="8"/>
      <c r="G42" s="24">
        <v>1152</v>
      </c>
      <c r="H42" s="8"/>
      <c r="I42" s="24">
        <v>1342</v>
      </c>
      <c r="J42" s="8"/>
      <c r="K42" s="24">
        <v>1342</v>
      </c>
      <c r="L42" s="8"/>
      <c r="M42" s="24">
        <v>1311</v>
      </c>
      <c r="N42" s="8"/>
      <c r="O42" s="24">
        <v>1320</v>
      </c>
      <c r="P42" s="8"/>
      <c r="Q42" s="24">
        <v>1237</v>
      </c>
      <c r="R42" s="8"/>
      <c r="S42" s="24">
        <v>1220</v>
      </c>
      <c r="T42" s="8"/>
      <c r="U42" s="24">
        <v>1276</v>
      </c>
      <c r="V42" s="8"/>
      <c r="W42" s="24">
        <v>1215</v>
      </c>
      <c r="X42" s="8"/>
      <c r="Y42" s="24">
        <v>1217</v>
      </c>
      <c r="Z42" s="8"/>
      <c r="AA42" s="24">
        <v>1247</v>
      </c>
      <c r="AB42" s="8"/>
      <c r="AC42" s="8"/>
      <c r="AE42" s="8"/>
      <c r="AG42" s="8"/>
    </row>
    <row r="43" ht="12" customHeight="1">
      <c r="A43" s="8" t="s">
        <v>147</v>
      </c>
      <c r="B43" s="8" t="s">
        <v>559</v>
      </c>
      <c r="C43" s="24">
        <v>1394</v>
      </c>
      <c r="D43" s="8"/>
      <c r="E43" s="24">
        <v>1348</v>
      </c>
      <c r="F43" s="8"/>
      <c r="G43" s="24">
        <v>1257</v>
      </c>
      <c r="H43" s="8"/>
      <c r="I43" s="24">
        <v>1309</v>
      </c>
      <c r="J43" s="8"/>
      <c r="K43" s="24">
        <v>1299</v>
      </c>
      <c r="L43" s="8"/>
      <c r="M43" s="24">
        <v>1230</v>
      </c>
      <c r="N43" s="8"/>
      <c r="O43" s="24">
        <v>1189</v>
      </c>
      <c r="P43" s="8"/>
      <c r="Q43" s="24">
        <v>1222</v>
      </c>
      <c r="R43" s="8"/>
      <c r="S43" s="24">
        <v>1302</v>
      </c>
      <c r="T43" s="8"/>
      <c r="U43" s="24">
        <v>1264</v>
      </c>
      <c r="V43" s="8"/>
      <c r="W43" s="24">
        <v>1231</v>
      </c>
      <c r="X43" s="8"/>
      <c r="Y43" s="24">
        <v>1251</v>
      </c>
      <c r="Z43" s="8"/>
      <c r="AA43" s="24">
        <v>1320</v>
      </c>
      <c r="AB43" s="8"/>
      <c r="AC43" s="8"/>
      <c r="AE43" s="8"/>
      <c r="AG43" s="8"/>
    </row>
    <row r="44" ht="12" customHeight="1">
      <c r="A44" s="11" t="s">
        <v>149</v>
      </c>
      <c r="B44" s="8" t="s">
        <v>560</v>
      </c>
      <c r="C44" s="24">
        <v>814</v>
      </c>
      <c r="D44" s="8"/>
      <c r="E44" s="24">
        <v>817</v>
      </c>
      <c r="F44" s="8"/>
      <c r="G44" s="24">
        <v>817</v>
      </c>
      <c r="H44" s="8"/>
      <c r="I44" s="24">
        <v>827</v>
      </c>
      <c r="J44" s="8"/>
      <c r="K44" s="24">
        <v>846</v>
      </c>
      <c r="L44" s="8"/>
      <c r="M44" s="24">
        <v>849</v>
      </c>
      <c r="N44" s="8"/>
      <c r="O44" s="24">
        <v>858</v>
      </c>
      <c r="P44" s="8"/>
      <c r="Q44" s="24">
        <v>858</v>
      </c>
      <c r="R44" s="8"/>
      <c r="S44" s="24">
        <v>875</v>
      </c>
      <c r="T44" s="8"/>
      <c r="U44" s="24">
        <v>878</v>
      </c>
      <c r="V44" s="8"/>
      <c r="W44" s="24">
        <v>878</v>
      </c>
      <c r="X44" s="8"/>
      <c r="Y44" s="24">
        <v>883</v>
      </c>
      <c r="Z44" s="8"/>
      <c r="AA44" s="24">
        <v>918</v>
      </c>
      <c r="AB44" s="8"/>
      <c r="AC44" s="8"/>
      <c r="AE44" s="8"/>
      <c r="AG44" s="8"/>
    </row>
    <row r="45" ht="12" customHeight="1">
      <c r="A45" s="8" t="s">
        <v>151</v>
      </c>
      <c r="B45" s="8" t="s">
        <v>561</v>
      </c>
      <c r="C45" s="24">
        <v>1420</v>
      </c>
      <c r="D45" s="8"/>
      <c r="E45" s="24">
        <v>1425</v>
      </c>
      <c r="F45" s="8"/>
      <c r="G45" s="24">
        <v>1419</v>
      </c>
      <c r="H45" s="8"/>
      <c r="I45" s="24">
        <v>1529</v>
      </c>
      <c r="J45" s="8"/>
      <c r="K45" s="24">
        <v>1538</v>
      </c>
      <c r="L45" s="8"/>
      <c r="M45" s="24">
        <v>1526</v>
      </c>
      <c r="N45" s="8"/>
      <c r="O45" s="24">
        <v>1523</v>
      </c>
      <c r="P45" s="8"/>
      <c r="Q45" s="24">
        <v>1567</v>
      </c>
      <c r="R45" s="8"/>
      <c r="S45" s="24">
        <v>1568</v>
      </c>
      <c r="T45" s="8"/>
      <c r="U45" s="24">
        <v>1562</v>
      </c>
      <c r="V45" s="8"/>
      <c r="W45" s="24">
        <v>1577</v>
      </c>
      <c r="X45" s="8"/>
      <c r="Y45" s="24">
        <v>1695</v>
      </c>
      <c r="Z45" s="8"/>
      <c r="AA45" s="24">
        <v>1699</v>
      </c>
      <c r="AB45" s="8"/>
      <c r="AC45" s="8"/>
      <c r="AE45" s="8"/>
      <c r="AG45" s="8"/>
    </row>
    <row r="46" ht="12" customHeight="1">
      <c r="A46" s="8" t="s">
        <v>153</v>
      </c>
      <c r="B46" s="8" t="s">
        <v>562</v>
      </c>
      <c r="C46" s="24">
        <v>283</v>
      </c>
      <c r="D46" s="8"/>
      <c r="E46" s="24">
        <v>287</v>
      </c>
      <c r="F46" s="8"/>
      <c r="G46" s="24">
        <v>259</v>
      </c>
      <c r="H46" s="8"/>
      <c r="I46" s="24">
        <v>242</v>
      </c>
      <c r="J46" s="8"/>
      <c r="K46" s="24">
        <v>281</v>
      </c>
      <c r="L46" s="8"/>
      <c r="M46" s="24">
        <v>273</v>
      </c>
      <c r="N46" s="8"/>
      <c r="O46" s="24">
        <v>295</v>
      </c>
      <c r="P46" s="8"/>
      <c r="Q46" s="24">
        <v>251</v>
      </c>
      <c r="R46" s="8"/>
      <c r="S46" s="24">
        <v>250</v>
      </c>
      <c r="T46" s="8"/>
      <c r="U46" s="24">
        <v>237</v>
      </c>
      <c r="V46" s="8"/>
      <c r="W46" s="24">
        <v>220</v>
      </c>
      <c r="X46" s="8"/>
      <c r="Y46" s="24">
        <v>212</v>
      </c>
      <c r="Z46" s="8"/>
      <c r="AA46" s="24">
        <v>237</v>
      </c>
      <c r="AB46" s="8"/>
      <c r="AC46" s="8"/>
      <c r="AE46" s="8"/>
      <c r="AG46" s="8"/>
    </row>
    <row r="47" ht="12" customHeight="1">
      <c r="A47" s="8" t="s">
        <v>155</v>
      </c>
      <c r="B47" s="8" t="s">
        <v>563</v>
      </c>
      <c r="C47" s="24">
        <v>873</v>
      </c>
      <c r="D47" s="8"/>
      <c r="E47" s="24">
        <v>875</v>
      </c>
      <c r="F47" s="8"/>
      <c r="G47" s="24">
        <v>883</v>
      </c>
      <c r="H47" s="8"/>
      <c r="I47" s="24">
        <v>898</v>
      </c>
      <c r="J47" s="8"/>
      <c r="K47" s="24">
        <v>909</v>
      </c>
      <c r="L47" s="8"/>
      <c r="M47" s="24">
        <v>916</v>
      </c>
      <c r="N47" s="8"/>
      <c r="O47" s="24">
        <v>919</v>
      </c>
      <c r="P47" s="8"/>
      <c r="Q47" s="24">
        <v>932</v>
      </c>
      <c r="R47" s="8"/>
      <c r="S47" s="24">
        <v>953</v>
      </c>
      <c r="T47" s="8"/>
      <c r="U47" s="24">
        <v>968</v>
      </c>
      <c r="V47" s="8"/>
      <c r="W47" s="24">
        <v>982</v>
      </c>
      <c r="X47" s="8"/>
      <c r="Y47" s="24">
        <v>992</v>
      </c>
      <c r="Z47" s="8"/>
      <c r="AA47" s="24">
        <v>1020</v>
      </c>
      <c r="AB47" s="8"/>
      <c r="AC47" s="8"/>
      <c r="AE47" s="8"/>
      <c r="AG47" s="8"/>
    </row>
    <row r="48" ht="12" customHeight="1">
      <c r="A48" s="11" t="s">
        <v>157</v>
      </c>
      <c r="B48" s="8" t="s">
        <v>564</v>
      </c>
      <c r="C48" s="24">
        <v>1123</v>
      </c>
      <c r="D48" s="8"/>
      <c r="E48" s="24">
        <v>1132</v>
      </c>
      <c r="F48" s="8"/>
      <c r="G48" s="24">
        <v>1139</v>
      </c>
      <c r="H48" s="8"/>
      <c r="I48" s="24">
        <v>1149</v>
      </c>
      <c r="J48" s="8"/>
      <c r="K48" s="24">
        <v>1166</v>
      </c>
      <c r="L48" s="8"/>
      <c r="M48" s="24">
        <v>1190</v>
      </c>
      <c r="N48" s="8"/>
      <c r="O48" s="24">
        <v>1166</v>
      </c>
      <c r="P48" s="8"/>
      <c r="Q48" s="24">
        <v>1173</v>
      </c>
      <c r="R48" s="8"/>
      <c r="S48" s="24">
        <v>1201</v>
      </c>
      <c r="T48" s="8"/>
      <c r="U48" s="24">
        <v>1194</v>
      </c>
      <c r="V48" s="8"/>
      <c r="W48" s="24">
        <v>1201</v>
      </c>
      <c r="X48" s="8"/>
      <c r="Y48" s="24">
        <v>1211</v>
      </c>
      <c r="Z48" s="8"/>
      <c r="AA48" s="24">
        <v>1230</v>
      </c>
      <c r="AB48" s="8"/>
      <c r="AC48" s="8"/>
      <c r="AE48" s="8"/>
      <c r="AG48" s="8"/>
    </row>
    <row r="49" ht="12" customHeight="1">
      <c r="A49" s="8" t="s">
        <v>159</v>
      </c>
      <c r="B49" s="8" t="s">
        <v>565</v>
      </c>
      <c r="C49" s="24">
        <v>448</v>
      </c>
      <c r="D49" s="8"/>
      <c r="E49" s="24">
        <v>428</v>
      </c>
      <c r="F49" s="8"/>
      <c r="G49" s="24">
        <v>373</v>
      </c>
      <c r="H49" s="8"/>
      <c r="I49" s="24">
        <v>386</v>
      </c>
      <c r="J49" s="8"/>
      <c r="K49" s="24">
        <v>411</v>
      </c>
      <c r="L49" s="8"/>
      <c r="M49" s="24">
        <v>377</v>
      </c>
      <c r="N49" s="8"/>
      <c r="O49" s="24">
        <v>352</v>
      </c>
      <c r="P49" s="8"/>
      <c r="Q49" s="24">
        <v>365</v>
      </c>
      <c r="R49" s="8"/>
      <c r="S49" s="24">
        <v>386</v>
      </c>
      <c r="T49" s="8"/>
      <c r="U49" s="24">
        <v>357</v>
      </c>
      <c r="V49" s="8"/>
      <c r="W49" s="24">
        <v>306</v>
      </c>
      <c r="X49" s="8"/>
      <c r="Y49" s="24">
        <v>314</v>
      </c>
      <c r="Z49" s="8"/>
      <c r="AA49" s="24">
        <v>342</v>
      </c>
      <c r="AB49" s="8"/>
      <c r="AC49" s="8"/>
      <c r="AE49" s="8"/>
      <c r="AG49" s="8"/>
    </row>
    <row r="50" ht="12" customHeight="1">
      <c r="A50" s="8" t="s">
        <v>161</v>
      </c>
      <c r="B50" s="8" t="s">
        <v>566</v>
      </c>
      <c r="C50" s="24">
        <v>1250</v>
      </c>
      <c r="D50" s="8"/>
      <c r="E50" s="24">
        <v>1259</v>
      </c>
      <c r="F50" s="8"/>
      <c r="G50" s="24">
        <v>1258</v>
      </c>
      <c r="H50" s="8"/>
      <c r="I50" s="24">
        <v>1251</v>
      </c>
      <c r="J50" s="8"/>
      <c r="K50" s="24">
        <v>1233</v>
      </c>
      <c r="L50" s="8"/>
      <c r="M50" s="24">
        <v>1255</v>
      </c>
      <c r="N50" s="8"/>
      <c r="O50" s="24">
        <v>1274</v>
      </c>
      <c r="P50" s="8"/>
      <c r="Q50" s="24">
        <v>1246</v>
      </c>
      <c r="R50" s="8"/>
      <c r="S50" s="24">
        <v>1237</v>
      </c>
      <c r="T50" s="8"/>
      <c r="U50" s="24">
        <v>1246</v>
      </c>
      <c r="V50" s="8"/>
      <c r="W50" s="24">
        <v>1268</v>
      </c>
      <c r="X50" s="8"/>
      <c r="Y50" s="24">
        <v>1264</v>
      </c>
      <c r="Z50" s="8"/>
      <c r="AA50" s="24">
        <v>1274</v>
      </c>
      <c r="AB50" s="8"/>
      <c r="AC50" s="8"/>
      <c r="AE50" s="8"/>
      <c r="AG50" s="8"/>
    </row>
    <row r="51" ht="12" customHeight="1">
      <c r="A51" s="8" t="s">
        <v>163</v>
      </c>
      <c r="B51" s="8" t="s">
        <v>567</v>
      </c>
      <c r="C51" s="24">
        <v>1252</v>
      </c>
      <c r="D51" s="8"/>
      <c r="E51" s="24">
        <v>1265</v>
      </c>
      <c r="F51" s="8"/>
      <c r="G51" s="24">
        <v>1292</v>
      </c>
      <c r="H51" s="8"/>
      <c r="I51" s="24">
        <v>1290</v>
      </c>
      <c r="J51" s="8"/>
      <c r="K51" s="24">
        <v>1295</v>
      </c>
      <c r="L51" s="8"/>
      <c r="M51" s="24">
        <v>1307</v>
      </c>
      <c r="N51" s="8"/>
      <c r="O51" s="24">
        <v>1265</v>
      </c>
      <c r="P51" s="8"/>
      <c r="Q51" s="24">
        <v>1302</v>
      </c>
      <c r="R51" s="8"/>
      <c r="S51" s="24">
        <v>1335</v>
      </c>
      <c r="T51" s="8"/>
      <c r="U51" s="24">
        <v>1321</v>
      </c>
      <c r="V51" s="8"/>
      <c r="W51" s="24">
        <v>1294</v>
      </c>
      <c r="X51" s="8"/>
      <c r="Y51" s="24">
        <v>1310</v>
      </c>
      <c r="Z51" s="8"/>
      <c r="AA51" s="24">
        <v>1319</v>
      </c>
      <c r="AB51" s="8"/>
      <c r="AC51" s="8"/>
      <c r="AE51" s="8"/>
      <c r="AG51" s="8"/>
    </row>
    <row r="52" ht="12" customHeight="1">
      <c r="A52" s="8" t="s">
        <v>165</v>
      </c>
      <c r="B52" s="8" t="s">
        <v>568</v>
      </c>
      <c r="C52" s="24">
        <v>1110</v>
      </c>
      <c r="D52" s="8"/>
      <c r="E52" s="24">
        <v>1125</v>
      </c>
      <c r="F52" s="8"/>
      <c r="G52" s="24">
        <v>1138</v>
      </c>
      <c r="H52" s="8"/>
      <c r="I52" s="24">
        <v>1151</v>
      </c>
      <c r="J52" s="8"/>
      <c r="K52" s="24">
        <v>1177</v>
      </c>
      <c r="L52" s="8"/>
      <c r="M52" s="24">
        <v>1204</v>
      </c>
      <c r="N52" s="8"/>
      <c r="O52" s="24">
        <v>1226</v>
      </c>
      <c r="P52" s="8"/>
      <c r="Q52" s="24">
        <v>1226</v>
      </c>
      <c r="R52" s="8"/>
      <c r="S52" s="24">
        <v>1238</v>
      </c>
      <c r="T52" s="8"/>
      <c r="U52" s="24">
        <v>1243</v>
      </c>
      <c r="V52" s="8"/>
      <c r="W52" s="24">
        <v>1318</v>
      </c>
      <c r="X52" s="8"/>
      <c r="Y52" s="24">
        <v>1323</v>
      </c>
      <c r="Z52" s="8"/>
      <c r="AA52" s="24">
        <v>1325</v>
      </c>
      <c r="AB52" s="8"/>
      <c r="AC52" s="8"/>
      <c r="AE52" s="8"/>
      <c r="AG52" s="8"/>
    </row>
    <row r="53" ht="12" customHeight="1">
      <c r="A53" s="8" t="s">
        <v>167</v>
      </c>
      <c r="B53" s="8" t="s">
        <v>569</v>
      </c>
      <c r="C53" s="24">
        <v>1347</v>
      </c>
      <c r="D53" s="8"/>
      <c r="E53" s="24">
        <v>1364</v>
      </c>
      <c r="F53" s="8"/>
      <c r="G53" s="24">
        <v>1402</v>
      </c>
      <c r="H53" s="8"/>
      <c r="I53" s="24">
        <v>1429</v>
      </c>
      <c r="J53" s="8"/>
      <c r="K53" s="24">
        <v>1439</v>
      </c>
      <c r="L53" s="8"/>
      <c r="M53" s="24">
        <v>1422</v>
      </c>
      <c r="N53" s="8"/>
      <c r="O53" s="24">
        <v>1447</v>
      </c>
      <c r="P53" s="8"/>
      <c r="Q53" s="24">
        <v>1445</v>
      </c>
      <c r="R53" s="8"/>
      <c r="S53" s="24">
        <v>1466</v>
      </c>
      <c r="T53" s="8"/>
      <c r="U53" s="24">
        <v>1457</v>
      </c>
      <c r="V53" s="8"/>
      <c r="W53" s="24">
        <v>1465</v>
      </c>
      <c r="X53" s="8"/>
      <c r="Y53" s="24">
        <v>1498</v>
      </c>
      <c r="Z53" s="8"/>
      <c r="AA53" s="24">
        <v>1516</v>
      </c>
      <c r="AB53" s="8"/>
      <c r="AC53" s="8"/>
      <c r="AE53" s="8"/>
      <c r="AG53" s="8"/>
    </row>
    <row r="54" ht="12" customHeight="1">
      <c r="A54" s="8" t="s">
        <v>169</v>
      </c>
      <c r="B54" s="8" t="s">
        <v>570</v>
      </c>
      <c r="C54" s="24">
        <v>1627</v>
      </c>
      <c r="D54" s="8"/>
      <c r="E54" s="24">
        <v>1656</v>
      </c>
      <c r="F54" s="8"/>
      <c r="G54" s="24">
        <v>1668</v>
      </c>
      <c r="H54" s="8"/>
      <c r="I54" s="24">
        <v>1689</v>
      </c>
      <c r="J54" s="8"/>
      <c r="K54" s="24">
        <v>1712</v>
      </c>
      <c r="L54" s="8"/>
      <c r="M54" s="24">
        <v>1826</v>
      </c>
      <c r="N54" s="8"/>
      <c r="O54" s="24">
        <v>1733</v>
      </c>
      <c r="P54" s="8"/>
      <c r="Q54" s="24">
        <v>1707</v>
      </c>
      <c r="R54" s="8"/>
      <c r="S54" s="24">
        <v>1766</v>
      </c>
      <c r="T54" s="8"/>
      <c r="U54" s="24">
        <v>1804</v>
      </c>
      <c r="V54" s="8"/>
      <c r="W54" s="24">
        <v>1824</v>
      </c>
      <c r="X54" s="8"/>
      <c r="Y54" s="24">
        <v>1831</v>
      </c>
      <c r="Z54" s="8"/>
      <c r="AA54" s="24">
        <v>1892</v>
      </c>
      <c r="AB54" s="8"/>
      <c r="AC54" s="8"/>
      <c r="AE54" s="8"/>
      <c r="AG54" s="8"/>
    </row>
    <row r="55" ht="12" customHeight="1">
      <c r="A55" s="11" t="s">
        <v>171</v>
      </c>
      <c r="B55" s="8" t="s">
        <v>571</v>
      </c>
      <c r="C55" s="24">
        <v>1122</v>
      </c>
      <c r="D55" s="8"/>
      <c r="E55" s="24">
        <v>1143</v>
      </c>
      <c r="F55" s="8"/>
      <c r="G55" s="24">
        <v>1143</v>
      </c>
      <c r="H55" s="8"/>
      <c r="I55" s="24">
        <v>1163</v>
      </c>
      <c r="J55" s="8"/>
      <c r="K55" s="24">
        <v>1163</v>
      </c>
      <c r="L55" s="8"/>
      <c r="M55" s="24">
        <v>1194</v>
      </c>
      <c r="N55" s="8"/>
      <c r="O55" s="24">
        <v>1194</v>
      </c>
      <c r="P55" s="8"/>
      <c r="Q55" s="24">
        <v>1068</v>
      </c>
      <c r="R55" s="8"/>
      <c r="S55" s="24">
        <v>1068</v>
      </c>
      <c r="T55" s="8"/>
      <c r="U55" s="24">
        <v>1151</v>
      </c>
      <c r="V55" s="8"/>
      <c r="W55" s="24">
        <v>1151</v>
      </c>
      <c r="X55" s="8"/>
      <c r="Y55" s="24">
        <v>1159</v>
      </c>
      <c r="Z55" s="8"/>
      <c r="AA55" s="24">
        <v>1159</v>
      </c>
      <c r="AB55" s="8"/>
      <c r="AC55" s="8"/>
      <c r="AE55" s="8"/>
      <c r="AG55" s="8"/>
    </row>
    <row r="56" ht="12" customHeight="1">
      <c r="A56" s="8" t="s">
        <v>173</v>
      </c>
      <c r="B56" s="8" t="s">
        <v>572</v>
      </c>
      <c r="C56" s="24">
        <v>1198</v>
      </c>
      <c r="D56" s="8"/>
      <c r="E56" s="24">
        <v>1198</v>
      </c>
      <c r="F56" s="8"/>
      <c r="G56" s="24">
        <v>1198</v>
      </c>
      <c r="H56" s="8"/>
      <c r="I56" s="24">
        <v>1241</v>
      </c>
      <c r="J56" s="8"/>
      <c r="K56" s="24">
        <v>1241</v>
      </c>
      <c r="L56" s="8"/>
      <c r="M56" s="24">
        <v>1241</v>
      </c>
      <c r="N56" s="8"/>
      <c r="O56" s="24">
        <v>1241</v>
      </c>
      <c r="P56" s="8"/>
      <c r="Q56" s="24">
        <v>960</v>
      </c>
      <c r="R56" s="8"/>
      <c r="S56" s="24">
        <v>960</v>
      </c>
      <c r="T56" s="8"/>
      <c r="U56" s="24">
        <v>960</v>
      </c>
      <c r="V56" s="8"/>
      <c r="W56" s="24">
        <v>960</v>
      </c>
      <c r="X56" s="8"/>
      <c r="Y56" s="24">
        <v>984</v>
      </c>
      <c r="Z56" s="8"/>
      <c r="AA56" s="24">
        <v>984</v>
      </c>
      <c r="AB56" s="8"/>
      <c r="AC56" s="8"/>
      <c r="AE56" s="8"/>
      <c r="AG56" s="8"/>
    </row>
    <row r="57" ht="12" customHeight="1">
      <c r="A57" s="8" t="s">
        <v>175</v>
      </c>
      <c r="B57" s="8" t="s">
        <v>573</v>
      </c>
      <c r="C57" s="24">
        <v>1222</v>
      </c>
      <c r="D57" s="8"/>
      <c r="E57" s="24">
        <v>1245</v>
      </c>
      <c r="F57" s="8"/>
      <c r="G57" s="24">
        <v>1245</v>
      </c>
      <c r="H57" s="8"/>
      <c r="I57" s="24">
        <v>1245</v>
      </c>
      <c r="J57" s="8"/>
      <c r="K57" s="24">
        <v>1245</v>
      </c>
      <c r="L57" s="8"/>
      <c r="M57" s="24">
        <v>1297</v>
      </c>
      <c r="N57" s="8"/>
      <c r="O57" s="24">
        <v>1297</v>
      </c>
      <c r="P57" s="8"/>
      <c r="Q57" s="24">
        <v>1297</v>
      </c>
      <c r="R57" s="8"/>
      <c r="S57" s="24">
        <v>1297</v>
      </c>
      <c r="T57" s="8"/>
      <c r="U57" s="24">
        <v>1349</v>
      </c>
      <c r="V57" s="8"/>
      <c r="W57" s="24">
        <v>1349</v>
      </c>
      <c r="X57" s="8"/>
      <c r="Y57" s="24">
        <v>1349</v>
      </c>
      <c r="Z57" s="8"/>
      <c r="AA57" s="24">
        <v>1349</v>
      </c>
      <c r="AB57" s="8"/>
      <c r="AC57" s="8"/>
      <c r="AE57" s="8"/>
      <c r="AG57" s="8"/>
    </row>
    <row r="58" ht="12" customHeight="1">
      <c r="A58" s="8" t="s">
        <v>177</v>
      </c>
      <c r="B58" s="8" t="s">
        <v>574</v>
      </c>
      <c r="C58" s="24">
        <v>965</v>
      </c>
      <c r="D58" s="8"/>
      <c r="E58" s="24">
        <v>1012</v>
      </c>
      <c r="F58" s="8"/>
      <c r="G58" s="24">
        <v>1012</v>
      </c>
      <c r="H58" s="8"/>
      <c r="I58" s="24">
        <v>1012</v>
      </c>
      <c r="J58" s="8"/>
      <c r="K58" s="24">
        <v>1012</v>
      </c>
      <c r="L58" s="8"/>
      <c r="M58" s="24">
        <v>1074</v>
      </c>
      <c r="N58" s="8"/>
      <c r="O58" s="24">
        <v>1074</v>
      </c>
      <c r="P58" s="8"/>
      <c r="Q58" s="24">
        <v>1074</v>
      </c>
      <c r="R58" s="8"/>
      <c r="S58" s="24">
        <v>1074</v>
      </c>
      <c r="T58" s="8"/>
      <c r="U58" s="24">
        <v>1317</v>
      </c>
      <c r="V58" s="8"/>
      <c r="W58" s="24">
        <v>1317</v>
      </c>
      <c r="X58" s="8"/>
      <c r="Y58" s="24">
        <v>1317</v>
      </c>
      <c r="Z58" s="8"/>
      <c r="AA58" s="24">
        <v>1317</v>
      </c>
      <c r="AB58" s="8"/>
      <c r="AC58" s="8"/>
      <c r="AE58" s="8"/>
      <c r="AG58" s="8"/>
    </row>
    <row r="59" ht="12" customHeight="1">
      <c r="A59" s="8" t="s">
        <v>179</v>
      </c>
      <c r="B59" s="8" t="s">
        <v>575</v>
      </c>
      <c r="C59" s="24">
        <v>1091</v>
      </c>
      <c r="D59" s="8"/>
      <c r="E59" s="24">
        <v>1152</v>
      </c>
      <c r="F59" s="8"/>
      <c r="G59" s="24">
        <v>1152</v>
      </c>
      <c r="H59" s="8"/>
      <c r="I59" s="24">
        <v>1152</v>
      </c>
      <c r="J59" s="8"/>
      <c r="K59" s="24">
        <v>1152</v>
      </c>
      <c r="L59" s="8"/>
      <c r="M59" s="24">
        <v>1203</v>
      </c>
      <c r="N59" s="8"/>
      <c r="O59" s="24">
        <v>1203</v>
      </c>
      <c r="P59" s="8"/>
      <c r="Q59" s="24">
        <v>1203</v>
      </c>
      <c r="R59" s="8"/>
      <c r="S59" s="24">
        <v>1203</v>
      </c>
      <c r="T59" s="8"/>
      <c r="U59" s="24">
        <v>1264</v>
      </c>
      <c r="V59" s="8"/>
      <c r="W59" s="24">
        <v>1264</v>
      </c>
      <c r="X59" s="8"/>
      <c r="Y59" s="24">
        <v>1264</v>
      </c>
      <c r="Z59" s="8"/>
      <c r="AA59" s="24">
        <v>1264</v>
      </c>
      <c r="AB59" s="8"/>
      <c r="AC59" s="8"/>
      <c r="AE59" s="8"/>
      <c r="AG59" s="8"/>
    </row>
    <row r="60" ht="12" customHeight="1">
      <c r="A60" s="11" t="s">
        <v>181</v>
      </c>
      <c r="B60" s="8" t="s">
        <v>576</v>
      </c>
      <c r="C60" s="24">
        <v>1277</v>
      </c>
      <c r="D60" s="8"/>
      <c r="E60" s="24">
        <v>1300</v>
      </c>
      <c r="F60" s="8"/>
      <c r="G60" s="24">
        <v>1334</v>
      </c>
      <c r="H60" s="8"/>
      <c r="I60" s="24">
        <v>1363</v>
      </c>
      <c r="J60" s="8"/>
      <c r="K60" s="24">
        <v>1393</v>
      </c>
      <c r="L60" s="8"/>
      <c r="M60" s="24">
        <v>1431</v>
      </c>
      <c r="N60" s="8"/>
      <c r="O60" s="24">
        <v>1466</v>
      </c>
      <c r="P60" s="8"/>
      <c r="Q60" s="24">
        <v>1487</v>
      </c>
      <c r="R60" s="8"/>
      <c r="S60" s="24">
        <v>1507</v>
      </c>
      <c r="T60" s="8"/>
      <c r="U60" s="24">
        <v>1522</v>
      </c>
      <c r="V60" s="8"/>
      <c r="W60" s="24">
        <v>1539</v>
      </c>
      <c r="X60" s="8"/>
      <c r="Y60" s="24">
        <v>1546</v>
      </c>
      <c r="Z60" s="8"/>
      <c r="AA60" s="24">
        <v>1551</v>
      </c>
      <c r="AB60" s="8"/>
      <c r="AC60" s="8"/>
      <c r="AE60" s="8"/>
      <c r="AG60" s="8"/>
    </row>
    <row r="61" ht="12" customHeight="1">
      <c r="A61" s="8" t="s">
        <v>183</v>
      </c>
      <c r="B61" s="8" t="s">
        <v>577</v>
      </c>
      <c r="C61" s="24">
        <v>1123</v>
      </c>
      <c r="D61" s="8"/>
      <c r="E61" s="24">
        <v>1142</v>
      </c>
      <c r="F61" s="8"/>
      <c r="G61" s="24">
        <v>1169</v>
      </c>
      <c r="H61" s="8"/>
      <c r="I61" s="24">
        <v>1163</v>
      </c>
      <c r="J61" s="8"/>
      <c r="K61" s="24">
        <v>1153</v>
      </c>
      <c r="L61" s="8"/>
      <c r="M61" s="24">
        <v>1155</v>
      </c>
      <c r="N61" s="8"/>
      <c r="O61" s="24">
        <v>1157</v>
      </c>
      <c r="P61" s="8"/>
      <c r="Q61" s="24">
        <v>1153</v>
      </c>
      <c r="R61" s="8"/>
      <c r="S61" s="24">
        <v>1152</v>
      </c>
      <c r="T61" s="8"/>
      <c r="U61" s="24">
        <v>1155</v>
      </c>
      <c r="V61" s="8"/>
      <c r="W61" s="24">
        <v>1166</v>
      </c>
      <c r="X61" s="8"/>
      <c r="Y61" s="24">
        <v>1169</v>
      </c>
      <c r="Z61" s="8"/>
      <c r="AA61" s="24">
        <v>1168</v>
      </c>
      <c r="AB61" s="8"/>
      <c r="AC61" s="8"/>
      <c r="AE61" s="8"/>
      <c r="AG61" s="8"/>
    </row>
    <row r="62" ht="12" customHeight="1">
      <c r="A62" s="8" t="s">
        <v>185</v>
      </c>
      <c r="B62" s="8" t="s">
        <v>578</v>
      </c>
      <c r="C62" s="24">
        <v>1262</v>
      </c>
      <c r="D62" s="8"/>
      <c r="E62" s="24">
        <v>1266</v>
      </c>
      <c r="F62" s="8"/>
      <c r="G62" s="24">
        <v>1214</v>
      </c>
      <c r="H62" s="8"/>
      <c r="I62" s="24">
        <v>1207</v>
      </c>
      <c r="J62" s="8"/>
      <c r="K62" s="24">
        <v>1245</v>
      </c>
      <c r="L62" s="8"/>
      <c r="M62" s="24">
        <v>1262</v>
      </c>
      <c r="N62" s="8"/>
      <c r="O62" s="24">
        <v>1280</v>
      </c>
      <c r="P62" s="8"/>
      <c r="Q62" s="24">
        <v>1281</v>
      </c>
      <c r="R62" s="8"/>
      <c r="S62" s="24">
        <v>1289</v>
      </c>
      <c r="T62" s="8"/>
      <c r="U62" s="24">
        <v>1292</v>
      </c>
      <c r="V62" s="8"/>
      <c r="W62" s="24">
        <v>1328</v>
      </c>
      <c r="X62" s="8"/>
      <c r="Y62" s="24">
        <v>1343</v>
      </c>
      <c r="Z62" s="8"/>
      <c r="AA62" s="24">
        <v>1388</v>
      </c>
      <c r="AB62" s="8"/>
      <c r="AC62" s="8"/>
      <c r="AE62" s="8"/>
      <c r="AG62" s="8"/>
    </row>
    <row r="63" ht="12" customHeight="1">
      <c r="A63" s="8" t="s">
        <v>187</v>
      </c>
      <c r="B63" s="8" t="s">
        <v>579</v>
      </c>
      <c r="C63" s="24">
        <v>1352</v>
      </c>
      <c r="D63" s="8"/>
      <c r="E63" s="24">
        <v>1384</v>
      </c>
      <c r="F63" s="8"/>
      <c r="G63" s="24">
        <v>1437</v>
      </c>
      <c r="H63" s="8"/>
      <c r="I63" s="24">
        <v>1498</v>
      </c>
      <c r="J63" s="8"/>
      <c r="K63" s="24">
        <v>1560</v>
      </c>
      <c r="L63" s="8"/>
      <c r="M63" s="24">
        <v>1631</v>
      </c>
      <c r="N63" s="8"/>
      <c r="O63" s="24">
        <v>1695</v>
      </c>
      <c r="P63" s="8"/>
      <c r="Q63" s="24">
        <v>1741</v>
      </c>
      <c r="R63" s="8"/>
      <c r="S63" s="24">
        <v>1780</v>
      </c>
      <c r="T63" s="8"/>
      <c r="U63" s="24">
        <v>1804</v>
      </c>
      <c r="V63" s="8"/>
      <c r="W63" s="24">
        <v>1824</v>
      </c>
      <c r="X63" s="8"/>
      <c r="Y63" s="24">
        <v>1835</v>
      </c>
      <c r="Z63" s="8"/>
      <c r="AA63" s="24">
        <v>1841</v>
      </c>
      <c r="AB63" s="8"/>
      <c r="AC63" s="8"/>
      <c r="AE63" s="8"/>
      <c r="AG63" s="8"/>
    </row>
    <row r="64" ht="12" customHeight="1">
      <c r="A64" s="8" t="s">
        <v>189</v>
      </c>
      <c r="B64" s="8" t="s">
        <v>580</v>
      </c>
      <c r="C64" s="24">
        <v>744</v>
      </c>
      <c r="D64" s="8"/>
      <c r="E64" s="24">
        <v>736</v>
      </c>
      <c r="F64" s="8"/>
      <c r="G64" s="24">
        <v>736</v>
      </c>
      <c r="H64" s="8"/>
      <c r="I64" s="24">
        <v>736</v>
      </c>
      <c r="J64" s="8"/>
      <c r="K64" s="24">
        <v>736</v>
      </c>
      <c r="L64" s="8"/>
      <c r="M64" s="24">
        <v>736</v>
      </c>
      <c r="N64" s="8"/>
      <c r="O64" s="24">
        <v>736</v>
      </c>
      <c r="P64" s="8"/>
      <c r="Q64" s="24">
        <v>716</v>
      </c>
      <c r="R64" s="8"/>
      <c r="S64" s="24">
        <v>708</v>
      </c>
      <c r="T64" s="8"/>
      <c r="U64" s="24">
        <v>708</v>
      </c>
      <c r="V64" s="8"/>
      <c r="W64" s="24">
        <v>703</v>
      </c>
      <c r="X64" s="8"/>
      <c r="Y64" s="24">
        <v>703</v>
      </c>
      <c r="Z64" s="8"/>
      <c r="AA64" s="24">
        <v>703</v>
      </c>
      <c r="AB64" s="8"/>
      <c r="AC64" s="8"/>
      <c r="AE64" s="8"/>
      <c r="AG64" s="8"/>
    </row>
    <row r="65" ht="12" customHeight="1">
      <c r="A65" s="8" t="s">
        <v>191</v>
      </c>
      <c r="B65" s="8" t="s">
        <v>581</v>
      </c>
      <c r="C65" s="24">
        <v>1274</v>
      </c>
      <c r="D65" s="8"/>
      <c r="E65" s="24">
        <v>1281</v>
      </c>
      <c r="F65" s="8"/>
      <c r="G65" s="24">
        <v>1283</v>
      </c>
      <c r="H65" s="8"/>
      <c r="I65" s="24">
        <v>1295</v>
      </c>
      <c r="J65" s="8"/>
      <c r="K65" s="24">
        <v>1304</v>
      </c>
      <c r="L65" s="8"/>
      <c r="M65" s="24">
        <v>1314</v>
      </c>
      <c r="N65" s="8"/>
      <c r="O65" s="24">
        <v>1337</v>
      </c>
      <c r="P65" s="8"/>
      <c r="Q65" s="24">
        <v>1338</v>
      </c>
      <c r="R65" s="8"/>
      <c r="S65" s="24">
        <v>1343</v>
      </c>
      <c r="T65" s="8"/>
      <c r="U65" s="24">
        <v>1352</v>
      </c>
      <c r="V65" s="8"/>
      <c r="W65" s="24">
        <v>1368</v>
      </c>
      <c r="X65" s="8"/>
      <c r="Y65" s="24">
        <v>1356</v>
      </c>
      <c r="Z65" s="8"/>
      <c r="AA65" s="24">
        <v>1357</v>
      </c>
      <c r="AB65" s="8"/>
      <c r="AC65" s="8"/>
      <c r="AE65" s="8"/>
      <c r="AG65" s="8"/>
    </row>
    <row r="66" ht="12" customHeight="1">
      <c r="A66" s="11" t="s">
        <v>193</v>
      </c>
      <c r="B66" s="8" t="s">
        <v>582</v>
      </c>
      <c r="C66" s="24">
        <v>1464</v>
      </c>
      <c r="D66" s="8"/>
      <c r="E66" s="24">
        <v>1566</v>
      </c>
      <c r="F66" s="8"/>
      <c r="G66" s="24">
        <v>1622</v>
      </c>
      <c r="H66" s="8"/>
      <c r="I66" s="24">
        <v>1757</v>
      </c>
      <c r="J66" s="8"/>
      <c r="K66" s="24">
        <v>1927</v>
      </c>
      <c r="L66" s="8"/>
      <c r="M66" s="24">
        <v>2013</v>
      </c>
      <c r="N66" s="8"/>
      <c r="O66" s="24">
        <v>2056</v>
      </c>
      <c r="P66" s="8"/>
      <c r="Q66" s="24">
        <v>2078</v>
      </c>
      <c r="R66" s="8"/>
      <c r="S66" s="24">
        <v>2066</v>
      </c>
      <c r="T66" s="8"/>
      <c r="U66" s="24">
        <v>2025</v>
      </c>
      <c r="V66" s="8"/>
      <c r="W66" s="24">
        <v>1900</v>
      </c>
      <c r="X66" s="8"/>
      <c r="Y66" s="24">
        <v>1782</v>
      </c>
      <c r="Z66" s="8"/>
      <c r="AA66" s="24">
        <v>1711</v>
      </c>
      <c r="AB66" s="8"/>
      <c r="AC66" s="8"/>
      <c r="AE66" s="8"/>
      <c r="AG66" s="8"/>
    </row>
    <row r="67" ht="12" customHeight="1">
      <c r="A67" s="8" t="s">
        <v>195</v>
      </c>
      <c r="B67" s="8" t="s">
        <v>583</v>
      </c>
      <c r="C67" s="24">
        <v>1464</v>
      </c>
      <c r="D67" s="8"/>
      <c r="E67" s="24">
        <v>1566</v>
      </c>
      <c r="F67" s="8"/>
      <c r="G67" s="24">
        <v>1622</v>
      </c>
      <c r="H67" s="8"/>
      <c r="I67" s="24">
        <v>1757</v>
      </c>
      <c r="J67" s="8"/>
      <c r="K67" s="24">
        <v>1927</v>
      </c>
      <c r="L67" s="8"/>
      <c r="M67" s="24">
        <v>2013</v>
      </c>
      <c r="N67" s="8"/>
      <c r="O67" s="24">
        <v>2056</v>
      </c>
      <c r="P67" s="8"/>
      <c r="Q67" s="24">
        <v>2078</v>
      </c>
      <c r="R67" s="8"/>
      <c r="S67" s="24">
        <v>2066</v>
      </c>
      <c r="T67" s="8"/>
      <c r="U67" s="24">
        <v>2025</v>
      </c>
      <c r="V67" s="8"/>
      <c r="W67" s="24">
        <v>1900</v>
      </c>
      <c r="X67" s="8"/>
      <c r="Y67" s="24">
        <v>1782</v>
      </c>
      <c r="Z67" s="8"/>
      <c r="AA67" s="24">
        <v>1711</v>
      </c>
      <c r="AB67" s="8"/>
      <c r="AC67" s="8"/>
      <c r="AE67" s="8"/>
      <c r="AG67" s="8"/>
    </row>
    <row r="68" ht="12" customHeight="1">
      <c r="A68" s="13" t="s">
        <v>69</v>
      </c>
      <c r="B68" s="10" t="s">
        <v>52</v>
      </c>
      <c r="C68" s="25">
        <v>1226</v>
      </c>
      <c r="D68" s="10"/>
      <c r="E68" s="25">
        <v>1248</v>
      </c>
      <c r="F68" s="10"/>
      <c r="G68" s="25">
        <v>1264</v>
      </c>
      <c r="H68" s="10"/>
      <c r="I68" s="25">
        <v>1296</v>
      </c>
      <c r="J68" s="10"/>
      <c r="K68" s="25">
        <v>1313</v>
      </c>
      <c r="L68" s="10"/>
      <c r="M68" s="25">
        <v>1328</v>
      </c>
      <c r="N68" s="10"/>
      <c r="O68" s="25">
        <v>1336</v>
      </c>
      <c r="P68" s="10"/>
      <c r="Q68" s="25">
        <v>1348</v>
      </c>
      <c r="R68" s="10"/>
      <c r="S68" s="25">
        <v>1354</v>
      </c>
      <c r="T68" s="10"/>
      <c r="U68" s="25">
        <v>1366</v>
      </c>
      <c r="V68" s="10"/>
      <c r="W68" s="25">
        <v>1369</v>
      </c>
      <c r="X68" s="10"/>
      <c r="Y68" s="25">
        <v>1378</v>
      </c>
      <c r="Z68" s="10"/>
      <c r="AA68" s="25">
        <v>1382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584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523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524</v>
      </c>
      <c r="C8" s="22">
        <v>2.1000000000000001</v>
      </c>
      <c r="D8" s="22"/>
      <c r="E8" s="22">
        <v>3.8999999999999999</v>
      </c>
      <c r="F8" s="22"/>
      <c r="G8" s="22">
        <v>1.8999999999999999</v>
      </c>
      <c r="H8" s="22"/>
      <c r="I8" s="22">
        <v>0.59999999999999998</v>
      </c>
      <c r="J8" s="22"/>
      <c r="K8" s="22">
        <v>-1.1000000000000001</v>
      </c>
      <c r="L8" s="22"/>
      <c r="M8" s="22">
        <v>0.59999999999999998</v>
      </c>
      <c r="N8" s="22"/>
      <c r="O8" s="22">
        <v>-0.10000000000000001</v>
      </c>
      <c r="P8" s="22"/>
      <c r="Q8" s="22">
        <v>1.3</v>
      </c>
      <c r="R8" s="22"/>
      <c r="S8" s="22">
        <v>-0.5</v>
      </c>
      <c r="T8" s="22"/>
      <c r="U8" s="22">
        <v>1.8</v>
      </c>
      <c r="V8" s="22"/>
      <c r="W8" s="22">
        <v>1.6000000000000001</v>
      </c>
      <c r="X8" s="22"/>
      <c r="Y8" s="22">
        <v>1.8</v>
      </c>
      <c r="Z8" s="22"/>
      <c r="AA8" s="22">
        <v>-0.80000000000000004</v>
      </c>
      <c r="AB8" s="22"/>
      <c r="AC8" s="22"/>
    </row>
    <row r="9" ht="12" customHeight="1">
      <c r="A9" s="8" t="s">
        <v>79</v>
      </c>
      <c r="B9" s="8" t="s">
        <v>525</v>
      </c>
      <c r="C9" s="26">
        <v>-4.4000000000000004</v>
      </c>
      <c r="D9" s="8"/>
      <c r="E9" s="26">
        <v>10</v>
      </c>
      <c r="F9" s="8"/>
      <c r="G9" s="26">
        <v>-1.8999999999999999</v>
      </c>
      <c r="H9" s="8"/>
      <c r="I9" s="26">
        <v>0.20000000000000001</v>
      </c>
      <c r="J9" s="8"/>
      <c r="K9" s="26">
        <v>-5.7999999999999998</v>
      </c>
      <c r="L9" s="8"/>
      <c r="M9" s="26">
        <v>-0.80000000000000004</v>
      </c>
      <c r="N9" s="8"/>
      <c r="O9" s="26">
        <v>-7.5</v>
      </c>
      <c r="P9" s="8"/>
      <c r="Q9" s="26">
        <v>5.2000000000000002</v>
      </c>
      <c r="R9" s="8"/>
      <c r="S9" s="26">
        <v>-4.4000000000000004</v>
      </c>
      <c r="T9" s="8"/>
      <c r="U9" s="26">
        <v>1.6000000000000001</v>
      </c>
      <c r="V9" s="8"/>
      <c r="W9" s="26">
        <v>2.7999999999999998</v>
      </c>
      <c r="X9" s="8"/>
      <c r="Y9" s="26">
        <v>8.1999999999999993</v>
      </c>
      <c r="Z9" s="8"/>
      <c r="AA9" s="26">
        <v>-8</v>
      </c>
      <c r="AB9" s="8"/>
      <c r="AC9" s="8"/>
    </row>
    <row r="10" ht="12" customHeight="1">
      <c r="A10" s="8" t="s">
        <v>81</v>
      </c>
      <c r="B10" s="8" t="s">
        <v>526</v>
      </c>
      <c r="C10" s="26">
        <v>4.0999999999999996</v>
      </c>
      <c r="D10" s="8"/>
      <c r="E10" s="26">
        <v>1.8</v>
      </c>
      <c r="F10" s="8"/>
      <c r="G10" s="26">
        <v>1.5</v>
      </c>
      <c r="H10" s="8"/>
      <c r="I10" s="26">
        <v>0.29999999999999999</v>
      </c>
      <c r="J10" s="8"/>
      <c r="K10" s="26">
        <v>-1</v>
      </c>
      <c r="L10" s="8"/>
      <c r="M10" s="26">
        <v>-0.20000000000000001</v>
      </c>
      <c r="N10" s="8"/>
      <c r="O10" s="26">
        <v>0.20000000000000001</v>
      </c>
      <c r="P10" s="8"/>
      <c r="Q10" s="26">
        <v>0.90000000000000002</v>
      </c>
      <c r="R10" s="8"/>
      <c r="S10" s="26">
        <v>0.69999999999999996</v>
      </c>
      <c r="T10" s="8"/>
      <c r="U10" s="26">
        <v>1.5</v>
      </c>
      <c r="V10" s="8"/>
      <c r="W10" s="26">
        <v>1.3999999999999999</v>
      </c>
      <c r="X10" s="8"/>
      <c r="Y10" s="26">
        <v>3.5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527</v>
      </c>
      <c r="C11" s="26">
        <v>3.3999999999999999</v>
      </c>
      <c r="D11" s="8"/>
      <c r="E11" s="26">
        <v>4.2000000000000002</v>
      </c>
      <c r="F11" s="8"/>
      <c r="G11" s="26">
        <v>2.7000000000000002</v>
      </c>
      <c r="H11" s="8"/>
      <c r="I11" s="26">
        <v>0.29999999999999999</v>
      </c>
      <c r="J11" s="8"/>
      <c r="K11" s="26">
        <v>-0.90000000000000002</v>
      </c>
      <c r="L11" s="8"/>
      <c r="M11" s="26">
        <v>1.1000000000000001</v>
      </c>
      <c r="N11" s="8"/>
      <c r="O11" s="26">
        <v>1</v>
      </c>
      <c r="P11" s="8"/>
      <c r="Q11" s="26">
        <v>0.80000000000000004</v>
      </c>
      <c r="R11" s="8"/>
      <c r="S11" s="26">
        <v>-0.29999999999999999</v>
      </c>
      <c r="T11" s="8"/>
      <c r="U11" s="26">
        <v>2.8999999999999999</v>
      </c>
      <c r="V11" s="8"/>
      <c r="W11" s="26">
        <v>1.6000000000000001</v>
      </c>
      <c r="X11" s="8"/>
      <c r="Y11" s="26">
        <v>0.40000000000000002</v>
      </c>
      <c r="Z11" s="8"/>
      <c r="AA11" s="26">
        <v>-0.40000000000000002</v>
      </c>
      <c r="AB11" s="8"/>
      <c r="AC11" s="8"/>
    </row>
    <row r="12" ht="12" customHeight="1">
      <c r="A12" s="8" t="s">
        <v>85</v>
      </c>
      <c r="B12" s="8" t="s">
        <v>528</v>
      </c>
      <c r="C12" s="26">
        <v>2.8999999999999999</v>
      </c>
      <c r="D12" s="8"/>
      <c r="E12" s="26">
        <v>2.2000000000000002</v>
      </c>
      <c r="F12" s="8"/>
      <c r="G12" s="26">
        <v>3</v>
      </c>
      <c r="H12" s="8"/>
      <c r="I12" s="26">
        <v>0.69999999999999996</v>
      </c>
      <c r="J12" s="8"/>
      <c r="K12" s="26">
        <v>0.10000000000000001</v>
      </c>
      <c r="L12" s="8"/>
      <c r="M12" s="26">
        <v>1.1000000000000001</v>
      </c>
      <c r="N12" s="8"/>
      <c r="O12" s="26">
        <v>2.3999999999999999</v>
      </c>
      <c r="P12" s="8"/>
      <c r="Q12" s="26">
        <v>0.69999999999999996</v>
      </c>
      <c r="R12" s="8"/>
      <c r="S12" s="26">
        <v>0</v>
      </c>
      <c r="T12" s="8"/>
      <c r="U12" s="26">
        <v>2.3999999999999999</v>
      </c>
      <c r="V12" s="8"/>
      <c r="W12" s="26">
        <v>2.6000000000000001</v>
      </c>
      <c r="X12" s="8"/>
      <c r="Y12" s="26">
        <v>-0.69999999999999996</v>
      </c>
      <c r="Z12" s="8"/>
      <c r="AA12" s="26">
        <v>0.5</v>
      </c>
      <c r="AB12" s="8"/>
      <c r="AC12" s="8"/>
    </row>
    <row r="13" ht="12" customHeight="1">
      <c r="A13" s="8" t="s">
        <v>87</v>
      </c>
      <c r="B13" s="8" t="s">
        <v>529</v>
      </c>
      <c r="C13" s="26">
        <v>2.2000000000000002</v>
      </c>
      <c r="D13" s="8"/>
      <c r="E13" s="26">
        <v>1.8999999999999999</v>
      </c>
      <c r="F13" s="8"/>
      <c r="G13" s="26">
        <v>3</v>
      </c>
      <c r="H13" s="8"/>
      <c r="I13" s="26">
        <v>1.6000000000000001</v>
      </c>
      <c r="J13" s="8"/>
      <c r="K13" s="26">
        <v>0.90000000000000002</v>
      </c>
      <c r="L13" s="8"/>
      <c r="M13" s="26">
        <v>0.90000000000000002</v>
      </c>
      <c r="N13" s="8"/>
      <c r="O13" s="26">
        <v>1.3999999999999999</v>
      </c>
      <c r="P13" s="8"/>
      <c r="Q13" s="26">
        <v>0.40000000000000002</v>
      </c>
      <c r="R13" s="8"/>
      <c r="S13" s="26">
        <v>0.5</v>
      </c>
      <c r="T13" s="8"/>
      <c r="U13" s="26">
        <v>0.29999999999999999</v>
      </c>
      <c r="V13" s="8"/>
      <c r="W13" s="26">
        <v>0.90000000000000002</v>
      </c>
      <c r="X13" s="8"/>
      <c r="Y13" s="26">
        <v>0.80000000000000004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530</v>
      </c>
      <c r="C14" s="26">
        <v>0.59999999999999998</v>
      </c>
      <c r="D14" s="8"/>
      <c r="E14" s="26">
        <v>4.5999999999999996</v>
      </c>
      <c r="F14" s="8"/>
      <c r="G14" s="26">
        <v>0.90000000000000002</v>
      </c>
      <c r="H14" s="8"/>
      <c r="I14" s="26">
        <v>1.2</v>
      </c>
      <c r="J14" s="8"/>
      <c r="K14" s="26">
        <v>1.6000000000000001</v>
      </c>
      <c r="L14" s="8"/>
      <c r="M14" s="26">
        <v>3.8999999999999999</v>
      </c>
      <c r="N14" s="8"/>
      <c r="O14" s="26">
        <v>0.69999999999999996</v>
      </c>
      <c r="P14" s="8"/>
      <c r="Q14" s="26">
        <v>0.40000000000000002</v>
      </c>
      <c r="R14" s="8"/>
      <c r="S14" s="26">
        <v>0.10000000000000001</v>
      </c>
      <c r="T14" s="8"/>
      <c r="U14" s="26">
        <v>2</v>
      </c>
      <c r="V14" s="8"/>
      <c r="W14" s="26">
        <v>-0.20000000000000001</v>
      </c>
      <c r="X14" s="8"/>
      <c r="Y14" s="26">
        <v>0.40000000000000002</v>
      </c>
      <c r="Z14" s="8"/>
      <c r="AA14" s="26">
        <v>0.10000000000000001</v>
      </c>
      <c r="AB14" s="8"/>
      <c r="AC14" s="8"/>
    </row>
    <row r="15" ht="12" customHeight="1">
      <c r="A15" s="8" t="s">
        <v>91</v>
      </c>
      <c r="B15" s="8" t="s">
        <v>531</v>
      </c>
      <c r="C15" s="26">
        <v>0.5</v>
      </c>
      <c r="D15" s="8"/>
      <c r="E15" s="26">
        <v>1.7</v>
      </c>
      <c r="F15" s="8"/>
      <c r="G15" s="26">
        <v>1.8</v>
      </c>
      <c r="H15" s="8"/>
      <c r="I15" s="26">
        <v>1.8</v>
      </c>
      <c r="J15" s="8"/>
      <c r="K15" s="26">
        <v>0</v>
      </c>
      <c r="L15" s="8"/>
      <c r="M15" s="26">
        <v>1</v>
      </c>
      <c r="N15" s="8"/>
      <c r="O15" s="26">
        <v>1.6000000000000001</v>
      </c>
      <c r="P15" s="8"/>
      <c r="Q15" s="26">
        <v>0.59999999999999998</v>
      </c>
      <c r="R15" s="8"/>
      <c r="S15" s="26">
        <v>-0.59999999999999998</v>
      </c>
      <c r="T15" s="8"/>
      <c r="U15" s="26">
        <v>0.80000000000000004</v>
      </c>
      <c r="V15" s="8"/>
      <c r="W15" s="26">
        <v>-0.5</v>
      </c>
      <c r="X15" s="8"/>
      <c r="Y15" s="26">
        <v>0.69999999999999996</v>
      </c>
      <c r="Z15" s="8"/>
      <c r="AA15" s="26">
        <v>-0.80000000000000004</v>
      </c>
      <c r="AB15" s="8"/>
      <c r="AC15" s="8"/>
    </row>
    <row r="16" ht="12" customHeight="1">
      <c r="A16" s="8" t="s">
        <v>93</v>
      </c>
      <c r="B16" s="8" t="s">
        <v>532</v>
      </c>
      <c r="C16" s="26">
        <v>0.69999999999999996</v>
      </c>
      <c r="D16" s="8"/>
      <c r="E16" s="26">
        <v>7.5999999999999996</v>
      </c>
      <c r="F16" s="8"/>
      <c r="G16" s="26">
        <v>0.10000000000000001</v>
      </c>
      <c r="H16" s="8"/>
      <c r="I16" s="26">
        <v>0.59999999999999998</v>
      </c>
      <c r="J16" s="8"/>
      <c r="K16" s="26">
        <v>3.1000000000000001</v>
      </c>
      <c r="L16" s="8"/>
      <c r="M16" s="26">
        <v>6.5999999999999996</v>
      </c>
      <c r="N16" s="8"/>
      <c r="O16" s="26">
        <v>0</v>
      </c>
      <c r="P16" s="8"/>
      <c r="Q16" s="26">
        <v>0.29999999999999999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533</v>
      </c>
      <c r="C17" s="26">
        <v>0.90000000000000002</v>
      </c>
      <c r="D17" s="8"/>
      <c r="E17" s="26">
        <v>0</v>
      </c>
      <c r="F17" s="8"/>
      <c r="G17" s="26">
        <v>2.7000000000000002</v>
      </c>
      <c r="H17" s="8"/>
      <c r="I17" s="26">
        <v>0</v>
      </c>
      <c r="J17" s="8"/>
      <c r="K17" s="26">
        <v>0.90000000000000002</v>
      </c>
      <c r="L17" s="8"/>
      <c r="M17" s="26">
        <v>0</v>
      </c>
      <c r="N17" s="8"/>
      <c r="O17" s="26">
        <v>0.5</v>
      </c>
      <c r="P17" s="8"/>
      <c r="Q17" s="26">
        <v>-0.10000000000000001</v>
      </c>
      <c r="R17" s="8"/>
      <c r="S17" s="26">
        <v>-1.1000000000000001</v>
      </c>
      <c r="T17" s="8"/>
      <c r="U17" s="26">
        <v>0.5</v>
      </c>
      <c r="V17" s="8"/>
      <c r="W17" s="26">
        <v>0</v>
      </c>
      <c r="X17" s="8"/>
      <c r="Y17" s="26">
        <v>0.5</v>
      </c>
      <c r="Z17" s="8"/>
      <c r="AA17" s="26">
        <v>0.80000000000000004</v>
      </c>
      <c r="AB17" s="8"/>
      <c r="AC17" s="8"/>
    </row>
    <row r="18" ht="12" customHeight="1">
      <c r="A18" s="8" t="s">
        <v>97</v>
      </c>
      <c r="B18" s="8" t="s">
        <v>534</v>
      </c>
      <c r="C18" s="26">
        <v>1.1000000000000001</v>
      </c>
      <c r="D18" s="8"/>
      <c r="E18" s="26">
        <v>-0.20000000000000001</v>
      </c>
      <c r="F18" s="8"/>
      <c r="G18" s="26">
        <v>3.1000000000000001</v>
      </c>
      <c r="H18" s="8"/>
      <c r="I18" s="26">
        <v>0.10000000000000001</v>
      </c>
      <c r="J18" s="8"/>
      <c r="K18" s="26">
        <v>1.1000000000000001</v>
      </c>
      <c r="L18" s="8"/>
      <c r="M18" s="26">
        <v>0.20000000000000001</v>
      </c>
      <c r="N18" s="8"/>
      <c r="O18" s="26">
        <v>0.10000000000000001</v>
      </c>
      <c r="P18" s="8"/>
      <c r="Q18" s="26">
        <v>-0.20000000000000001</v>
      </c>
      <c r="R18" s="8"/>
      <c r="S18" s="26">
        <v>-1.3</v>
      </c>
      <c r="T18" s="8"/>
      <c r="U18" s="26">
        <v>0</v>
      </c>
      <c r="V18" s="8"/>
      <c r="W18" s="26">
        <v>0.80000000000000004</v>
      </c>
      <c r="X18" s="8"/>
      <c r="Y18" s="26">
        <v>0.10000000000000001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535</v>
      </c>
      <c r="C19" s="26">
        <v>0.10000000000000001</v>
      </c>
      <c r="D19" s="8"/>
      <c r="E19" s="26">
        <v>0.80000000000000004</v>
      </c>
      <c r="F19" s="8"/>
      <c r="G19" s="26">
        <v>1.3</v>
      </c>
      <c r="H19" s="8"/>
      <c r="I19" s="26">
        <v>-0.59999999999999998</v>
      </c>
      <c r="J19" s="8"/>
      <c r="K19" s="26">
        <v>0.20000000000000001</v>
      </c>
      <c r="L19" s="8"/>
      <c r="M19" s="26">
        <v>-0.59999999999999998</v>
      </c>
      <c r="N19" s="8"/>
      <c r="O19" s="26">
        <v>1.8999999999999999</v>
      </c>
      <c r="P19" s="8"/>
      <c r="Q19" s="26">
        <v>0.10000000000000001</v>
      </c>
      <c r="R19" s="8"/>
      <c r="S19" s="26">
        <v>-0.20000000000000001</v>
      </c>
      <c r="T19" s="8"/>
      <c r="U19" s="26">
        <v>2</v>
      </c>
      <c r="V19" s="8"/>
      <c r="W19" s="26">
        <v>-2.3999999999999999</v>
      </c>
      <c r="X19" s="8"/>
      <c r="Y19" s="26">
        <v>1.8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536</v>
      </c>
      <c r="C20" s="26">
        <v>0.90000000000000002</v>
      </c>
      <c r="D20" s="8"/>
      <c r="E20" s="26">
        <v>1.2</v>
      </c>
      <c r="F20" s="8"/>
      <c r="G20" s="26">
        <v>1.3999999999999999</v>
      </c>
      <c r="H20" s="8"/>
      <c r="I20" s="26">
        <v>2.1000000000000001</v>
      </c>
      <c r="J20" s="8"/>
      <c r="K20" s="26">
        <v>1.1000000000000001</v>
      </c>
      <c r="L20" s="8"/>
      <c r="M20" s="26">
        <v>0.90000000000000002</v>
      </c>
      <c r="N20" s="8"/>
      <c r="O20" s="26">
        <v>1.3</v>
      </c>
      <c r="P20" s="8"/>
      <c r="Q20" s="26">
        <v>2.8999999999999999</v>
      </c>
      <c r="R20" s="8"/>
      <c r="S20" s="26">
        <v>0.59999999999999998</v>
      </c>
      <c r="T20" s="8"/>
      <c r="U20" s="26">
        <v>0.80000000000000004</v>
      </c>
      <c r="V20" s="8"/>
      <c r="W20" s="26">
        <v>1.3</v>
      </c>
      <c r="X20" s="8"/>
      <c r="Y20" s="26">
        <v>2.2000000000000002</v>
      </c>
      <c r="Z20" s="8"/>
      <c r="AA20" s="26">
        <v>0.40000000000000002</v>
      </c>
      <c r="AB20" s="8"/>
      <c r="AC20" s="8"/>
    </row>
    <row r="21" ht="12" customHeight="1">
      <c r="A21" s="8" t="s">
        <v>103</v>
      </c>
      <c r="B21" s="8" t="s">
        <v>537</v>
      </c>
      <c r="C21" s="26">
        <v>1.2</v>
      </c>
      <c r="D21" s="8"/>
      <c r="E21" s="26">
        <v>1.2</v>
      </c>
      <c r="F21" s="8"/>
      <c r="G21" s="26">
        <v>1.3</v>
      </c>
      <c r="H21" s="8"/>
      <c r="I21" s="26">
        <v>1.3999999999999999</v>
      </c>
      <c r="J21" s="8"/>
      <c r="K21" s="26">
        <v>1.2</v>
      </c>
      <c r="L21" s="8"/>
      <c r="M21" s="26">
        <v>1.3</v>
      </c>
      <c r="N21" s="8"/>
      <c r="O21" s="26">
        <v>1.2</v>
      </c>
      <c r="P21" s="8"/>
      <c r="Q21" s="26">
        <v>1</v>
      </c>
      <c r="R21" s="8"/>
      <c r="S21" s="26">
        <v>0.90000000000000002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538</v>
      </c>
      <c r="C22" s="26">
        <v>1.2</v>
      </c>
      <c r="D22" s="8"/>
      <c r="E22" s="26">
        <v>1.2</v>
      </c>
      <c r="F22" s="8"/>
      <c r="G22" s="26">
        <v>1.3</v>
      </c>
      <c r="H22" s="8"/>
      <c r="I22" s="26">
        <v>1.3999999999999999</v>
      </c>
      <c r="J22" s="8"/>
      <c r="K22" s="26">
        <v>1.2</v>
      </c>
      <c r="L22" s="8"/>
      <c r="M22" s="26">
        <v>1.3</v>
      </c>
      <c r="N22" s="8"/>
      <c r="O22" s="26">
        <v>1.2</v>
      </c>
      <c r="P22" s="8"/>
      <c r="Q22" s="26">
        <v>1</v>
      </c>
      <c r="R22" s="8"/>
      <c r="S22" s="26">
        <v>0.90000000000000002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539</v>
      </c>
      <c r="C23" s="26">
        <v>1.2</v>
      </c>
      <c r="D23" s="8"/>
      <c r="E23" s="26">
        <v>-0.29999999999999999</v>
      </c>
      <c r="F23" s="8"/>
      <c r="G23" s="26">
        <v>2.1000000000000001</v>
      </c>
      <c r="H23" s="8"/>
      <c r="I23" s="26">
        <v>0.80000000000000004</v>
      </c>
      <c r="J23" s="8"/>
      <c r="K23" s="26">
        <v>0.40000000000000002</v>
      </c>
      <c r="L23" s="8"/>
      <c r="M23" s="26">
        <v>0.10000000000000001</v>
      </c>
      <c r="N23" s="8"/>
      <c r="O23" s="26">
        <v>1.5</v>
      </c>
      <c r="P23" s="8"/>
      <c r="Q23" s="26">
        <v>1.5</v>
      </c>
      <c r="R23" s="8"/>
      <c r="S23" s="26">
        <v>-0.40000000000000002</v>
      </c>
      <c r="T23" s="8"/>
      <c r="U23" s="26">
        <v>0.40000000000000002</v>
      </c>
      <c r="V23" s="8"/>
      <c r="W23" s="26">
        <v>0.29999999999999999</v>
      </c>
      <c r="X23" s="8"/>
      <c r="Y23" s="26">
        <v>0.69999999999999996</v>
      </c>
      <c r="Z23" s="8"/>
      <c r="AA23" s="26">
        <v>0.69999999999999996</v>
      </c>
      <c r="AB23" s="8"/>
      <c r="AC23" s="8"/>
    </row>
    <row r="24" ht="12" customHeight="1">
      <c r="A24" s="8" t="s">
        <v>109</v>
      </c>
      <c r="B24" s="8" t="s">
        <v>540</v>
      </c>
      <c r="C24" s="26">
        <v>0</v>
      </c>
      <c r="D24" s="8"/>
      <c r="E24" s="26">
        <v>0.10000000000000001</v>
      </c>
      <c r="F24" s="8"/>
      <c r="G24" s="26">
        <v>0.10000000000000001</v>
      </c>
      <c r="H24" s="8"/>
      <c r="I24" s="26">
        <v>9.5</v>
      </c>
      <c r="J24" s="8"/>
      <c r="K24" s="26">
        <v>0</v>
      </c>
      <c r="L24" s="8"/>
      <c r="M24" s="26">
        <v>0.10000000000000001</v>
      </c>
      <c r="N24" s="8"/>
      <c r="O24" s="26">
        <v>0.10000000000000001</v>
      </c>
      <c r="P24" s="8"/>
      <c r="Q24" s="26">
        <v>11.800000000000001</v>
      </c>
      <c r="R24" s="8"/>
      <c r="S24" s="26">
        <v>0.10000000000000001</v>
      </c>
      <c r="T24" s="8"/>
      <c r="U24" s="26">
        <v>0</v>
      </c>
      <c r="V24" s="8"/>
      <c r="W24" s="26">
        <v>0</v>
      </c>
      <c r="X24" s="8"/>
      <c r="Y24" s="26">
        <v>8.1999999999999993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541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9.8000000000000007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12.1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542</v>
      </c>
      <c r="C26" s="26">
        <v>1.1000000000000001</v>
      </c>
      <c r="D26" s="8"/>
      <c r="E26" s="26">
        <v>2.2000000000000002</v>
      </c>
      <c r="F26" s="8"/>
      <c r="G26" s="26">
        <v>2.7000000000000002</v>
      </c>
      <c r="H26" s="8"/>
      <c r="I26" s="26">
        <v>-1.3</v>
      </c>
      <c r="J26" s="8"/>
      <c r="K26" s="26">
        <v>1.8999999999999999</v>
      </c>
      <c r="L26" s="8"/>
      <c r="M26" s="26">
        <v>0.40000000000000002</v>
      </c>
      <c r="N26" s="8"/>
      <c r="O26" s="26">
        <v>2.7999999999999998</v>
      </c>
      <c r="P26" s="8"/>
      <c r="Q26" s="26">
        <v>0.69999999999999996</v>
      </c>
      <c r="R26" s="8"/>
      <c r="S26" s="26">
        <v>0.80000000000000004</v>
      </c>
      <c r="T26" s="8"/>
      <c r="U26" s="26">
        <v>2.3999999999999999</v>
      </c>
      <c r="V26" s="8"/>
      <c r="W26" s="26">
        <v>4.7000000000000002</v>
      </c>
      <c r="X26" s="8"/>
      <c r="Y26" s="26">
        <v>2.8999999999999999</v>
      </c>
      <c r="Z26" s="8"/>
      <c r="AA26" s="26">
        <v>1.6000000000000001</v>
      </c>
      <c r="AB26" s="8"/>
      <c r="AC26" s="8"/>
    </row>
    <row r="27" ht="12" customHeight="1">
      <c r="A27" s="8" t="s">
        <v>115</v>
      </c>
      <c r="B27" s="8" t="s">
        <v>543</v>
      </c>
      <c r="C27" s="26">
        <v>0.90000000000000002</v>
      </c>
      <c r="D27" s="8"/>
      <c r="E27" s="26">
        <v>2.2999999999999998</v>
      </c>
      <c r="F27" s="8"/>
      <c r="G27" s="26">
        <v>2.6000000000000001</v>
      </c>
      <c r="H27" s="8"/>
      <c r="I27" s="26">
        <v>-1.7</v>
      </c>
      <c r="J27" s="8"/>
      <c r="K27" s="26">
        <v>1.8</v>
      </c>
      <c r="L27" s="8"/>
      <c r="M27" s="26">
        <v>0.40000000000000002</v>
      </c>
      <c r="N27" s="8"/>
      <c r="O27" s="26">
        <v>3</v>
      </c>
      <c r="P27" s="8"/>
      <c r="Q27" s="26">
        <v>0.59999999999999998</v>
      </c>
      <c r="R27" s="8"/>
      <c r="S27" s="26">
        <v>0.59999999999999998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544</v>
      </c>
      <c r="C28" s="26">
        <v>3.7000000000000002</v>
      </c>
      <c r="D28" s="8"/>
      <c r="E28" s="26">
        <v>-0.90000000000000002</v>
      </c>
      <c r="F28" s="8"/>
      <c r="G28" s="26">
        <v>3.1000000000000001</v>
      </c>
      <c r="H28" s="8"/>
      <c r="I28" s="26">
        <v>-1.3999999999999999</v>
      </c>
      <c r="J28" s="8"/>
      <c r="K28" s="26">
        <v>0.5</v>
      </c>
      <c r="L28" s="8"/>
      <c r="M28" s="26">
        <v>-1.8</v>
      </c>
      <c r="N28" s="8"/>
      <c r="O28" s="26">
        <v>0.29999999999999999</v>
      </c>
      <c r="P28" s="8"/>
      <c r="Q28" s="26">
        <v>0.5</v>
      </c>
      <c r="R28" s="8"/>
      <c r="S28" s="26">
        <v>-0.20000000000000001</v>
      </c>
      <c r="T28" s="8"/>
      <c r="U28" s="26">
        <v>-0.5</v>
      </c>
      <c r="V28" s="8"/>
      <c r="W28" s="26">
        <v>0.40000000000000002</v>
      </c>
      <c r="X28" s="8"/>
      <c r="Y28" s="26">
        <v>-1.2</v>
      </c>
      <c r="Z28" s="8"/>
      <c r="AA28" s="26">
        <v>0.80000000000000004</v>
      </c>
      <c r="AB28" s="8"/>
      <c r="AC28" s="8"/>
    </row>
    <row r="29" ht="12" customHeight="1">
      <c r="A29" s="8" t="s">
        <v>119</v>
      </c>
      <c r="B29" s="8" t="s">
        <v>545</v>
      </c>
      <c r="C29" s="26">
        <v>6.7999999999999998</v>
      </c>
      <c r="D29" s="8"/>
      <c r="E29" s="26">
        <v>-4.2999999999999998</v>
      </c>
      <c r="F29" s="8"/>
      <c r="G29" s="26">
        <v>3.3999999999999999</v>
      </c>
      <c r="H29" s="8"/>
      <c r="I29" s="26">
        <v>-2.6000000000000001</v>
      </c>
      <c r="J29" s="8"/>
      <c r="K29" s="26">
        <v>0.40000000000000002</v>
      </c>
      <c r="L29" s="8"/>
      <c r="M29" s="26">
        <v>-6.2999999999999998</v>
      </c>
      <c r="N29" s="8"/>
      <c r="O29" s="26">
        <v>1.3</v>
      </c>
      <c r="P29" s="8"/>
      <c r="Q29" s="26">
        <v>2.5</v>
      </c>
      <c r="R29" s="8"/>
      <c r="S29" s="26">
        <v>0.40000000000000002</v>
      </c>
      <c r="T29" s="8"/>
      <c r="U29" s="26">
        <v>-0.90000000000000002</v>
      </c>
      <c r="V29" s="8"/>
      <c r="W29" s="26">
        <v>-1.3999999999999999</v>
      </c>
      <c r="X29" s="8"/>
      <c r="Y29" s="26">
        <v>-2.5</v>
      </c>
      <c r="Z29" s="8"/>
      <c r="AA29" s="26">
        <v>4.5</v>
      </c>
      <c r="AB29" s="8"/>
      <c r="AC29" s="8"/>
    </row>
    <row r="30" ht="12" customHeight="1">
      <c r="A30" s="8" t="s">
        <v>121</v>
      </c>
      <c r="B30" s="8" t="s">
        <v>546</v>
      </c>
      <c r="C30" s="26">
        <v>2.5</v>
      </c>
      <c r="D30" s="8"/>
      <c r="E30" s="26">
        <v>2</v>
      </c>
      <c r="F30" s="8"/>
      <c r="G30" s="26">
        <v>0.10000000000000001</v>
      </c>
      <c r="H30" s="8"/>
      <c r="I30" s="26">
        <v>-2.8999999999999999</v>
      </c>
      <c r="J30" s="8"/>
      <c r="K30" s="26">
        <v>5.2000000000000002</v>
      </c>
      <c r="L30" s="8"/>
      <c r="M30" s="26">
        <v>-1.6000000000000001</v>
      </c>
      <c r="N30" s="8"/>
      <c r="O30" s="26">
        <v>8.0999999999999996</v>
      </c>
      <c r="P30" s="8"/>
      <c r="Q30" s="26">
        <v>-3.1000000000000001</v>
      </c>
      <c r="R30" s="8"/>
      <c r="S30" s="26">
        <v>-7</v>
      </c>
      <c r="T30" s="8"/>
      <c r="U30" s="26">
        <v>4.2999999999999998</v>
      </c>
      <c r="V30" s="8"/>
      <c r="W30" s="26">
        <v>3.7000000000000002</v>
      </c>
      <c r="X30" s="8"/>
      <c r="Y30" s="26">
        <v>-1</v>
      </c>
      <c r="Z30" s="8"/>
      <c r="AA30" s="26">
        <v>-2.1000000000000001</v>
      </c>
      <c r="AB30" s="8"/>
      <c r="AC30" s="8"/>
    </row>
    <row r="31" ht="12" customHeight="1">
      <c r="A31" s="8" t="s">
        <v>123</v>
      </c>
      <c r="B31" s="8" t="s">
        <v>547</v>
      </c>
      <c r="C31" s="26">
        <v>1.5</v>
      </c>
      <c r="D31" s="8"/>
      <c r="E31" s="26">
        <v>-1.2</v>
      </c>
      <c r="F31" s="8"/>
      <c r="G31" s="26">
        <v>4.2999999999999998</v>
      </c>
      <c r="H31" s="8"/>
      <c r="I31" s="26">
        <v>-1.3999999999999999</v>
      </c>
      <c r="J31" s="8"/>
      <c r="K31" s="26">
        <v>-0.90000000000000002</v>
      </c>
      <c r="L31" s="8"/>
      <c r="M31" s="26">
        <v>-1.5</v>
      </c>
      <c r="N31" s="8"/>
      <c r="O31" s="26">
        <v>-0.5</v>
      </c>
      <c r="P31" s="8"/>
      <c r="Q31" s="26">
        <v>-1.6000000000000001</v>
      </c>
      <c r="R31" s="8"/>
      <c r="S31" s="26">
        <v>1</v>
      </c>
      <c r="T31" s="8"/>
      <c r="U31" s="26">
        <v>-1.6000000000000001</v>
      </c>
      <c r="V31" s="8"/>
      <c r="W31" s="26">
        <v>0.90000000000000002</v>
      </c>
      <c r="X31" s="8"/>
      <c r="Y31" s="26">
        <v>-0.59999999999999998</v>
      </c>
      <c r="Z31" s="8"/>
      <c r="AA31" s="26">
        <v>0</v>
      </c>
      <c r="AB31" s="8"/>
      <c r="AC31" s="8"/>
    </row>
    <row r="32" ht="12" customHeight="1">
      <c r="A32" s="8" t="s">
        <v>125</v>
      </c>
      <c r="B32" s="8" t="s">
        <v>548</v>
      </c>
      <c r="C32" s="26">
        <v>7</v>
      </c>
      <c r="D32" s="8"/>
      <c r="E32" s="26">
        <v>-3.1000000000000001</v>
      </c>
      <c r="F32" s="8"/>
      <c r="G32" s="26">
        <v>3.2000000000000002</v>
      </c>
      <c r="H32" s="8"/>
      <c r="I32" s="26">
        <v>-1.8999999999999999</v>
      </c>
      <c r="J32" s="8"/>
      <c r="K32" s="26">
        <v>6.2000000000000002</v>
      </c>
      <c r="L32" s="8"/>
      <c r="M32" s="26">
        <v>0.29999999999999999</v>
      </c>
      <c r="N32" s="8"/>
      <c r="O32" s="26">
        <v>-1.3</v>
      </c>
      <c r="P32" s="8"/>
      <c r="Q32" s="26">
        <v>-2.7000000000000002</v>
      </c>
      <c r="R32" s="8"/>
      <c r="S32" s="26">
        <v>1.5</v>
      </c>
      <c r="T32" s="8"/>
      <c r="U32" s="26">
        <v>1.8</v>
      </c>
      <c r="V32" s="8"/>
      <c r="W32" s="26">
        <v>-1.3999999999999999</v>
      </c>
      <c r="X32" s="8"/>
      <c r="Y32" s="26">
        <v>-0.90000000000000002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549</v>
      </c>
      <c r="C33" s="26">
        <v>1.8999999999999999</v>
      </c>
      <c r="D33" s="8"/>
      <c r="E33" s="26">
        <v>0.29999999999999999</v>
      </c>
      <c r="F33" s="8"/>
      <c r="G33" s="26">
        <v>3.6000000000000001</v>
      </c>
      <c r="H33" s="8"/>
      <c r="I33" s="26">
        <v>0.20000000000000001</v>
      </c>
      <c r="J33" s="8"/>
      <c r="K33" s="26">
        <v>-0.10000000000000001</v>
      </c>
      <c r="L33" s="8"/>
      <c r="M33" s="26">
        <v>0.59999999999999998</v>
      </c>
      <c r="N33" s="8"/>
      <c r="O33" s="26">
        <v>-3.1000000000000001</v>
      </c>
      <c r="P33" s="8"/>
      <c r="Q33" s="26">
        <v>0</v>
      </c>
      <c r="R33" s="8"/>
      <c r="S33" s="26">
        <v>0.10000000000000001</v>
      </c>
      <c r="T33" s="8"/>
      <c r="U33" s="26">
        <v>-1</v>
      </c>
      <c r="V33" s="8"/>
      <c r="W33" s="26">
        <v>0.10000000000000001</v>
      </c>
      <c r="X33" s="8"/>
      <c r="Y33" s="26">
        <v>-0.20000000000000001</v>
      </c>
      <c r="Z33" s="8"/>
      <c r="AA33" s="26">
        <v>-2</v>
      </c>
      <c r="AB33" s="8"/>
      <c r="AC33" s="8"/>
    </row>
    <row r="34" ht="12" customHeight="1">
      <c r="A34" s="8" t="s">
        <v>129</v>
      </c>
      <c r="B34" s="8" t="s">
        <v>550</v>
      </c>
      <c r="C34" s="26">
        <v>2.7999999999999998</v>
      </c>
      <c r="D34" s="8"/>
      <c r="E34" s="26">
        <v>1.8</v>
      </c>
      <c r="F34" s="8"/>
      <c r="G34" s="26">
        <v>2.2999999999999998</v>
      </c>
      <c r="H34" s="8"/>
      <c r="I34" s="26">
        <v>-0.59999999999999998</v>
      </c>
      <c r="J34" s="8"/>
      <c r="K34" s="26">
        <v>-0.29999999999999999</v>
      </c>
      <c r="L34" s="8"/>
      <c r="M34" s="26">
        <v>0.80000000000000004</v>
      </c>
      <c r="N34" s="8"/>
      <c r="O34" s="26">
        <v>0.59999999999999998</v>
      </c>
      <c r="P34" s="8"/>
      <c r="Q34" s="26">
        <v>1.8</v>
      </c>
      <c r="R34" s="8"/>
      <c r="S34" s="26">
        <v>-0.29999999999999999</v>
      </c>
      <c r="T34" s="8"/>
      <c r="U34" s="26">
        <v>-1.1000000000000001</v>
      </c>
      <c r="V34" s="8"/>
      <c r="W34" s="26">
        <v>1.5</v>
      </c>
      <c r="X34" s="8"/>
      <c r="Y34" s="26">
        <v>-0.29999999999999999</v>
      </c>
      <c r="Z34" s="8"/>
      <c r="AA34" s="26">
        <v>-0.29999999999999999</v>
      </c>
      <c r="AB34" s="8"/>
      <c r="AC34" s="8"/>
    </row>
    <row r="35" ht="12" customHeight="1">
      <c r="A35" s="11" t="s">
        <v>131</v>
      </c>
      <c r="B35" s="8" t="s">
        <v>551</v>
      </c>
      <c r="C35" s="26">
        <v>1.6000000000000001</v>
      </c>
      <c r="D35" s="8"/>
      <c r="E35" s="26">
        <v>0.69999999999999996</v>
      </c>
      <c r="F35" s="8"/>
      <c r="G35" s="26">
        <v>1.6000000000000001</v>
      </c>
      <c r="H35" s="8"/>
      <c r="I35" s="26">
        <v>-1.1000000000000001</v>
      </c>
      <c r="J35" s="8"/>
      <c r="K35" s="26">
        <v>2.3999999999999999</v>
      </c>
      <c r="L35" s="8"/>
      <c r="M35" s="26">
        <v>2</v>
      </c>
      <c r="N35" s="8"/>
      <c r="O35" s="26">
        <v>0.40000000000000002</v>
      </c>
      <c r="P35" s="8"/>
      <c r="Q35" s="26">
        <v>4.5999999999999996</v>
      </c>
      <c r="R35" s="8"/>
      <c r="S35" s="26">
        <v>-0.10000000000000001</v>
      </c>
      <c r="T35" s="8"/>
      <c r="U35" s="26">
        <v>0.29999999999999999</v>
      </c>
      <c r="V35" s="8"/>
      <c r="W35" s="26">
        <v>0.10000000000000001</v>
      </c>
      <c r="X35" s="8"/>
      <c r="Y35" s="26">
        <v>0.20000000000000001</v>
      </c>
      <c r="Z35" s="8"/>
      <c r="AA35" s="26">
        <v>-0.20000000000000001</v>
      </c>
      <c r="AB35" s="8"/>
      <c r="AC35" s="8"/>
    </row>
    <row r="36" ht="12" customHeight="1">
      <c r="A36" s="8" t="s">
        <v>133</v>
      </c>
      <c r="B36" s="8" t="s">
        <v>552</v>
      </c>
      <c r="C36" s="26">
        <v>1.6000000000000001</v>
      </c>
      <c r="D36" s="8"/>
      <c r="E36" s="26">
        <v>0.5</v>
      </c>
      <c r="F36" s="8"/>
      <c r="G36" s="26">
        <v>1.6000000000000001</v>
      </c>
      <c r="H36" s="8"/>
      <c r="I36" s="26">
        <v>-9</v>
      </c>
      <c r="J36" s="8"/>
      <c r="K36" s="26">
        <v>0.20000000000000001</v>
      </c>
      <c r="L36" s="8"/>
      <c r="M36" s="26">
        <v>-0.5</v>
      </c>
      <c r="N36" s="8"/>
      <c r="O36" s="26">
        <v>0.5</v>
      </c>
      <c r="P36" s="8"/>
      <c r="Q36" s="26">
        <v>12.6</v>
      </c>
      <c r="R36" s="8"/>
      <c r="S36" s="26">
        <v>-4</v>
      </c>
      <c r="T36" s="8"/>
      <c r="U36" s="26">
        <v>0.29999999999999999</v>
      </c>
      <c r="V36" s="8"/>
      <c r="W36" s="26">
        <v>-0.40000000000000002</v>
      </c>
      <c r="X36" s="8"/>
      <c r="Y36" s="26">
        <v>-2.7000000000000002</v>
      </c>
      <c r="Z36" s="8"/>
      <c r="AA36" s="26">
        <v>-2.2999999999999998</v>
      </c>
      <c r="AB36" s="8"/>
      <c r="AC36" s="8"/>
    </row>
    <row r="37" ht="12" customHeight="1">
      <c r="A37" s="8" t="s">
        <v>135</v>
      </c>
      <c r="B37" s="8" t="s">
        <v>553</v>
      </c>
      <c r="C37" s="26">
        <v>1.8</v>
      </c>
      <c r="D37" s="8"/>
      <c r="E37" s="26">
        <v>0.5</v>
      </c>
      <c r="F37" s="8"/>
      <c r="G37" s="26">
        <v>1.2</v>
      </c>
      <c r="H37" s="8"/>
      <c r="I37" s="26">
        <v>1</v>
      </c>
      <c r="J37" s="8"/>
      <c r="K37" s="26">
        <v>2.7000000000000002</v>
      </c>
      <c r="L37" s="8"/>
      <c r="M37" s="26">
        <v>2.8999999999999999</v>
      </c>
      <c r="N37" s="8"/>
      <c r="O37" s="26">
        <v>0.20000000000000001</v>
      </c>
      <c r="P37" s="8"/>
      <c r="Q37" s="26">
        <v>0.80000000000000004</v>
      </c>
      <c r="R37" s="8"/>
      <c r="S37" s="26">
        <v>1.2</v>
      </c>
      <c r="T37" s="8"/>
      <c r="U37" s="26">
        <v>0.40000000000000002</v>
      </c>
      <c r="V37" s="8"/>
      <c r="W37" s="26">
        <v>0.40000000000000002</v>
      </c>
      <c r="X37" s="8"/>
      <c r="Y37" s="26">
        <v>1.8</v>
      </c>
      <c r="Z37" s="8"/>
      <c r="AA37" s="26">
        <v>0.90000000000000002</v>
      </c>
      <c r="AB37" s="8"/>
      <c r="AC37" s="8"/>
    </row>
    <row r="38" ht="12" customHeight="1">
      <c r="A38" s="8" t="s">
        <v>137</v>
      </c>
      <c r="B38" s="8" t="s">
        <v>554</v>
      </c>
      <c r="C38" s="26">
        <v>1.3</v>
      </c>
      <c r="D38" s="8"/>
      <c r="E38" s="26">
        <v>1.8</v>
      </c>
      <c r="F38" s="8"/>
      <c r="G38" s="26">
        <v>2.5</v>
      </c>
      <c r="H38" s="8"/>
      <c r="I38" s="26">
        <v>3.7999999999999998</v>
      </c>
      <c r="J38" s="8"/>
      <c r="K38" s="26">
        <v>4.7999999999999998</v>
      </c>
      <c r="L38" s="8"/>
      <c r="M38" s="26">
        <v>2</v>
      </c>
      <c r="N38" s="8"/>
      <c r="O38" s="26">
        <v>0.80000000000000004</v>
      </c>
      <c r="P38" s="8"/>
      <c r="Q38" s="26">
        <v>6.9000000000000004</v>
      </c>
      <c r="R38" s="8"/>
      <c r="S38" s="26">
        <v>1.1000000000000001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555</v>
      </c>
      <c r="C39" s="26">
        <v>-0.59999999999999998</v>
      </c>
      <c r="D39" s="8"/>
      <c r="E39" s="26">
        <v>-1.5</v>
      </c>
      <c r="F39" s="8"/>
      <c r="G39" s="26">
        <v>-1.6000000000000001</v>
      </c>
      <c r="H39" s="8"/>
      <c r="I39" s="26">
        <v>8.3000000000000007</v>
      </c>
      <c r="J39" s="8"/>
      <c r="K39" s="26">
        <v>-0.5</v>
      </c>
      <c r="L39" s="8"/>
      <c r="M39" s="26">
        <v>-1.8999999999999999</v>
      </c>
      <c r="N39" s="8"/>
      <c r="O39" s="26">
        <v>-0.29999999999999999</v>
      </c>
      <c r="P39" s="8"/>
      <c r="Q39" s="26">
        <v>-2.7000000000000002</v>
      </c>
      <c r="R39" s="8"/>
      <c r="S39" s="26">
        <v>1</v>
      </c>
      <c r="T39" s="8"/>
      <c r="U39" s="26">
        <v>1.5</v>
      </c>
      <c r="V39" s="8"/>
      <c r="W39" s="26">
        <v>-1.5</v>
      </c>
      <c r="X39" s="8"/>
      <c r="Y39" s="26">
        <v>0.5</v>
      </c>
      <c r="Z39" s="8"/>
      <c r="AA39" s="26">
        <v>2.1000000000000001</v>
      </c>
      <c r="AB39" s="8"/>
      <c r="AC39" s="8"/>
    </row>
    <row r="40" ht="12" customHeight="1">
      <c r="A40" s="8" t="s">
        <v>141</v>
      </c>
      <c r="B40" s="8" t="s">
        <v>556</v>
      </c>
      <c r="C40" s="26">
        <v>0.10000000000000001</v>
      </c>
      <c r="D40" s="8"/>
      <c r="E40" s="26">
        <v>0.90000000000000002</v>
      </c>
      <c r="F40" s="8"/>
      <c r="G40" s="26">
        <v>1.2</v>
      </c>
      <c r="H40" s="8"/>
      <c r="I40" s="26">
        <v>2.3999999999999999</v>
      </c>
      <c r="J40" s="8"/>
      <c r="K40" s="26">
        <v>-2.2999999999999998</v>
      </c>
      <c r="L40" s="8"/>
      <c r="M40" s="26">
        <v>-0.90000000000000002</v>
      </c>
      <c r="N40" s="8"/>
      <c r="O40" s="26">
        <v>-3.2000000000000002</v>
      </c>
      <c r="P40" s="8"/>
      <c r="Q40" s="26">
        <v>-2.2000000000000002</v>
      </c>
      <c r="R40" s="8"/>
      <c r="S40" s="26">
        <v>2.6000000000000001</v>
      </c>
      <c r="T40" s="8"/>
      <c r="U40" s="26">
        <v>0.10000000000000001</v>
      </c>
      <c r="V40" s="8"/>
      <c r="W40" s="26">
        <v>1.3</v>
      </c>
      <c r="X40" s="8"/>
      <c r="Y40" s="26">
        <v>-0.10000000000000001</v>
      </c>
      <c r="Z40" s="8"/>
      <c r="AA40" s="26">
        <v>0</v>
      </c>
      <c r="AB40" s="8"/>
      <c r="AC40" s="8"/>
    </row>
    <row r="41" ht="12" customHeight="1">
      <c r="A41" s="8" t="s">
        <v>143</v>
      </c>
      <c r="B41" s="8" t="s">
        <v>557</v>
      </c>
      <c r="C41" s="26">
        <v>-4.5</v>
      </c>
      <c r="D41" s="8"/>
      <c r="E41" s="26">
        <v>-2.1000000000000001</v>
      </c>
      <c r="F41" s="8"/>
      <c r="G41" s="26">
        <v>-1.3</v>
      </c>
      <c r="H41" s="8"/>
      <c r="I41" s="26">
        <v>12.1</v>
      </c>
      <c r="J41" s="8"/>
      <c r="K41" s="26">
        <v>0.29999999999999999</v>
      </c>
      <c r="L41" s="8"/>
      <c r="M41" s="26">
        <v>-1.5</v>
      </c>
      <c r="N41" s="8"/>
      <c r="O41" s="26">
        <v>1.6000000000000001</v>
      </c>
      <c r="P41" s="8"/>
      <c r="Q41" s="26">
        <v>-4.2000000000000002</v>
      </c>
      <c r="R41" s="8"/>
      <c r="S41" s="26">
        <v>-0.90000000000000002</v>
      </c>
      <c r="T41" s="8"/>
      <c r="U41" s="26">
        <v>3.2999999999999998</v>
      </c>
      <c r="V41" s="8"/>
      <c r="W41" s="26">
        <v>-2.1000000000000001</v>
      </c>
      <c r="X41" s="8"/>
      <c r="Y41" s="26">
        <v>0.29999999999999999</v>
      </c>
      <c r="Z41" s="8"/>
      <c r="AA41" s="26">
        <v>1.8999999999999999</v>
      </c>
      <c r="AB41" s="8"/>
      <c r="AC41" s="8"/>
    </row>
    <row r="42" ht="12" customHeight="1">
      <c r="A42" s="8" t="s">
        <v>145</v>
      </c>
      <c r="B42" s="8" t="s">
        <v>558</v>
      </c>
      <c r="C42" s="26">
        <v>-7</v>
      </c>
      <c r="D42" s="8"/>
      <c r="E42" s="26">
        <v>-2.6000000000000001</v>
      </c>
      <c r="F42" s="8"/>
      <c r="G42" s="26">
        <v>-1.5</v>
      </c>
      <c r="H42" s="8"/>
      <c r="I42" s="26">
        <v>16.5</v>
      </c>
      <c r="J42" s="8"/>
      <c r="K42" s="26">
        <v>0</v>
      </c>
      <c r="L42" s="8"/>
      <c r="M42" s="26">
        <v>-2.2999999999999998</v>
      </c>
      <c r="N42" s="8"/>
      <c r="O42" s="26">
        <v>0.69999999999999996</v>
      </c>
      <c r="P42" s="8"/>
      <c r="Q42" s="26">
        <v>-6.2999999999999998</v>
      </c>
      <c r="R42" s="8"/>
      <c r="S42" s="26">
        <v>-1.3999999999999999</v>
      </c>
      <c r="T42" s="8"/>
      <c r="U42" s="26">
        <v>4.5999999999999996</v>
      </c>
      <c r="V42" s="8"/>
      <c r="W42" s="26">
        <v>-4.7999999999999998</v>
      </c>
      <c r="X42" s="8"/>
      <c r="Y42" s="26">
        <v>0.20000000000000001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559</v>
      </c>
      <c r="C43" s="26">
        <v>14.9</v>
      </c>
      <c r="D43" s="8"/>
      <c r="E43" s="26">
        <v>-3.2999999999999998</v>
      </c>
      <c r="F43" s="8"/>
      <c r="G43" s="26">
        <v>-6.7999999999999998</v>
      </c>
      <c r="H43" s="8"/>
      <c r="I43" s="26">
        <v>4.0999999999999996</v>
      </c>
      <c r="J43" s="8"/>
      <c r="K43" s="26">
        <v>-0.80000000000000004</v>
      </c>
      <c r="L43" s="8"/>
      <c r="M43" s="26">
        <v>-5.2999999999999998</v>
      </c>
      <c r="N43" s="8"/>
      <c r="O43" s="26">
        <v>-3.2999999999999998</v>
      </c>
      <c r="P43" s="8"/>
      <c r="Q43" s="26">
        <v>2.7999999999999998</v>
      </c>
      <c r="R43" s="8"/>
      <c r="S43" s="26">
        <v>6.5</v>
      </c>
      <c r="T43" s="8"/>
      <c r="U43" s="26">
        <v>-2.8999999999999999</v>
      </c>
      <c r="V43" s="8"/>
      <c r="W43" s="26">
        <v>-2.6000000000000001</v>
      </c>
      <c r="X43" s="8"/>
      <c r="Y43" s="26">
        <v>1.6000000000000001</v>
      </c>
      <c r="Z43" s="8"/>
      <c r="AA43" s="26">
        <v>5.5</v>
      </c>
      <c r="AB43" s="8"/>
      <c r="AC43" s="8"/>
    </row>
    <row r="44" ht="12" customHeight="1">
      <c r="A44" s="11" t="s">
        <v>149</v>
      </c>
      <c r="B44" s="8" t="s">
        <v>560</v>
      </c>
      <c r="C44" s="26">
        <v>0.10000000000000001</v>
      </c>
      <c r="D44" s="8"/>
      <c r="E44" s="26">
        <v>0.40000000000000002</v>
      </c>
      <c r="F44" s="8"/>
      <c r="G44" s="26">
        <v>0</v>
      </c>
      <c r="H44" s="8"/>
      <c r="I44" s="26">
        <v>1.2</v>
      </c>
      <c r="J44" s="8"/>
      <c r="K44" s="26">
        <v>2.2999999999999998</v>
      </c>
      <c r="L44" s="8"/>
      <c r="M44" s="26">
        <v>0.40000000000000002</v>
      </c>
      <c r="N44" s="8"/>
      <c r="O44" s="26">
        <v>1.1000000000000001</v>
      </c>
      <c r="P44" s="8"/>
      <c r="Q44" s="26">
        <v>0</v>
      </c>
      <c r="R44" s="8"/>
      <c r="S44" s="26">
        <v>2</v>
      </c>
      <c r="T44" s="8"/>
      <c r="U44" s="26">
        <v>0.29999999999999999</v>
      </c>
      <c r="V44" s="8"/>
      <c r="W44" s="26">
        <v>0</v>
      </c>
      <c r="X44" s="8"/>
      <c r="Y44" s="26">
        <v>0.59999999999999998</v>
      </c>
      <c r="Z44" s="8"/>
      <c r="AA44" s="26">
        <v>4</v>
      </c>
      <c r="AB44" s="8"/>
      <c r="AC44" s="8"/>
    </row>
    <row r="45" ht="12" customHeight="1">
      <c r="A45" s="8" t="s">
        <v>151</v>
      </c>
      <c r="B45" s="8" t="s">
        <v>561</v>
      </c>
      <c r="C45" s="26">
        <v>0.59999999999999998</v>
      </c>
      <c r="D45" s="8"/>
      <c r="E45" s="26">
        <v>0.40000000000000002</v>
      </c>
      <c r="F45" s="8"/>
      <c r="G45" s="26">
        <v>-0.40000000000000002</v>
      </c>
      <c r="H45" s="8"/>
      <c r="I45" s="26">
        <v>7.7999999999999998</v>
      </c>
      <c r="J45" s="8"/>
      <c r="K45" s="26">
        <v>0.59999999999999998</v>
      </c>
      <c r="L45" s="8"/>
      <c r="M45" s="26">
        <v>-0.80000000000000004</v>
      </c>
      <c r="N45" s="8"/>
      <c r="O45" s="26">
        <v>-0.20000000000000001</v>
      </c>
      <c r="P45" s="8"/>
      <c r="Q45" s="26">
        <v>2.8999999999999999</v>
      </c>
      <c r="R45" s="8"/>
      <c r="S45" s="26">
        <v>0.10000000000000001</v>
      </c>
      <c r="T45" s="8"/>
      <c r="U45" s="26">
        <v>-0.40000000000000002</v>
      </c>
      <c r="V45" s="8"/>
      <c r="W45" s="26">
        <v>1</v>
      </c>
      <c r="X45" s="8"/>
      <c r="Y45" s="26">
        <v>7.5</v>
      </c>
      <c r="Z45" s="8"/>
      <c r="AA45" s="26">
        <v>0.20000000000000001</v>
      </c>
      <c r="AB45" s="8"/>
      <c r="AC45" s="8"/>
    </row>
    <row r="46" ht="12" customHeight="1">
      <c r="A46" s="8" t="s">
        <v>153</v>
      </c>
      <c r="B46" s="8" t="s">
        <v>562</v>
      </c>
      <c r="C46" s="26">
        <v>-0.40000000000000002</v>
      </c>
      <c r="D46" s="8"/>
      <c r="E46" s="26">
        <v>1.3999999999999999</v>
      </c>
      <c r="F46" s="8"/>
      <c r="G46" s="26">
        <v>-9.8000000000000007</v>
      </c>
      <c r="H46" s="8"/>
      <c r="I46" s="26">
        <v>-6.5999999999999996</v>
      </c>
      <c r="J46" s="8"/>
      <c r="K46" s="26">
        <v>16.100000000000001</v>
      </c>
      <c r="L46" s="8"/>
      <c r="M46" s="26">
        <v>-2.7999999999999998</v>
      </c>
      <c r="N46" s="8"/>
      <c r="O46" s="26">
        <v>8.0999999999999996</v>
      </c>
      <c r="P46" s="8"/>
      <c r="Q46" s="26">
        <v>-14.9</v>
      </c>
      <c r="R46" s="8"/>
      <c r="S46" s="26">
        <v>-0.40000000000000002</v>
      </c>
      <c r="T46" s="8"/>
      <c r="U46" s="26">
        <v>-5.2000000000000002</v>
      </c>
      <c r="V46" s="8"/>
      <c r="W46" s="26">
        <v>-7.2000000000000002</v>
      </c>
      <c r="X46" s="8"/>
      <c r="Y46" s="26">
        <v>-3.6000000000000001</v>
      </c>
      <c r="Z46" s="8"/>
      <c r="AA46" s="26">
        <v>11.800000000000001</v>
      </c>
      <c r="AB46" s="8"/>
      <c r="AC46" s="8"/>
    </row>
    <row r="47" ht="12" customHeight="1">
      <c r="A47" s="8" t="s">
        <v>155</v>
      </c>
      <c r="B47" s="8" t="s">
        <v>563</v>
      </c>
      <c r="C47" s="26">
        <v>0.20000000000000001</v>
      </c>
      <c r="D47" s="8"/>
      <c r="E47" s="26">
        <v>0.20000000000000001</v>
      </c>
      <c r="F47" s="8"/>
      <c r="G47" s="26">
        <v>0.90000000000000002</v>
      </c>
      <c r="H47" s="8"/>
      <c r="I47" s="26">
        <v>1.7</v>
      </c>
      <c r="J47" s="8"/>
      <c r="K47" s="26">
        <v>1.2</v>
      </c>
      <c r="L47" s="8"/>
      <c r="M47" s="26">
        <v>0.80000000000000004</v>
      </c>
      <c r="N47" s="8"/>
      <c r="O47" s="26">
        <v>0.29999999999999999</v>
      </c>
      <c r="P47" s="8"/>
      <c r="Q47" s="26">
        <v>1.3999999999999999</v>
      </c>
      <c r="R47" s="8"/>
      <c r="S47" s="26">
        <v>2.2999999999999998</v>
      </c>
      <c r="T47" s="8"/>
      <c r="U47" s="26">
        <v>1.6000000000000001</v>
      </c>
      <c r="V47" s="8"/>
      <c r="W47" s="26">
        <v>1.3999999999999999</v>
      </c>
      <c r="X47" s="8"/>
      <c r="Y47" s="26">
        <v>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564</v>
      </c>
      <c r="C48" s="26">
        <v>3.7000000000000002</v>
      </c>
      <c r="D48" s="8"/>
      <c r="E48" s="26">
        <v>0.80000000000000004</v>
      </c>
      <c r="F48" s="8"/>
      <c r="G48" s="26">
        <v>0.59999999999999998</v>
      </c>
      <c r="H48" s="8"/>
      <c r="I48" s="26">
        <v>0.90000000000000002</v>
      </c>
      <c r="J48" s="8"/>
      <c r="K48" s="26">
        <v>1.5</v>
      </c>
      <c r="L48" s="8"/>
      <c r="M48" s="26">
        <v>2.1000000000000001</v>
      </c>
      <c r="N48" s="8"/>
      <c r="O48" s="26">
        <v>-2</v>
      </c>
      <c r="P48" s="8"/>
      <c r="Q48" s="26">
        <v>0.59999999999999998</v>
      </c>
      <c r="R48" s="8"/>
      <c r="S48" s="26">
        <v>2.3999999999999999</v>
      </c>
      <c r="T48" s="8"/>
      <c r="U48" s="26">
        <v>-0.59999999999999998</v>
      </c>
      <c r="V48" s="8"/>
      <c r="W48" s="26">
        <v>0.59999999999999998</v>
      </c>
      <c r="X48" s="8"/>
      <c r="Y48" s="26">
        <v>0.80000000000000004</v>
      </c>
      <c r="Z48" s="8"/>
      <c r="AA48" s="26">
        <v>1.6000000000000001</v>
      </c>
      <c r="AB48" s="8"/>
      <c r="AC48" s="8"/>
    </row>
    <row r="49" ht="12" customHeight="1">
      <c r="A49" s="8" t="s">
        <v>159</v>
      </c>
      <c r="B49" s="8" t="s">
        <v>565</v>
      </c>
      <c r="C49" s="26">
        <v>5.9000000000000004</v>
      </c>
      <c r="D49" s="8"/>
      <c r="E49" s="26">
        <v>-4.5</v>
      </c>
      <c r="F49" s="8"/>
      <c r="G49" s="26">
        <v>-12.9</v>
      </c>
      <c r="H49" s="8"/>
      <c r="I49" s="26">
        <v>3.5</v>
      </c>
      <c r="J49" s="8"/>
      <c r="K49" s="26">
        <v>6.5</v>
      </c>
      <c r="L49" s="8"/>
      <c r="M49" s="26">
        <v>-8.3000000000000007</v>
      </c>
      <c r="N49" s="8"/>
      <c r="O49" s="26">
        <v>-6.5999999999999996</v>
      </c>
      <c r="P49" s="8"/>
      <c r="Q49" s="26">
        <v>3.7000000000000002</v>
      </c>
      <c r="R49" s="8"/>
      <c r="S49" s="26">
        <v>5.7999999999999998</v>
      </c>
      <c r="T49" s="8"/>
      <c r="U49" s="26">
        <v>-7.5</v>
      </c>
      <c r="V49" s="8"/>
      <c r="W49" s="26">
        <v>-14.300000000000001</v>
      </c>
      <c r="X49" s="8"/>
      <c r="Y49" s="26">
        <v>2.6000000000000001</v>
      </c>
      <c r="Z49" s="8"/>
      <c r="AA49" s="26">
        <v>8.9000000000000004</v>
      </c>
      <c r="AB49" s="8"/>
      <c r="AC49" s="8"/>
    </row>
    <row r="50" ht="12" customHeight="1">
      <c r="A50" s="8" t="s">
        <v>161</v>
      </c>
      <c r="B50" s="8" t="s">
        <v>566</v>
      </c>
      <c r="C50" s="26">
        <v>2.6000000000000001</v>
      </c>
      <c r="D50" s="8"/>
      <c r="E50" s="26">
        <v>0.69999999999999996</v>
      </c>
      <c r="F50" s="8"/>
      <c r="G50" s="26">
        <v>-0.10000000000000001</v>
      </c>
      <c r="H50" s="8"/>
      <c r="I50" s="26">
        <v>-0.59999999999999998</v>
      </c>
      <c r="J50" s="8"/>
      <c r="K50" s="26">
        <v>-1.3999999999999999</v>
      </c>
      <c r="L50" s="8"/>
      <c r="M50" s="26">
        <v>1.8</v>
      </c>
      <c r="N50" s="8"/>
      <c r="O50" s="26">
        <v>1.5</v>
      </c>
      <c r="P50" s="8"/>
      <c r="Q50" s="26">
        <v>-2.2000000000000002</v>
      </c>
      <c r="R50" s="8"/>
      <c r="S50" s="26">
        <v>-0.69999999999999996</v>
      </c>
      <c r="T50" s="8"/>
      <c r="U50" s="26">
        <v>0.69999999999999996</v>
      </c>
      <c r="V50" s="8"/>
      <c r="W50" s="26">
        <v>1.8</v>
      </c>
      <c r="X50" s="8"/>
      <c r="Y50" s="26">
        <v>-0.29999999999999999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567</v>
      </c>
      <c r="C51" s="26">
        <v>3.6000000000000001</v>
      </c>
      <c r="D51" s="8"/>
      <c r="E51" s="26">
        <v>1</v>
      </c>
      <c r="F51" s="8"/>
      <c r="G51" s="26">
        <v>2.1000000000000001</v>
      </c>
      <c r="H51" s="8"/>
      <c r="I51" s="26">
        <v>-0.20000000000000001</v>
      </c>
      <c r="J51" s="8"/>
      <c r="K51" s="26">
        <v>0.40000000000000002</v>
      </c>
      <c r="L51" s="8"/>
      <c r="M51" s="26">
        <v>0.90000000000000002</v>
      </c>
      <c r="N51" s="8"/>
      <c r="O51" s="26">
        <v>-3.2000000000000002</v>
      </c>
      <c r="P51" s="8"/>
      <c r="Q51" s="26">
        <v>2.8999999999999999</v>
      </c>
      <c r="R51" s="8"/>
      <c r="S51" s="26">
        <v>2.5</v>
      </c>
      <c r="T51" s="8"/>
      <c r="U51" s="26">
        <v>-1</v>
      </c>
      <c r="V51" s="8"/>
      <c r="W51" s="26">
        <v>-2</v>
      </c>
      <c r="X51" s="8"/>
      <c r="Y51" s="26">
        <v>1.2</v>
      </c>
      <c r="Z51" s="8"/>
      <c r="AA51" s="26">
        <v>0.69999999999999996</v>
      </c>
      <c r="AB51" s="8"/>
      <c r="AC51" s="8"/>
    </row>
    <row r="52" ht="12" customHeight="1">
      <c r="A52" s="8" t="s">
        <v>165</v>
      </c>
      <c r="B52" s="8" t="s">
        <v>568</v>
      </c>
      <c r="C52" s="26">
        <v>2.7000000000000002</v>
      </c>
      <c r="D52" s="8"/>
      <c r="E52" s="26">
        <v>1.3999999999999999</v>
      </c>
      <c r="F52" s="8"/>
      <c r="G52" s="26">
        <v>1.2</v>
      </c>
      <c r="H52" s="8"/>
      <c r="I52" s="26">
        <v>1.1000000000000001</v>
      </c>
      <c r="J52" s="8"/>
      <c r="K52" s="26">
        <v>2.2999999999999998</v>
      </c>
      <c r="L52" s="8"/>
      <c r="M52" s="26">
        <v>2.2999999999999998</v>
      </c>
      <c r="N52" s="8"/>
      <c r="O52" s="26">
        <v>1.8</v>
      </c>
      <c r="P52" s="8"/>
      <c r="Q52" s="26">
        <v>0</v>
      </c>
      <c r="R52" s="8"/>
      <c r="S52" s="26">
        <v>1</v>
      </c>
      <c r="T52" s="8"/>
      <c r="U52" s="26">
        <v>0.40000000000000002</v>
      </c>
      <c r="V52" s="8"/>
      <c r="W52" s="26">
        <v>6</v>
      </c>
      <c r="X52" s="8"/>
      <c r="Y52" s="26">
        <v>0.40000000000000002</v>
      </c>
      <c r="Z52" s="8"/>
      <c r="AA52" s="26">
        <v>0.20000000000000001</v>
      </c>
      <c r="AB52" s="8"/>
      <c r="AC52" s="8"/>
    </row>
    <row r="53" ht="12" customHeight="1">
      <c r="A53" s="8" t="s">
        <v>167</v>
      </c>
      <c r="B53" s="8" t="s">
        <v>569</v>
      </c>
      <c r="C53" s="26">
        <v>3.2999999999999998</v>
      </c>
      <c r="D53" s="8"/>
      <c r="E53" s="26">
        <v>1.3</v>
      </c>
      <c r="F53" s="8"/>
      <c r="G53" s="26">
        <v>2.7999999999999998</v>
      </c>
      <c r="H53" s="8"/>
      <c r="I53" s="26">
        <v>1.8999999999999999</v>
      </c>
      <c r="J53" s="8"/>
      <c r="K53" s="26">
        <v>0.69999999999999996</v>
      </c>
      <c r="L53" s="8"/>
      <c r="M53" s="26">
        <v>-1.2</v>
      </c>
      <c r="N53" s="8"/>
      <c r="O53" s="26">
        <v>1.8</v>
      </c>
      <c r="P53" s="8"/>
      <c r="Q53" s="26">
        <v>-0.10000000000000001</v>
      </c>
      <c r="R53" s="8"/>
      <c r="S53" s="26">
        <v>1.5</v>
      </c>
      <c r="T53" s="8"/>
      <c r="U53" s="26">
        <v>-0.59999999999999998</v>
      </c>
      <c r="V53" s="8"/>
      <c r="W53" s="26">
        <v>0.5</v>
      </c>
      <c r="X53" s="8"/>
      <c r="Y53" s="26">
        <v>2.2999999999999998</v>
      </c>
      <c r="Z53" s="8"/>
      <c r="AA53" s="26">
        <v>1.2</v>
      </c>
      <c r="AB53" s="8"/>
      <c r="AC53" s="8"/>
    </row>
    <row r="54" ht="12" customHeight="1">
      <c r="A54" s="8" t="s">
        <v>169</v>
      </c>
      <c r="B54" s="8" t="s">
        <v>570</v>
      </c>
      <c r="C54" s="26">
        <v>4.7999999999999998</v>
      </c>
      <c r="D54" s="8"/>
      <c r="E54" s="26">
        <v>1.8</v>
      </c>
      <c r="F54" s="8"/>
      <c r="G54" s="26">
        <v>0.69999999999999996</v>
      </c>
      <c r="H54" s="8"/>
      <c r="I54" s="26">
        <v>1.3</v>
      </c>
      <c r="J54" s="8"/>
      <c r="K54" s="26">
        <v>1.3999999999999999</v>
      </c>
      <c r="L54" s="8"/>
      <c r="M54" s="26">
        <v>6.7000000000000002</v>
      </c>
      <c r="N54" s="8"/>
      <c r="O54" s="26">
        <v>-5.0999999999999996</v>
      </c>
      <c r="P54" s="8"/>
      <c r="Q54" s="26">
        <v>-1.5</v>
      </c>
      <c r="R54" s="8"/>
      <c r="S54" s="26">
        <v>3.5</v>
      </c>
      <c r="T54" s="8"/>
      <c r="U54" s="26">
        <v>2.2000000000000002</v>
      </c>
      <c r="V54" s="8"/>
      <c r="W54" s="26">
        <v>1.1000000000000001</v>
      </c>
      <c r="X54" s="8"/>
      <c r="Y54" s="26">
        <v>0.40000000000000002</v>
      </c>
      <c r="Z54" s="8"/>
      <c r="AA54" s="26">
        <v>3.2999999999999998</v>
      </c>
      <c r="AB54" s="8"/>
      <c r="AC54" s="8"/>
    </row>
    <row r="55" ht="12" customHeight="1">
      <c r="A55" s="11" t="s">
        <v>171</v>
      </c>
      <c r="B55" s="8" t="s">
        <v>571</v>
      </c>
      <c r="C55" s="26">
        <v>0</v>
      </c>
      <c r="D55" s="8"/>
      <c r="E55" s="26">
        <v>1.8999999999999999</v>
      </c>
      <c r="F55" s="8"/>
      <c r="G55" s="26">
        <v>0</v>
      </c>
      <c r="H55" s="8"/>
      <c r="I55" s="26">
        <v>1.7</v>
      </c>
      <c r="J55" s="8"/>
      <c r="K55" s="26">
        <v>0</v>
      </c>
      <c r="L55" s="8"/>
      <c r="M55" s="26">
        <v>2.7000000000000002</v>
      </c>
      <c r="N55" s="8"/>
      <c r="O55" s="26">
        <v>0</v>
      </c>
      <c r="P55" s="8"/>
      <c r="Q55" s="26">
        <v>-10.6</v>
      </c>
      <c r="R55" s="8"/>
      <c r="S55" s="26">
        <v>0</v>
      </c>
      <c r="T55" s="8"/>
      <c r="U55" s="26">
        <v>7.7999999999999998</v>
      </c>
      <c r="V55" s="8"/>
      <c r="W55" s="26">
        <v>0</v>
      </c>
      <c r="X55" s="8"/>
      <c r="Y55" s="26">
        <v>0.69999999999999996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572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3.6000000000000001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-22.600000000000001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2.5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573</v>
      </c>
      <c r="C57" s="26">
        <v>0</v>
      </c>
      <c r="D57" s="8"/>
      <c r="E57" s="26">
        <v>1.8999999999999999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4.2000000000000002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574</v>
      </c>
      <c r="C58" s="26">
        <v>0</v>
      </c>
      <c r="D58" s="8"/>
      <c r="E58" s="26">
        <v>4.9000000000000004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6.0999999999999996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575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4.4000000000000004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576</v>
      </c>
      <c r="C60" s="26">
        <v>1.6000000000000001</v>
      </c>
      <c r="D60" s="8"/>
      <c r="E60" s="26">
        <v>1.8</v>
      </c>
      <c r="F60" s="8"/>
      <c r="G60" s="26">
        <v>2.6000000000000001</v>
      </c>
      <c r="H60" s="8"/>
      <c r="I60" s="26">
        <v>2.2000000000000002</v>
      </c>
      <c r="J60" s="8"/>
      <c r="K60" s="26">
        <v>2.2000000000000002</v>
      </c>
      <c r="L60" s="8"/>
      <c r="M60" s="26">
        <v>2.7000000000000002</v>
      </c>
      <c r="N60" s="8"/>
      <c r="O60" s="26">
        <v>2.3999999999999999</v>
      </c>
      <c r="P60" s="8"/>
      <c r="Q60" s="26">
        <v>1.3999999999999999</v>
      </c>
      <c r="R60" s="8"/>
      <c r="S60" s="26">
        <v>1.3</v>
      </c>
      <c r="T60" s="8"/>
      <c r="U60" s="26">
        <v>1</v>
      </c>
      <c r="V60" s="8"/>
      <c r="W60" s="26">
        <v>1.1000000000000001</v>
      </c>
      <c r="X60" s="8"/>
      <c r="Y60" s="26">
        <v>0.5</v>
      </c>
      <c r="Z60" s="8"/>
      <c r="AA60" s="26">
        <v>0.29999999999999999</v>
      </c>
      <c r="AB60" s="8"/>
      <c r="AC60" s="8"/>
    </row>
    <row r="61" ht="12" customHeight="1">
      <c r="A61" s="8" t="s">
        <v>183</v>
      </c>
      <c r="B61" s="8" t="s">
        <v>577</v>
      </c>
      <c r="C61" s="26">
        <v>2.3999999999999999</v>
      </c>
      <c r="D61" s="8"/>
      <c r="E61" s="26">
        <v>1.7</v>
      </c>
      <c r="F61" s="8"/>
      <c r="G61" s="26">
        <v>2.3999999999999999</v>
      </c>
      <c r="H61" s="8"/>
      <c r="I61" s="26">
        <v>-0.5</v>
      </c>
      <c r="J61" s="8"/>
      <c r="K61" s="26">
        <v>-0.90000000000000002</v>
      </c>
      <c r="L61" s="8"/>
      <c r="M61" s="26">
        <v>0.20000000000000001</v>
      </c>
      <c r="N61" s="8"/>
      <c r="O61" s="26">
        <v>0.20000000000000001</v>
      </c>
      <c r="P61" s="8"/>
      <c r="Q61" s="26">
        <v>-0.29999999999999999</v>
      </c>
      <c r="R61" s="8"/>
      <c r="S61" s="26">
        <v>-0.10000000000000001</v>
      </c>
      <c r="T61" s="8"/>
      <c r="U61" s="26">
        <v>0.29999999999999999</v>
      </c>
      <c r="V61" s="8"/>
      <c r="W61" s="26">
        <v>1</v>
      </c>
      <c r="X61" s="8"/>
      <c r="Y61" s="26">
        <v>0.29999999999999999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578</v>
      </c>
      <c r="C62" s="26">
        <v>4.5999999999999996</v>
      </c>
      <c r="D62" s="8"/>
      <c r="E62" s="26">
        <v>0.29999999999999999</v>
      </c>
      <c r="F62" s="8"/>
      <c r="G62" s="26">
        <v>-4.0999999999999996</v>
      </c>
      <c r="H62" s="8"/>
      <c r="I62" s="26">
        <v>-0.59999999999999998</v>
      </c>
      <c r="J62" s="8"/>
      <c r="K62" s="26">
        <v>3.1000000000000001</v>
      </c>
      <c r="L62" s="8"/>
      <c r="M62" s="26">
        <v>1.3999999999999999</v>
      </c>
      <c r="N62" s="8"/>
      <c r="O62" s="26">
        <v>1.3999999999999999</v>
      </c>
      <c r="P62" s="8"/>
      <c r="Q62" s="26">
        <v>0.10000000000000001</v>
      </c>
      <c r="R62" s="8"/>
      <c r="S62" s="26">
        <v>0.59999999999999998</v>
      </c>
      <c r="T62" s="8"/>
      <c r="U62" s="26">
        <v>0.20000000000000001</v>
      </c>
      <c r="V62" s="8"/>
      <c r="W62" s="26">
        <v>2.7999999999999998</v>
      </c>
      <c r="X62" s="8"/>
      <c r="Y62" s="26">
        <v>1.1000000000000001</v>
      </c>
      <c r="Z62" s="8"/>
      <c r="AA62" s="26">
        <v>3.3999999999999999</v>
      </c>
      <c r="AB62" s="8"/>
      <c r="AC62" s="8"/>
    </row>
    <row r="63" ht="12" customHeight="1">
      <c r="A63" s="8" t="s">
        <v>187</v>
      </c>
      <c r="B63" s="8" t="s">
        <v>579</v>
      </c>
      <c r="C63" s="26">
        <v>1.6000000000000001</v>
      </c>
      <c r="D63" s="8"/>
      <c r="E63" s="26">
        <v>2.3999999999999999</v>
      </c>
      <c r="F63" s="8"/>
      <c r="G63" s="26">
        <v>3.7999999999999998</v>
      </c>
      <c r="H63" s="8"/>
      <c r="I63" s="26">
        <v>4.2000000000000002</v>
      </c>
      <c r="J63" s="8"/>
      <c r="K63" s="26">
        <v>4.0999999999999996</v>
      </c>
      <c r="L63" s="8"/>
      <c r="M63" s="26">
        <v>4.5999999999999996</v>
      </c>
      <c r="N63" s="8"/>
      <c r="O63" s="26">
        <v>3.8999999999999999</v>
      </c>
      <c r="P63" s="8"/>
      <c r="Q63" s="26">
        <v>2.7000000000000002</v>
      </c>
      <c r="R63" s="8"/>
      <c r="S63" s="26">
        <v>2.2000000000000002</v>
      </c>
      <c r="T63" s="8"/>
      <c r="U63" s="26">
        <v>1.3</v>
      </c>
      <c r="V63" s="8"/>
      <c r="W63" s="26">
        <v>1.1000000000000001</v>
      </c>
      <c r="X63" s="8"/>
      <c r="Y63" s="26">
        <v>0.59999999999999998</v>
      </c>
      <c r="Z63" s="8"/>
      <c r="AA63" s="26">
        <v>0.29999999999999999</v>
      </c>
      <c r="AB63" s="8"/>
      <c r="AC63" s="8"/>
    </row>
    <row r="64" ht="12" customHeight="1">
      <c r="A64" s="8" t="s">
        <v>189</v>
      </c>
      <c r="B64" s="8" t="s">
        <v>580</v>
      </c>
      <c r="C64" s="26">
        <v>-2</v>
      </c>
      <c r="D64" s="8"/>
      <c r="E64" s="26">
        <v>-1.1000000000000001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-2.7000000000000002</v>
      </c>
      <c r="R64" s="8"/>
      <c r="S64" s="26">
        <v>-1.1000000000000001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581</v>
      </c>
      <c r="C65" s="26">
        <v>-0.59999999999999998</v>
      </c>
      <c r="D65" s="8"/>
      <c r="E65" s="26">
        <v>0.5</v>
      </c>
      <c r="F65" s="8"/>
      <c r="G65" s="26">
        <v>0.20000000000000001</v>
      </c>
      <c r="H65" s="8"/>
      <c r="I65" s="26">
        <v>0.90000000000000002</v>
      </c>
      <c r="J65" s="8"/>
      <c r="K65" s="26">
        <v>0.69999999999999996</v>
      </c>
      <c r="L65" s="8"/>
      <c r="M65" s="26">
        <v>0.80000000000000004</v>
      </c>
      <c r="N65" s="8"/>
      <c r="O65" s="26">
        <v>1.8</v>
      </c>
      <c r="P65" s="8"/>
      <c r="Q65" s="26">
        <v>0.10000000000000001</v>
      </c>
      <c r="R65" s="8"/>
      <c r="S65" s="26">
        <v>0.40000000000000002</v>
      </c>
      <c r="T65" s="8"/>
      <c r="U65" s="26">
        <v>0.69999999999999996</v>
      </c>
      <c r="V65" s="8"/>
      <c r="W65" s="26">
        <v>1.2</v>
      </c>
      <c r="X65" s="8"/>
      <c r="Y65" s="26">
        <v>-0.90000000000000002</v>
      </c>
      <c r="Z65" s="8"/>
      <c r="AA65" s="26">
        <v>0.10000000000000001</v>
      </c>
      <c r="AB65" s="8"/>
      <c r="AC65" s="8"/>
    </row>
    <row r="66" ht="12" customHeight="1">
      <c r="A66" s="11" t="s">
        <v>193</v>
      </c>
      <c r="B66" s="8" t="s">
        <v>582</v>
      </c>
      <c r="C66" s="26">
        <v>6.5999999999999996</v>
      </c>
      <c r="D66" s="8"/>
      <c r="E66" s="26">
        <v>7</v>
      </c>
      <c r="F66" s="8"/>
      <c r="G66" s="26">
        <v>3.6000000000000001</v>
      </c>
      <c r="H66" s="8"/>
      <c r="I66" s="26">
        <v>8.3000000000000007</v>
      </c>
      <c r="J66" s="8"/>
      <c r="K66" s="26">
        <v>9.6999999999999993</v>
      </c>
      <c r="L66" s="8"/>
      <c r="M66" s="26">
        <v>4.5</v>
      </c>
      <c r="N66" s="8"/>
      <c r="O66" s="26">
        <v>2.1000000000000001</v>
      </c>
      <c r="P66" s="8"/>
      <c r="Q66" s="26">
        <v>1.1000000000000001</v>
      </c>
      <c r="R66" s="8"/>
      <c r="S66" s="26">
        <v>-0.59999999999999998</v>
      </c>
      <c r="T66" s="8"/>
      <c r="U66" s="26">
        <v>-2</v>
      </c>
      <c r="V66" s="8"/>
      <c r="W66" s="26">
        <v>-6.2000000000000002</v>
      </c>
      <c r="X66" s="8"/>
      <c r="Y66" s="26">
        <v>-6.2000000000000002</v>
      </c>
      <c r="Z66" s="8"/>
      <c r="AA66" s="26">
        <v>-4</v>
      </c>
      <c r="AB66" s="8"/>
      <c r="AC66" s="8"/>
    </row>
    <row r="67" ht="12" customHeight="1">
      <c r="A67" s="8" t="s">
        <v>195</v>
      </c>
      <c r="B67" s="8" t="s">
        <v>583</v>
      </c>
      <c r="C67" s="26">
        <v>6.5999999999999996</v>
      </c>
      <c r="D67" s="8"/>
      <c r="E67" s="26">
        <v>7</v>
      </c>
      <c r="F67" s="8"/>
      <c r="G67" s="26">
        <v>3.6000000000000001</v>
      </c>
      <c r="H67" s="8"/>
      <c r="I67" s="26">
        <v>8.3000000000000007</v>
      </c>
      <c r="J67" s="8"/>
      <c r="K67" s="26">
        <v>9.6999999999999993</v>
      </c>
      <c r="L67" s="8"/>
      <c r="M67" s="26">
        <v>4.5</v>
      </c>
      <c r="N67" s="8"/>
      <c r="O67" s="26">
        <v>2.1000000000000001</v>
      </c>
      <c r="P67" s="8"/>
      <c r="Q67" s="26">
        <v>1.1000000000000001</v>
      </c>
      <c r="R67" s="8"/>
      <c r="S67" s="26">
        <v>-0.59999999999999998</v>
      </c>
      <c r="T67" s="8"/>
      <c r="U67" s="26">
        <v>-2</v>
      </c>
      <c r="V67" s="8"/>
      <c r="W67" s="26">
        <v>-6.2000000000000002</v>
      </c>
      <c r="X67" s="8"/>
      <c r="Y67" s="26">
        <v>-6.2000000000000002</v>
      </c>
      <c r="Z67" s="8"/>
      <c r="AA67" s="26">
        <v>-4</v>
      </c>
      <c r="AB67" s="8"/>
      <c r="AC67" s="8"/>
    </row>
    <row r="68" ht="12" customHeight="1">
      <c r="A68" s="13" t="s">
        <v>69</v>
      </c>
      <c r="B68" s="10" t="s">
        <v>52</v>
      </c>
      <c r="C68" s="27">
        <v>1.7</v>
      </c>
      <c r="D68" s="10"/>
      <c r="E68" s="27">
        <v>1.8</v>
      </c>
      <c r="F68" s="10"/>
      <c r="G68" s="27">
        <v>1.3</v>
      </c>
      <c r="H68" s="10"/>
      <c r="I68" s="27">
        <v>2.5</v>
      </c>
      <c r="J68" s="10"/>
      <c r="K68" s="27">
        <v>1.3</v>
      </c>
      <c r="L68" s="10"/>
      <c r="M68" s="27">
        <v>1.1000000000000001</v>
      </c>
      <c r="N68" s="10"/>
      <c r="O68" s="27">
        <v>0.59999999999999998</v>
      </c>
      <c r="P68" s="10"/>
      <c r="Q68" s="27">
        <v>0.90000000000000002</v>
      </c>
      <c r="R68" s="10"/>
      <c r="S68" s="27">
        <v>0.40000000000000002</v>
      </c>
      <c r="T68" s="10"/>
      <c r="U68" s="27">
        <v>0.90000000000000002</v>
      </c>
      <c r="V68" s="10"/>
      <c r="W68" s="27">
        <v>0.20000000000000001</v>
      </c>
      <c r="X68" s="10"/>
      <c r="Y68" s="27">
        <v>0.69999999999999996</v>
      </c>
      <c r="Z68" s="10"/>
      <c r="AA68" s="27">
        <v>0.29999999999999999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585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523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524</v>
      </c>
      <c r="C8" s="22">
        <v>10.800000000000001</v>
      </c>
      <c r="D8" s="22"/>
      <c r="E8" s="22">
        <v>11.6</v>
      </c>
      <c r="F8" s="22"/>
      <c r="G8" s="22">
        <v>12.4</v>
      </c>
      <c r="H8" s="22"/>
      <c r="I8" s="22">
        <v>8.6999999999999993</v>
      </c>
      <c r="J8" s="22"/>
      <c r="K8" s="22">
        <v>5.4000000000000004</v>
      </c>
      <c r="L8" s="22"/>
      <c r="M8" s="22">
        <v>2.1000000000000001</v>
      </c>
      <c r="N8" s="22"/>
      <c r="O8" s="22">
        <v>0.10000000000000001</v>
      </c>
      <c r="P8" s="22"/>
      <c r="Q8" s="22">
        <v>0.80000000000000004</v>
      </c>
      <c r="R8" s="22"/>
      <c r="S8" s="22">
        <v>1.3999999999999999</v>
      </c>
      <c r="T8" s="22"/>
      <c r="U8" s="22">
        <v>2.6000000000000001</v>
      </c>
      <c r="V8" s="22"/>
      <c r="W8" s="22">
        <v>4.2999999999999998</v>
      </c>
      <c r="X8" s="22"/>
      <c r="Y8" s="22">
        <v>4.7999999999999998</v>
      </c>
      <c r="Z8" s="22"/>
      <c r="AA8" s="22">
        <v>4.5</v>
      </c>
      <c r="AB8" s="22"/>
      <c r="AC8" s="22"/>
    </row>
    <row r="9" ht="12" customHeight="1">
      <c r="A9" s="8" t="s">
        <v>79</v>
      </c>
      <c r="B9" s="8" t="s">
        <v>525</v>
      </c>
      <c r="C9" s="22">
        <v>20</v>
      </c>
      <c r="D9" s="22"/>
      <c r="E9" s="22">
        <v>20.300000000000001</v>
      </c>
      <c r="F9" s="22"/>
      <c r="G9" s="22">
        <v>20.199999999999999</v>
      </c>
      <c r="H9" s="22"/>
      <c r="I9" s="22">
        <v>3.3999999999999999</v>
      </c>
      <c r="J9" s="22"/>
      <c r="K9" s="22">
        <v>1.8999999999999999</v>
      </c>
      <c r="L9" s="22"/>
      <c r="M9" s="22">
        <v>-8.1999999999999993</v>
      </c>
      <c r="N9" s="22"/>
      <c r="O9" s="22">
        <v>-13.5</v>
      </c>
      <c r="P9" s="22"/>
      <c r="Q9" s="22">
        <v>-9.0999999999999996</v>
      </c>
      <c r="R9" s="22"/>
      <c r="S9" s="22">
        <v>-7.7000000000000002</v>
      </c>
      <c r="T9" s="22"/>
      <c r="U9" s="22">
        <v>-5.5</v>
      </c>
      <c r="V9" s="22"/>
      <c r="W9" s="22">
        <v>5.0999999999999996</v>
      </c>
      <c r="X9" s="22"/>
      <c r="Y9" s="22">
        <v>8.0999999999999996</v>
      </c>
      <c r="Z9" s="22"/>
      <c r="AA9" s="22">
        <v>4</v>
      </c>
      <c r="AB9" s="22"/>
      <c r="AC9" s="22"/>
    </row>
    <row r="10" ht="12" customHeight="1">
      <c r="A10" s="8" t="s">
        <v>81</v>
      </c>
      <c r="B10" s="8" t="s">
        <v>526</v>
      </c>
      <c r="C10" s="26">
        <v>10.699999999999999</v>
      </c>
      <c r="D10" s="8"/>
      <c r="E10" s="26">
        <v>8.8000000000000007</v>
      </c>
      <c r="F10" s="8"/>
      <c r="G10" s="26">
        <v>10.5</v>
      </c>
      <c r="H10" s="8"/>
      <c r="I10" s="26">
        <v>7.7999999999999998</v>
      </c>
      <c r="J10" s="8"/>
      <c r="K10" s="26">
        <v>2.6000000000000001</v>
      </c>
      <c r="L10" s="8"/>
      <c r="M10" s="26">
        <v>0.59999999999999998</v>
      </c>
      <c r="N10" s="8"/>
      <c r="O10" s="26">
        <v>-0.59999999999999998</v>
      </c>
      <c r="P10" s="8"/>
      <c r="Q10" s="26">
        <v>0</v>
      </c>
      <c r="R10" s="8"/>
      <c r="S10" s="26">
        <v>1.7</v>
      </c>
      <c r="T10" s="8"/>
      <c r="U10" s="26">
        <v>3.3999999999999999</v>
      </c>
      <c r="V10" s="8"/>
      <c r="W10" s="26">
        <v>4.5999999999999996</v>
      </c>
      <c r="X10" s="8"/>
      <c r="Y10" s="26">
        <v>7.2999999999999998</v>
      </c>
      <c r="Z10" s="8"/>
      <c r="AA10" s="26">
        <v>7.2999999999999998</v>
      </c>
      <c r="AB10" s="8"/>
      <c r="AC10" s="8"/>
    </row>
    <row r="11" ht="12" customHeight="1">
      <c r="A11" s="8" t="s">
        <v>83</v>
      </c>
      <c r="B11" s="8" t="s">
        <v>527</v>
      </c>
      <c r="C11" s="26">
        <v>10.199999999999999</v>
      </c>
      <c r="D11" s="8"/>
      <c r="E11" s="26">
        <v>12.199999999999999</v>
      </c>
      <c r="F11" s="8"/>
      <c r="G11" s="26">
        <v>13</v>
      </c>
      <c r="H11" s="8"/>
      <c r="I11" s="26">
        <v>11</v>
      </c>
      <c r="J11" s="8"/>
      <c r="K11" s="26">
        <v>6.4000000000000004</v>
      </c>
      <c r="L11" s="8"/>
      <c r="M11" s="26">
        <v>3.2999999999999998</v>
      </c>
      <c r="N11" s="8"/>
      <c r="O11" s="26">
        <v>1.5</v>
      </c>
      <c r="P11" s="8"/>
      <c r="Q11" s="26">
        <v>2</v>
      </c>
      <c r="R11" s="8"/>
      <c r="S11" s="26">
        <v>2.6000000000000001</v>
      </c>
      <c r="T11" s="8"/>
      <c r="U11" s="26">
        <v>4.4000000000000004</v>
      </c>
      <c r="V11" s="8"/>
      <c r="W11" s="26">
        <v>5.0999999999999996</v>
      </c>
      <c r="X11" s="8"/>
      <c r="Y11" s="26">
        <v>4.5999999999999996</v>
      </c>
      <c r="Z11" s="8"/>
      <c r="AA11" s="26">
        <v>4.5999999999999996</v>
      </c>
      <c r="AB11" s="8"/>
      <c r="AC11" s="8"/>
    </row>
    <row r="12" ht="12" customHeight="1">
      <c r="A12" s="8" t="s">
        <v>85</v>
      </c>
      <c r="B12" s="8" t="s">
        <v>528</v>
      </c>
      <c r="C12" s="26">
        <v>8.3000000000000007</v>
      </c>
      <c r="D12" s="8"/>
      <c r="E12" s="26">
        <v>8.3000000000000007</v>
      </c>
      <c r="F12" s="8"/>
      <c r="G12" s="26">
        <v>10.300000000000001</v>
      </c>
      <c r="H12" s="8"/>
      <c r="I12" s="26">
        <v>9</v>
      </c>
      <c r="J12" s="8"/>
      <c r="K12" s="26">
        <v>6.0999999999999996</v>
      </c>
      <c r="L12" s="8"/>
      <c r="M12" s="26">
        <v>5</v>
      </c>
      <c r="N12" s="8"/>
      <c r="O12" s="26">
        <v>4.4000000000000004</v>
      </c>
      <c r="P12" s="8"/>
      <c r="Q12" s="26">
        <v>4.4000000000000004</v>
      </c>
      <c r="R12" s="8"/>
      <c r="S12" s="26">
        <v>4.2999999999999998</v>
      </c>
      <c r="T12" s="8"/>
      <c r="U12" s="26">
        <v>5.5</v>
      </c>
      <c r="V12" s="8"/>
      <c r="W12" s="26">
        <v>5.7999999999999998</v>
      </c>
      <c r="X12" s="8"/>
      <c r="Y12" s="26">
        <v>4.2999999999999998</v>
      </c>
      <c r="Z12" s="8"/>
      <c r="AA12" s="26">
        <v>4.9000000000000004</v>
      </c>
      <c r="AB12" s="8"/>
      <c r="AC12" s="8"/>
    </row>
    <row r="13" ht="12" customHeight="1">
      <c r="A13" s="8" t="s">
        <v>87</v>
      </c>
      <c r="B13" s="8" t="s">
        <v>529</v>
      </c>
      <c r="C13" s="26">
        <v>7.9000000000000004</v>
      </c>
      <c r="D13" s="8"/>
      <c r="E13" s="26">
        <v>8.8000000000000007</v>
      </c>
      <c r="F13" s="8"/>
      <c r="G13" s="26">
        <v>9.1999999999999993</v>
      </c>
      <c r="H13" s="8"/>
      <c r="I13" s="26">
        <v>9</v>
      </c>
      <c r="J13" s="8"/>
      <c r="K13" s="26">
        <v>7.5999999999999996</v>
      </c>
      <c r="L13" s="8"/>
      <c r="M13" s="26">
        <v>6.5</v>
      </c>
      <c r="N13" s="8"/>
      <c r="O13" s="26">
        <v>4.7999999999999998</v>
      </c>
      <c r="P13" s="8"/>
      <c r="Q13" s="26">
        <v>3.6000000000000001</v>
      </c>
      <c r="R13" s="8"/>
      <c r="S13" s="26">
        <v>3.2000000000000002</v>
      </c>
      <c r="T13" s="8"/>
      <c r="U13" s="26">
        <v>2.5</v>
      </c>
      <c r="V13" s="8"/>
      <c r="W13" s="26">
        <v>2</v>
      </c>
      <c r="X13" s="8"/>
      <c r="Y13" s="26">
        <v>2.3999999999999999</v>
      </c>
      <c r="Z13" s="8"/>
      <c r="AA13" s="26">
        <v>2.3999999999999999</v>
      </c>
      <c r="AB13" s="8"/>
      <c r="AC13" s="8"/>
    </row>
    <row r="14" ht="12" customHeight="1">
      <c r="A14" s="11" t="s">
        <v>89</v>
      </c>
      <c r="B14" s="8" t="s">
        <v>530</v>
      </c>
      <c r="C14" s="26">
        <v>5.7000000000000002</v>
      </c>
      <c r="D14" s="8"/>
      <c r="E14" s="26">
        <v>7.4000000000000004</v>
      </c>
      <c r="F14" s="8"/>
      <c r="G14" s="26">
        <v>7.5</v>
      </c>
      <c r="H14" s="8"/>
      <c r="I14" s="26">
        <v>7.5</v>
      </c>
      <c r="J14" s="8"/>
      <c r="K14" s="26">
        <v>8.5</v>
      </c>
      <c r="L14" s="8"/>
      <c r="M14" s="26">
        <v>7.7999999999999998</v>
      </c>
      <c r="N14" s="8"/>
      <c r="O14" s="26">
        <v>7.5999999999999996</v>
      </c>
      <c r="P14" s="8"/>
      <c r="Q14" s="26">
        <v>6.7999999999999998</v>
      </c>
      <c r="R14" s="8"/>
      <c r="S14" s="26">
        <v>5.2999999999999998</v>
      </c>
      <c r="T14" s="8"/>
      <c r="U14" s="26">
        <v>3.2999999999999998</v>
      </c>
      <c r="V14" s="8"/>
      <c r="W14" s="26">
        <v>2.2999999999999998</v>
      </c>
      <c r="X14" s="8"/>
      <c r="Y14" s="26">
        <v>2.2999999999999998</v>
      </c>
      <c r="Z14" s="8"/>
      <c r="AA14" s="26">
        <v>2.2999999999999998</v>
      </c>
      <c r="AB14" s="8"/>
      <c r="AC14" s="8"/>
    </row>
    <row r="15" ht="12" customHeight="1">
      <c r="A15" s="8" t="s">
        <v>91</v>
      </c>
      <c r="B15" s="8" t="s">
        <v>531</v>
      </c>
      <c r="C15" s="26">
        <v>6.2999999999999998</v>
      </c>
      <c r="D15" s="8"/>
      <c r="E15" s="26">
        <v>6.2999999999999998</v>
      </c>
      <c r="F15" s="8"/>
      <c r="G15" s="26">
        <v>6.5999999999999996</v>
      </c>
      <c r="H15" s="8"/>
      <c r="I15" s="26">
        <v>6</v>
      </c>
      <c r="J15" s="8"/>
      <c r="K15" s="26">
        <v>5.4000000000000004</v>
      </c>
      <c r="L15" s="8"/>
      <c r="M15" s="26">
        <v>4.7000000000000002</v>
      </c>
      <c r="N15" s="8"/>
      <c r="O15" s="26">
        <v>4.5</v>
      </c>
      <c r="P15" s="8"/>
      <c r="Q15" s="26">
        <v>3.2000000000000002</v>
      </c>
      <c r="R15" s="8"/>
      <c r="S15" s="26">
        <v>2.6000000000000001</v>
      </c>
      <c r="T15" s="8"/>
      <c r="U15" s="26">
        <v>2.3999999999999999</v>
      </c>
      <c r="V15" s="8"/>
      <c r="W15" s="26">
        <v>0.29999999999999999</v>
      </c>
      <c r="X15" s="8"/>
      <c r="Y15" s="26">
        <v>0.5</v>
      </c>
      <c r="Z15" s="8"/>
      <c r="AA15" s="26">
        <v>0.20000000000000001</v>
      </c>
      <c r="AB15" s="8"/>
      <c r="AC15" s="8"/>
    </row>
    <row r="16" ht="12" customHeight="1">
      <c r="A16" s="8" t="s">
        <v>93</v>
      </c>
      <c r="B16" s="8" t="s">
        <v>532</v>
      </c>
      <c r="C16" s="26">
        <v>5.0999999999999996</v>
      </c>
      <c r="D16" s="8"/>
      <c r="E16" s="26">
        <v>8.5</v>
      </c>
      <c r="F16" s="8"/>
      <c r="G16" s="26">
        <v>8.5</v>
      </c>
      <c r="H16" s="8"/>
      <c r="I16" s="26">
        <v>9.0999999999999996</v>
      </c>
      <c r="J16" s="8"/>
      <c r="K16" s="26">
        <v>11.699999999999999</v>
      </c>
      <c r="L16" s="8"/>
      <c r="M16" s="26">
        <v>10.699999999999999</v>
      </c>
      <c r="N16" s="8"/>
      <c r="O16" s="26">
        <v>10.6</v>
      </c>
      <c r="P16" s="8"/>
      <c r="Q16" s="26">
        <v>10.300000000000001</v>
      </c>
      <c r="R16" s="8"/>
      <c r="S16" s="26">
        <v>7.7000000000000002</v>
      </c>
      <c r="T16" s="8"/>
      <c r="U16" s="26">
        <v>5</v>
      </c>
      <c r="V16" s="8"/>
      <c r="W16" s="26">
        <v>5.2999999999999998</v>
      </c>
      <c r="X16" s="8"/>
      <c r="Y16" s="26">
        <v>4.9000000000000004</v>
      </c>
      <c r="Z16" s="8"/>
      <c r="AA16" s="26">
        <v>5.7999999999999998</v>
      </c>
      <c r="AB16" s="8"/>
      <c r="AC16" s="8"/>
    </row>
    <row r="17" ht="12" customHeight="1">
      <c r="A17" s="11" t="s">
        <v>95</v>
      </c>
      <c r="B17" s="8" t="s">
        <v>533</v>
      </c>
      <c r="C17" s="26">
        <v>2.3999999999999999</v>
      </c>
      <c r="D17" s="8"/>
      <c r="E17" s="26">
        <v>3.1000000000000001</v>
      </c>
      <c r="F17" s="8"/>
      <c r="G17" s="26">
        <v>4.5999999999999996</v>
      </c>
      <c r="H17" s="8"/>
      <c r="I17" s="26">
        <v>3.6000000000000001</v>
      </c>
      <c r="J17" s="8"/>
      <c r="K17" s="26">
        <v>3.6000000000000001</v>
      </c>
      <c r="L17" s="8"/>
      <c r="M17" s="26">
        <v>3.6000000000000001</v>
      </c>
      <c r="N17" s="8"/>
      <c r="O17" s="26">
        <v>1.3999999999999999</v>
      </c>
      <c r="P17" s="8"/>
      <c r="Q17" s="26">
        <v>1.3</v>
      </c>
      <c r="R17" s="8"/>
      <c r="S17" s="26">
        <v>-0.69999999999999996</v>
      </c>
      <c r="T17" s="8"/>
      <c r="U17" s="26">
        <v>-0.29999999999999999</v>
      </c>
      <c r="V17" s="8"/>
      <c r="W17" s="26">
        <v>-0.69999999999999996</v>
      </c>
      <c r="X17" s="8"/>
      <c r="Y17" s="26">
        <v>-0.20000000000000001</v>
      </c>
      <c r="Z17" s="8"/>
      <c r="AA17" s="26">
        <v>1.8</v>
      </c>
      <c r="AB17" s="8"/>
      <c r="AC17" s="8"/>
    </row>
    <row r="18" ht="12" customHeight="1">
      <c r="A18" s="8" t="s">
        <v>97</v>
      </c>
      <c r="B18" s="8" t="s">
        <v>534</v>
      </c>
      <c r="C18" s="26">
        <v>2.2000000000000002</v>
      </c>
      <c r="D18" s="8"/>
      <c r="E18" s="26">
        <v>2.6000000000000001</v>
      </c>
      <c r="F18" s="8"/>
      <c r="G18" s="26">
        <v>4.9000000000000004</v>
      </c>
      <c r="H18" s="8"/>
      <c r="I18" s="26">
        <v>4.0999999999999996</v>
      </c>
      <c r="J18" s="8"/>
      <c r="K18" s="26">
        <v>4.2000000000000002</v>
      </c>
      <c r="L18" s="8"/>
      <c r="M18" s="26">
        <v>4.5</v>
      </c>
      <c r="N18" s="8"/>
      <c r="O18" s="26">
        <v>1.5</v>
      </c>
      <c r="P18" s="8"/>
      <c r="Q18" s="26">
        <v>1.2</v>
      </c>
      <c r="R18" s="8"/>
      <c r="S18" s="26">
        <v>-1.2</v>
      </c>
      <c r="T18" s="8"/>
      <c r="U18" s="26">
        <v>-1.3999999999999999</v>
      </c>
      <c r="V18" s="8"/>
      <c r="W18" s="26">
        <v>-0.69999999999999996</v>
      </c>
      <c r="X18" s="8"/>
      <c r="Y18" s="26">
        <v>-0.5</v>
      </c>
      <c r="Z18" s="8"/>
      <c r="AA18" s="26">
        <v>2</v>
      </c>
      <c r="AB18" s="8"/>
      <c r="AC18" s="8"/>
    </row>
    <row r="19" ht="12" customHeight="1">
      <c r="A19" s="8" t="s">
        <v>99</v>
      </c>
      <c r="B19" s="8" t="s">
        <v>535</v>
      </c>
      <c r="C19" s="26">
        <v>3.2000000000000002</v>
      </c>
      <c r="D19" s="8"/>
      <c r="E19" s="26">
        <v>4.9000000000000004</v>
      </c>
      <c r="F19" s="8"/>
      <c r="G19" s="26">
        <v>3.7000000000000002</v>
      </c>
      <c r="H19" s="8"/>
      <c r="I19" s="26">
        <v>1.5</v>
      </c>
      <c r="J19" s="8"/>
      <c r="K19" s="26">
        <v>1.6000000000000001</v>
      </c>
      <c r="L19" s="8"/>
      <c r="M19" s="26">
        <v>0.20000000000000001</v>
      </c>
      <c r="N19" s="8"/>
      <c r="O19" s="26">
        <v>0.69999999999999996</v>
      </c>
      <c r="P19" s="8"/>
      <c r="Q19" s="26">
        <v>1.5</v>
      </c>
      <c r="R19" s="8"/>
      <c r="S19" s="26">
        <v>1.1000000000000001</v>
      </c>
      <c r="T19" s="8"/>
      <c r="U19" s="26">
        <v>3.7999999999999998</v>
      </c>
      <c r="V19" s="8"/>
      <c r="W19" s="26">
        <v>-0.5</v>
      </c>
      <c r="X19" s="8"/>
      <c r="Y19" s="26">
        <v>1.1000000000000001</v>
      </c>
      <c r="Z19" s="8"/>
      <c r="AA19" s="26">
        <v>1</v>
      </c>
      <c r="AB19" s="8"/>
      <c r="AC19" s="8"/>
    </row>
    <row r="20" ht="12" customHeight="1">
      <c r="A20" s="11" t="s">
        <v>101</v>
      </c>
      <c r="B20" s="8" t="s">
        <v>536</v>
      </c>
      <c r="C20" s="26">
        <v>5.0999999999999996</v>
      </c>
      <c r="D20" s="8"/>
      <c r="E20" s="26">
        <v>5.2000000000000002</v>
      </c>
      <c r="F20" s="8"/>
      <c r="G20" s="26">
        <v>5.2999999999999998</v>
      </c>
      <c r="H20" s="8"/>
      <c r="I20" s="26">
        <v>5.7999999999999998</v>
      </c>
      <c r="J20" s="8"/>
      <c r="K20" s="26">
        <v>6</v>
      </c>
      <c r="L20" s="8"/>
      <c r="M20" s="26">
        <v>5.5999999999999996</v>
      </c>
      <c r="N20" s="8"/>
      <c r="O20" s="26">
        <v>5.5</v>
      </c>
      <c r="P20" s="8"/>
      <c r="Q20" s="26">
        <v>6.2999999999999998</v>
      </c>
      <c r="R20" s="8"/>
      <c r="S20" s="26">
        <v>5.7999999999999998</v>
      </c>
      <c r="T20" s="8"/>
      <c r="U20" s="26">
        <v>5.7000000000000002</v>
      </c>
      <c r="V20" s="8"/>
      <c r="W20" s="26">
        <v>5.7000000000000002</v>
      </c>
      <c r="X20" s="8"/>
      <c r="Y20" s="26">
        <v>5.0999999999999996</v>
      </c>
      <c r="Z20" s="8"/>
      <c r="AA20" s="26">
        <v>4.7999999999999998</v>
      </c>
      <c r="AB20" s="8"/>
      <c r="AC20" s="8"/>
    </row>
    <row r="21" ht="12" customHeight="1">
      <c r="A21" s="8" t="s">
        <v>103</v>
      </c>
      <c r="B21" s="8" t="s">
        <v>537</v>
      </c>
      <c r="C21" s="26">
        <v>5.0999999999999996</v>
      </c>
      <c r="D21" s="8"/>
      <c r="E21" s="26">
        <v>5.0999999999999996</v>
      </c>
      <c r="F21" s="8"/>
      <c r="G21" s="26">
        <v>4.9000000000000004</v>
      </c>
      <c r="H21" s="8"/>
      <c r="I21" s="26">
        <v>5.2000000000000002</v>
      </c>
      <c r="J21" s="8"/>
      <c r="K21" s="26">
        <v>5.2000000000000002</v>
      </c>
      <c r="L21" s="8"/>
      <c r="M21" s="26">
        <v>5.2999999999999998</v>
      </c>
      <c r="N21" s="8"/>
      <c r="O21" s="26">
        <v>5.2000000000000002</v>
      </c>
      <c r="P21" s="8"/>
      <c r="Q21" s="26">
        <v>4.9000000000000004</v>
      </c>
      <c r="R21" s="8"/>
      <c r="S21" s="26">
        <v>4.5</v>
      </c>
      <c r="T21" s="8"/>
      <c r="U21" s="26">
        <v>3.8999999999999999</v>
      </c>
      <c r="V21" s="8"/>
      <c r="W21" s="26">
        <v>3.3999999999999999</v>
      </c>
      <c r="X21" s="8"/>
      <c r="Y21" s="26">
        <v>2.6000000000000001</v>
      </c>
      <c r="Z21" s="8"/>
      <c r="AA21" s="26">
        <v>1.8999999999999999</v>
      </c>
      <c r="AB21" s="8"/>
      <c r="AC21" s="8"/>
    </row>
    <row r="22" ht="12" customHeight="1">
      <c r="A22" s="8" t="s">
        <v>105</v>
      </c>
      <c r="B22" s="8" t="s">
        <v>538</v>
      </c>
      <c r="C22" s="26">
        <v>5.0999999999999996</v>
      </c>
      <c r="D22" s="8"/>
      <c r="E22" s="26">
        <v>5.0999999999999996</v>
      </c>
      <c r="F22" s="8"/>
      <c r="G22" s="26">
        <v>4.9000000000000004</v>
      </c>
      <c r="H22" s="8"/>
      <c r="I22" s="26">
        <v>5.2000000000000002</v>
      </c>
      <c r="J22" s="8"/>
      <c r="K22" s="26">
        <v>5.2000000000000002</v>
      </c>
      <c r="L22" s="8"/>
      <c r="M22" s="26">
        <v>5.2999999999999998</v>
      </c>
      <c r="N22" s="8"/>
      <c r="O22" s="26">
        <v>5.2000000000000002</v>
      </c>
      <c r="P22" s="8"/>
      <c r="Q22" s="26">
        <v>4.9000000000000004</v>
      </c>
      <c r="R22" s="8"/>
      <c r="S22" s="26">
        <v>4.5</v>
      </c>
      <c r="T22" s="8"/>
      <c r="U22" s="26">
        <v>3.8999999999999999</v>
      </c>
      <c r="V22" s="8"/>
      <c r="W22" s="26">
        <v>3.3999999999999999</v>
      </c>
      <c r="X22" s="8"/>
      <c r="Y22" s="26">
        <v>2.6000000000000001</v>
      </c>
      <c r="Z22" s="8"/>
      <c r="AA22" s="26">
        <v>1.8999999999999999</v>
      </c>
      <c r="AB22" s="8"/>
      <c r="AC22" s="8"/>
    </row>
    <row r="23" ht="12" customHeight="1">
      <c r="A23" s="8" t="s">
        <v>107</v>
      </c>
      <c r="B23" s="8" t="s">
        <v>539</v>
      </c>
      <c r="C23" s="26">
        <v>7.2999999999999998</v>
      </c>
      <c r="D23" s="8"/>
      <c r="E23" s="26">
        <v>5.5</v>
      </c>
      <c r="F23" s="8"/>
      <c r="G23" s="26">
        <v>4.7999999999999998</v>
      </c>
      <c r="H23" s="8"/>
      <c r="I23" s="26">
        <v>3.8999999999999999</v>
      </c>
      <c r="J23" s="8"/>
      <c r="K23" s="26">
        <v>3</v>
      </c>
      <c r="L23" s="8"/>
      <c r="M23" s="26">
        <v>3.3999999999999999</v>
      </c>
      <c r="N23" s="8"/>
      <c r="O23" s="26">
        <v>2.8999999999999999</v>
      </c>
      <c r="P23" s="8"/>
      <c r="Q23" s="26">
        <v>3.6000000000000001</v>
      </c>
      <c r="R23" s="8"/>
      <c r="S23" s="26">
        <v>2.7999999999999998</v>
      </c>
      <c r="T23" s="8"/>
      <c r="U23" s="26">
        <v>3.1000000000000001</v>
      </c>
      <c r="V23" s="8"/>
      <c r="W23" s="26">
        <v>1.8999999999999999</v>
      </c>
      <c r="X23" s="8"/>
      <c r="Y23" s="26">
        <v>1.1000000000000001</v>
      </c>
      <c r="Z23" s="8"/>
      <c r="AA23" s="26">
        <v>2.1000000000000001</v>
      </c>
      <c r="AB23" s="8"/>
      <c r="AC23" s="8"/>
    </row>
    <row r="24" ht="12" customHeight="1">
      <c r="A24" s="8" t="s">
        <v>109</v>
      </c>
      <c r="B24" s="8" t="s">
        <v>540</v>
      </c>
      <c r="C24" s="26">
        <v>7.2000000000000002</v>
      </c>
      <c r="D24" s="8"/>
      <c r="E24" s="26">
        <v>7.2000000000000002</v>
      </c>
      <c r="F24" s="8"/>
      <c r="G24" s="26">
        <v>7.2000000000000002</v>
      </c>
      <c r="H24" s="8"/>
      <c r="I24" s="26">
        <v>9.5999999999999996</v>
      </c>
      <c r="J24" s="8"/>
      <c r="K24" s="26">
        <v>9.5999999999999996</v>
      </c>
      <c r="L24" s="8"/>
      <c r="M24" s="26">
        <v>9.5999999999999996</v>
      </c>
      <c r="N24" s="8"/>
      <c r="O24" s="26">
        <v>9.5999999999999996</v>
      </c>
      <c r="P24" s="8"/>
      <c r="Q24" s="26">
        <v>12</v>
      </c>
      <c r="R24" s="8"/>
      <c r="S24" s="26">
        <v>12</v>
      </c>
      <c r="T24" s="8"/>
      <c r="U24" s="26">
        <v>12</v>
      </c>
      <c r="V24" s="8"/>
      <c r="W24" s="26">
        <v>11.9</v>
      </c>
      <c r="X24" s="8"/>
      <c r="Y24" s="26">
        <v>8.3000000000000007</v>
      </c>
      <c r="Z24" s="8"/>
      <c r="AA24" s="26">
        <v>8.1999999999999993</v>
      </c>
      <c r="AB24" s="8"/>
      <c r="AC24" s="8"/>
    </row>
    <row r="25" ht="12" customHeight="1">
      <c r="A25" s="8" t="s">
        <v>111</v>
      </c>
      <c r="B25" s="8" t="s">
        <v>541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9.8000000000000007</v>
      </c>
      <c r="J25" s="8"/>
      <c r="K25" s="26">
        <v>9.8000000000000007</v>
      </c>
      <c r="L25" s="8"/>
      <c r="M25" s="26">
        <v>9.8000000000000007</v>
      </c>
      <c r="N25" s="8"/>
      <c r="O25" s="26">
        <v>9.8000000000000007</v>
      </c>
      <c r="P25" s="8"/>
      <c r="Q25" s="26">
        <v>12.1</v>
      </c>
      <c r="R25" s="8"/>
      <c r="S25" s="26">
        <v>12.1</v>
      </c>
      <c r="T25" s="8"/>
      <c r="U25" s="26">
        <v>12.1</v>
      </c>
      <c r="V25" s="8"/>
      <c r="W25" s="26">
        <v>12.1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542</v>
      </c>
      <c r="C26" s="26">
        <v>2.7999999999999998</v>
      </c>
      <c r="D26" s="8"/>
      <c r="E26" s="26">
        <v>3.7000000000000002</v>
      </c>
      <c r="F26" s="8"/>
      <c r="G26" s="26">
        <v>4.5999999999999996</v>
      </c>
      <c r="H26" s="8"/>
      <c r="I26" s="26">
        <v>4.7999999999999998</v>
      </c>
      <c r="J26" s="8"/>
      <c r="K26" s="26">
        <v>5.5999999999999996</v>
      </c>
      <c r="L26" s="8"/>
      <c r="M26" s="26">
        <v>3.7999999999999998</v>
      </c>
      <c r="N26" s="8"/>
      <c r="O26" s="26">
        <v>3.7999999999999998</v>
      </c>
      <c r="P26" s="8"/>
      <c r="Q26" s="26">
        <v>6</v>
      </c>
      <c r="R26" s="8"/>
      <c r="S26" s="26">
        <v>4.7999999999999998</v>
      </c>
      <c r="T26" s="8"/>
      <c r="U26" s="26">
        <v>6.9000000000000004</v>
      </c>
      <c r="V26" s="8"/>
      <c r="W26" s="26">
        <v>9</v>
      </c>
      <c r="X26" s="8"/>
      <c r="Y26" s="26">
        <v>11.300000000000001</v>
      </c>
      <c r="Z26" s="8"/>
      <c r="AA26" s="26">
        <v>12.199999999999999</v>
      </c>
      <c r="AB26" s="8"/>
      <c r="AC26" s="8"/>
    </row>
    <row r="27" ht="12" customHeight="1">
      <c r="A27" s="8" t="s">
        <v>115</v>
      </c>
      <c r="B27" s="8" t="s">
        <v>543</v>
      </c>
      <c r="C27" s="26">
        <v>2.3999999999999999</v>
      </c>
      <c r="D27" s="8"/>
      <c r="E27" s="26">
        <v>3.2999999999999998</v>
      </c>
      <c r="F27" s="8"/>
      <c r="G27" s="26">
        <v>4.0999999999999996</v>
      </c>
      <c r="H27" s="8"/>
      <c r="I27" s="26">
        <v>4</v>
      </c>
      <c r="J27" s="8"/>
      <c r="K27" s="26">
        <v>4.9000000000000004</v>
      </c>
      <c r="L27" s="8"/>
      <c r="M27" s="26">
        <v>3</v>
      </c>
      <c r="N27" s="8"/>
      <c r="O27" s="26">
        <v>3.5</v>
      </c>
      <c r="P27" s="8"/>
      <c r="Q27" s="26">
        <v>5.9000000000000004</v>
      </c>
      <c r="R27" s="8"/>
      <c r="S27" s="26">
        <v>4.7000000000000002</v>
      </c>
      <c r="T27" s="8"/>
      <c r="U27" s="26">
        <v>6.5</v>
      </c>
      <c r="V27" s="8"/>
      <c r="W27" s="26">
        <v>8.5</v>
      </c>
      <c r="X27" s="8"/>
      <c r="Y27" s="26">
        <v>11.300000000000001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544</v>
      </c>
      <c r="C28" s="26">
        <v>8.0999999999999996</v>
      </c>
      <c r="D28" s="8"/>
      <c r="E28" s="26">
        <v>6.7000000000000002</v>
      </c>
      <c r="F28" s="8"/>
      <c r="G28" s="26">
        <v>7.7999999999999998</v>
      </c>
      <c r="H28" s="8"/>
      <c r="I28" s="26">
        <v>4.4000000000000004</v>
      </c>
      <c r="J28" s="8"/>
      <c r="K28" s="26">
        <v>1.2</v>
      </c>
      <c r="L28" s="8"/>
      <c r="M28" s="26">
        <v>0.29999999999999999</v>
      </c>
      <c r="N28" s="8"/>
      <c r="O28" s="26">
        <v>-2.2999999999999998</v>
      </c>
      <c r="P28" s="8"/>
      <c r="Q28" s="26">
        <v>-0.40000000000000002</v>
      </c>
      <c r="R28" s="8"/>
      <c r="S28" s="26">
        <v>-1.1000000000000001</v>
      </c>
      <c r="T28" s="8"/>
      <c r="U28" s="26">
        <v>0.20000000000000001</v>
      </c>
      <c r="V28" s="8"/>
      <c r="W28" s="26">
        <v>0.29999999999999999</v>
      </c>
      <c r="X28" s="8"/>
      <c r="Y28" s="26">
        <v>-1.3999999999999999</v>
      </c>
      <c r="Z28" s="8"/>
      <c r="AA28" s="26">
        <v>-0.5</v>
      </c>
      <c r="AB28" s="8"/>
      <c r="AC28" s="8"/>
    </row>
    <row r="29" ht="12" customHeight="1">
      <c r="A29" s="8" t="s">
        <v>119</v>
      </c>
      <c r="B29" s="8" t="s">
        <v>545</v>
      </c>
      <c r="C29" s="26">
        <v>7.2999999999999998</v>
      </c>
      <c r="D29" s="8"/>
      <c r="E29" s="26">
        <v>6.5</v>
      </c>
      <c r="F29" s="8"/>
      <c r="G29" s="26">
        <v>8.3000000000000007</v>
      </c>
      <c r="H29" s="8"/>
      <c r="I29" s="26">
        <v>3</v>
      </c>
      <c r="J29" s="8"/>
      <c r="K29" s="26">
        <v>-3.2000000000000002</v>
      </c>
      <c r="L29" s="8"/>
      <c r="M29" s="26">
        <v>-5.2000000000000002</v>
      </c>
      <c r="N29" s="8"/>
      <c r="O29" s="26">
        <v>-7.0999999999999996</v>
      </c>
      <c r="P29" s="8"/>
      <c r="Q29" s="26">
        <v>-2.2999999999999998</v>
      </c>
      <c r="R29" s="8"/>
      <c r="S29" s="26">
        <v>-2.2000000000000002</v>
      </c>
      <c r="T29" s="8"/>
      <c r="U29" s="26">
        <v>3.2999999999999998</v>
      </c>
      <c r="V29" s="8"/>
      <c r="W29" s="26">
        <v>0.59999999999999998</v>
      </c>
      <c r="X29" s="8"/>
      <c r="Y29" s="26">
        <v>-4.4000000000000004</v>
      </c>
      <c r="Z29" s="8"/>
      <c r="AA29" s="26">
        <v>-0.5</v>
      </c>
      <c r="AB29" s="8"/>
      <c r="AC29" s="8"/>
    </row>
    <row r="30" ht="12" customHeight="1">
      <c r="A30" s="8" t="s">
        <v>121</v>
      </c>
      <c r="B30" s="8" t="s">
        <v>546</v>
      </c>
      <c r="C30" s="26">
        <v>3.3999999999999999</v>
      </c>
      <c r="D30" s="8"/>
      <c r="E30" s="26">
        <v>6.2999999999999998</v>
      </c>
      <c r="F30" s="8"/>
      <c r="G30" s="26">
        <v>1.1000000000000001</v>
      </c>
      <c r="H30" s="8"/>
      <c r="I30" s="26">
        <v>1.6000000000000001</v>
      </c>
      <c r="J30" s="8"/>
      <c r="K30" s="26">
        <v>4.2999999999999998</v>
      </c>
      <c r="L30" s="8"/>
      <c r="M30" s="26">
        <v>0.59999999999999998</v>
      </c>
      <c r="N30" s="8"/>
      <c r="O30" s="26">
        <v>8.6999999999999993</v>
      </c>
      <c r="P30" s="8"/>
      <c r="Q30" s="26">
        <v>8.4000000000000004</v>
      </c>
      <c r="R30" s="8"/>
      <c r="S30" s="26">
        <v>-4.0999999999999996</v>
      </c>
      <c r="T30" s="8"/>
      <c r="U30" s="26">
        <v>1.6000000000000001</v>
      </c>
      <c r="V30" s="8"/>
      <c r="W30" s="26">
        <v>-2.5</v>
      </c>
      <c r="X30" s="8"/>
      <c r="Y30" s="26">
        <v>-0.40000000000000002</v>
      </c>
      <c r="Z30" s="8"/>
      <c r="AA30" s="26">
        <v>4.9000000000000004</v>
      </c>
      <c r="AB30" s="8"/>
      <c r="AC30" s="8"/>
    </row>
    <row r="31" ht="12" customHeight="1">
      <c r="A31" s="8" t="s">
        <v>123</v>
      </c>
      <c r="B31" s="8" t="s">
        <v>547</v>
      </c>
      <c r="C31" s="26">
        <v>5.2999999999999998</v>
      </c>
      <c r="D31" s="8"/>
      <c r="E31" s="26">
        <v>1.7</v>
      </c>
      <c r="F31" s="8"/>
      <c r="G31" s="26">
        <v>4.5999999999999996</v>
      </c>
      <c r="H31" s="8"/>
      <c r="I31" s="26">
        <v>3.1000000000000001</v>
      </c>
      <c r="J31" s="8"/>
      <c r="K31" s="26">
        <v>0.69999999999999996</v>
      </c>
      <c r="L31" s="8"/>
      <c r="M31" s="26">
        <v>0.40000000000000002</v>
      </c>
      <c r="N31" s="8"/>
      <c r="O31" s="26">
        <v>-4.2000000000000002</v>
      </c>
      <c r="P31" s="8"/>
      <c r="Q31" s="26">
        <v>-4.4000000000000004</v>
      </c>
      <c r="R31" s="8"/>
      <c r="S31" s="26">
        <v>-2.6000000000000001</v>
      </c>
      <c r="T31" s="8"/>
      <c r="U31" s="26">
        <v>-2.6000000000000001</v>
      </c>
      <c r="V31" s="8"/>
      <c r="W31" s="26">
        <v>-1.3</v>
      </c>
      <c r="X31" s="8"/>
      <c r="Y31" s="26">
        <v>-0.29999999999999999</v>
      </c>
      <c r="Z31" s="8"/>
      <c r="AA31" s="26">
        <v>-1.3</v>
      </c>
      <c r="AB31" s="8"/>
      <c r="AC31" s="8"/>
    </row>
    <row r="32" ht="12" customHeight="1">
      <c r="A32" s="8" t="s">
        <v>125</v>
      </c>
      <c r="B32" s="8" t="s">
        <v>548</v>
      </c>
      <c r="C32" s="26">
        <v>11.699999999999999</v>
      </c>
      <c r="D32" s="8"/>
      <c r="E32" s="26">
        <v>8.6999999999999993</v>
      </c>
      <c r="F32" s="8"/>
      <c r="G32" s="26">
        <v>9.4000000000000004</v>
      </c>
      <c r="H32" s="8"/>
      <c r="I32" s="26">
        <v>5</v>
      </c>
      <c r="J32" s="8"/>
      <c r="K32" s="26">
        <v>4.0999999999999996</v>
      </c>
      <c r="L32" s="8"/>
      <c r="M32" s="26">
        <v>7.7999999999999998</v>
      </c>
      <c r="N32" s="8"/>
      <c r="O32" s="26">
        <v>3.2000000000000002</v>
      </c>
      <c r="P32" s="8"/>
      <c r="Q32" s="26">
        <v>2.2999999999999998</v>
      </c>
      <c r="R32" s="8"/>
      <c r="S32" s="26">
        <v>-2.2000000000000002</v>
      </c>
      <c r="T32" s="8"/>
      <c r="U32" s="26">
        <v>-0.80000000000000004</v>
      </c>
      <c r="V32" s="8"/>
      <c r="W32" s="26">
        <v>-0.80000000000000004</v>
      </c>
      <c r="X32" s="8"/>
      <c r="Y32" s="26">
        <v>1</v>
      </c>
      <c r="Z32" s="8"/>
      <c r="AA32" s="26">
        <v>-2.7999999999999998</v>
      </c>
      <c r="AB32" s="8"/>
      <c r="AC32" s="8"/>
    </row>
    <row r="33" ht="12" customHeight="1">
      <c r="A33" s="8" t="s">
        <v>127</v>
      </c>
      <c r="B33" s="8" t="s">
        <v>549</v>
      </c>
      <c r="C33" s="26">
        <v>9</v>
      </c>
      <c r="D33" s="8"/>
      <c r="E33" s="26">
        <v>7.7000000000000002</v>
      </c>
      <c r="F33" s="8"/>
      <c r="G33" s="26">
        <v>8.0999999999999996</v>
      </c>
      <c r="H33" s="8"/>
      <c r="I33" s="26">
        <v>6.0999999999999996</v>
      </c>
      <c r="J33" s="8"/>
      <c r="K33" s="26">
        <v>4</v>
      </c>
      <c r="L33" s="8"/>
      <c r="M33" s="26">
        <v>4.2999999999999998</v>
      </c>
      <c r="N33" s="8"/>
      <c r="O33" s="26">
        <v>-2.5</v>
      </c>
      <c r="P33" s="8"/>
      <c r="Q33" s="26">
        <v>-2.6000000000000001</v>
      </c>
      <c r="R33" s="8"/>
      <c r="S33" s="26">
        <v>-2.5</v>
      </c>
      <c r="T33" s="8"/>
      <c r="U33" s="26">
        <v>-4</v>
      </c>
      <c r="V33" s="8"/>
      <c r="W33" s="26">
        <v>-0.80000000000000004</v>
      </c>
      <c r="X33" s="8"/>
      <c r="Y33" s="26">
        <v>-1</v>
      </c>
      <c r="Z33" s="8"/>
      <c r="AA33" s="26">
        <v>-3.1000000000000001</v>
      </c>
      <c r="AB33" s="8"/>
      <c r="AC33" s="8"/>
    </row>
    <row r="34" ht="12" customHeight="1">
      <c r="A34" s="8" t="s">
        <v>129</v>
      </c>
      <c r="B34" s="8" t="s">
        <v>550</v>
      </c>
      <c r="C34" s="26">
        <v>11.300000000000001</v>
      </c>
      <c r="D34" s="8"/>
      <c r="E34" s="26">
        <v>10.5</v>
      </c>
      <c r="F34" s="8"/>
      <c r="G34" s="26">
        <v>11.1</v>
      </c>
      <c r="H34" s="8"/>
      <c r="I34" s="26">
        <v>6.5</v>
      </c>
      <c r="J34" s="8"/>
      <c r="K34" s="26">
        <v>3.2000000000000002</v>
      </c>
      <c r="L34" s="8"/>
      <c r="M34" s="26">
        <v>2.1000000000000001</v>
      </c>
      <c r="N34" s="8"/>
      <c r="O34" s="26">
        <v>0.5</v>
      </c>
      <c r="P34" s="8"/>
      <c r="Q34" s="26">
        <v>3</v>
      </c>
      <c r="R34" s="8"/>
      <c r="S34" s="26">
        <v>3</v>
      </c>
      <c r="T34" s="8"/>
      <c r="U34" s="26">
        <v>1</v>
      </c>
      <c r="V34" s="8"/>
      <c r="W34" s="26">
        <v>1.8999999999999999</v>
      </c>
      <c r="X34" s="8"/>
      <c r="Y34" s="26">
        <v>-0.20000000000000001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551</v>
      </c>
      <c r="C35" s="26">
        <v>5.7999999999999998</v>
      </c>
      <c r="D35" s="8"/>
      <c r="E35" s="26">
        <v>5.5999999999999996</v>
      </c>
      <c r="F35" s="8"/>
      <c r="G35" s="26">
        <v>5.5</v>
      </c>
      <c r="H35" s="8"/>
      <c r="I35" s="26">
        <v>2.8999999999999999</v>
      </c>
      <c r="J35" s="8"/>
      <c r="K35" s="26">
        <v>3.7000000000000002</v>
      </c>
      <c r="L35" s="8"/>
      <c r="M35" s="26">
        <v>5</v>
      </c>
      <c r="N35" s="8"/>
      <c r="O35" s="26">
        <v>3.7999999999999998</v>
      </c>
      <c r="P35" s="8"/>
      <c r="Q35" s="26">
        <v>9.6999999999999993</v>
      </c>
      <c r="R35" s="8"/>
      <c r="S35" s="26">
        <v>7</v>
      </c>
      <c r="T35" s="8"/>
      <c r="U35" s="26">
        <v>5.2999999999999998</v>
      </c>
      <c r="V35" s="8"/>
      <c r="W35" s="26">
        <v>4.9000000000000004</v>
      </c>
      <c r="X35" s="8"/>
      <c r="Y35" s="26">
        <v>0.5</v>
      </c>
      <c r="Z35" s="8"/>
      <c r="AA35" s="26">
        <v>0.40000000000000002</v>
      </c>
      <c r="AB35" s="8"/>
      <c r="AC35" s="8"/>
    </row>
    <row r="36" ht="12" customHeight="1">
      <c r="A36" s="8" t="s">
        <v>133</v>
      </c>
      <c r="B36" s="8" t="s">
        <v>552</v>
      </c>
      <c r="C36" s="26">
        <v>6</v>
      </c>
      <c r="D36" s="8"/>
      <c r="E36" s="26">
        <v>4.0999999999999996</v>
      </c>
      <c r="F36" s="8"/>
      <c r="G36" s="26">
        <v>5.7999999999999998</v>
      </c>
      <c r="H36" s="8"/>
      <c r="I36" s="26">
        <v>-5.5999999999999996</v>
      </c>
      <c r="J36" s="8"/>
      <c r="K36" s="26">
        <v>-6.9000000000000004</v>
      </c>
      <c r="L36" s="8"/>
      <c r="M36" s="26">
        <v>-7.7999999999999998</v>
      </c>
      <c r="N36" s="8"/>
      <c r="O36" s="26">
        <v>-8.8000000000000007</v>
      </c>
      <c r="P36" s="8"/>
      <c r="Q36" s="26">
        <v>12.800000000000001</v>
      </c>
      <c r="R36" s="8"/>
      <c r="S36" s="26">
        <v>8.0999999999999996</v>
      </c>
      <c r="T36" s="8"/>
      <c r="U36" s="26">
        <v>9</v>
      </c>
      <c r="V36" s="8"/>
      <c r="W36" s="26">
        <v>8</v>
      </c>
      <c r="X36" s="8"/>
      <c r="Y36" s="26">
        <v>-6.5999999999999996</v>
      </c>
      <c r="Z36" s="8"/>
      <c r="AA36" s="26">
        <v>-5</v>
      </c>
      <c r="AB36" s="8"/>
      <c r="AC36" s="8"/>
    </row>
    <row r="37" ht="12" customHeight="1">
      <c r="A37" s="8" t="s">
        <v>135</v>
      </c>
      <c r="B37" s="8" t="s">
        <v>553</v>
      </c>
      <c r="C37" s="26">
        <v>5.0999999999999996</v>
      </c>
      <c r="D37" s="8"/>
      <c r="E37" s="26">
        <v>4.9000000000000004</v>
      </c>
      <c r="F37" s="8"/>
      <c r="G37" s="26">
        <v>4.7000000000000002</v>
      </c>
      <c r="H37" s="8"/>
      <c r="I37" s="26">
        <v>4.5999999999999996</v>
      </c>
      <c r="J37" s="8"/>
      <c r="K37" s="26">
        <v>5.5</v>
      </c>
      <c r="L37" s="8"/>
      <c r="M37" s="26">
        <v>8</v>
      </c>
      <c r="N37" s="8"/>
      <c r="O37" s="26">
        <v>6.7999999999999998</v>
      </c>
      <c r="P37" s="8"/>
      <c r="Q37" s="26">
        <v>6.7000000000000002</v>
      </c>
      <c r="R37" s="8"/>
      <c r="S37" s="26">
        <v>5.0999999999999996</v>
      </c>
      <c r="T37" s="8"/>
      <c r="U37" s="26">
        <v>2.6000000000000001</v>
      </c>
      <c r="V37" s="8"/>
      <c r="W37" s="26">
        <v>2.7999999999999998</v>
      </c>
      <c r="X37" s="8"/>
      <c r="Y37" s="26">
        <v>3.7000000000000002</v>
      </c>
      <c r="Z37" s="8"/>
      <c r="AA37" s="26">
        <v>3.3999999999999999</v>
      </c>
      <c r="AB37" s="8"/>
      <c r="AC37" s="8"/>
    </row>
    <row r="38" ht="12" customHeight="1">
      <c r="A38" s="8" t="s">
        <v>137</v>
      </c>
      <c r="B38" s="8" t="s">
        <v>554</v>
      </c>
      <c r="C38" s="26">
        <v>8.3000000000000007</v>
      </c>
      <c r="D38" s="8"/>
      <c r="E38" s="26">
        <v>10.199999999999999</v>
      </c>
      <c r="F38" s="8"/>
      <c r="G38" s="26">
        <v>7.2999999999999998</v>
      </c>
      <c r="H38" s="8"/>
      <c r="I38" s="26">
        <v>9.5999999999999996</v>
      </c>
      <c r="J38" s="8"/>
      <c r="K38" s="26">
        <v>13.4</v>
      </c>
      <c r="L38" s="8"/>
      <c r="M38" s="26">
        <v>13.6</v>
      </c>
      <c r="N38" s="8"/>
      <c r="O38" s="26">
        <v>11.800000000000001</v>
      </c>
      <c r="P38" s="8"/>
      <c r="Q38" s="26">
        <v>15.1</v>
      </c>
      <c r="R38" s="8"/>
      <c r="S38" s="26">
        <v>11.1</v>
      </c>
      <c r="T38" s="8"/>
      <c r="U38" s="26">
        <v>9</v>
      </c>
      <c r="V38" s="8"/>
      <c r="W38" s="26">
        <v>9.0999999999999996</v>
      </c>
      <c r="X38" s="8"/>
      <c r="Y38" s="26">
        <v>3.6000000000000001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555</v>
      </c>
      <c r="C39" s="26">
        <v>7.2999999999999998</v>
      </c>
      <c r="D39" s="8"/>
      <c r="E39" s="26">
        <v>1.3</v>
      </c>
      <c r="F39" s="8"/>
      <c r="G39" s="26">
        <v>-3.2999999999999998</v>
      </c>
      <c r="H39" s="8"/>
      <c r="I39" s="26">
        <v>4.4000000000000004</v>
      </c>
      <c r="J39" s="8"/>
      <c r="K39" s="26">
        <v>4.5</v>
      </c>
      <c r="L39" s="8"/>
      <c r="M39" s="26">
        <v>4</v>
      </c>
      <c r="N39" s="8"/>
      <c r="O39" s="26">
        <v>5.2999999999999998</v>
      </c>
      <c r="P39" s="8"/>
      <c r="Q39" s="26">
        <v>-5.2999999999999998</v>
      </c>
      <c r="R39" s="8"/>
      <c r="S39" s="26">
        <v>-3.8999999999999999</v>
      </c>
      <c r="T39" s="8"/>
      <c r="U39" s="26">
        <v>-0.5</v>
      </c>
      <c r="V39" s="8"/>
      <c r="W39" s="26">
        <v>-1.7</v>
      </c>
      <c r="X39" s="8"/>
      <c r="Y39" s="26">
        <v>1.6000000000000001</v>
      </c>
      <c r="Z39" s="8"/>
      <c r="AA39" s="26">
        <v>2.6000000000000001</v>
      </c>
      <c r="AB39" s="8"/>
      <c r="AC39" s="8"/>
    </row>
    <row r="40" ht="12" customHeight="1">
      <c r="A40" s="8" t="s">
        <v>141</v>
      </c>
      <c r="B40" s="8" t="s">
        <v>556</v>
      </c>
      <c r="C40" s="26">
        <v>2.2999999999999998</v>
      </c>
      <c r="D40" s="8"/>
      <c r="E40" s="26">
        <v>0.29999999999999999</v>
      </c>
      <c r="F40" s="8"/>
      <c r="G40" s="26">
        <v>1.6000000000000001</v>
      </c>
      <c r="H40" s="8"/>
      <c r="I40" s="26">
        <v>4.7000000000000002</v>
      </c>
      <c r="J40" s="8"/>
      <c r="K40" s="26">
        <v>2.2000000000000002</v>
      </c>
      <c r="L40" s="8"/>
      <c r="M40" s="26">
        <v>0.40000000000000002</v>
      </c>
      <c r="N40" s="8"/>
      <c r="O40" s="26">
        <v>-4</v>
      </c>
      <c r="P40" s="8"/>
      <c r="Q40" s="26">
        <v>-8.3000000000000007</v>
      </c>
      <c r="R40" s="8"/>
      <c r="S40" s="26">
        <v>-3.7000000000000002</v>
      </c>
      <c r="T40" s="8"/>
      <c r="U40" s="26">
        <v>-2.7000000000000002</v>
      </c>
      <c r="V40" s="8"/>
      <c r="W40" s="26">
        <v>1.8</v>
      </c>
      <c r="X40" s="8"/>
      <c r="Y40" s="26">
        <v>3.8999999999999999</v>
      </c>
      <c r="Z40" s="8"/>
      <c r="AA40" s="26">
        <v>1.3</v>
      </c>
      <c r="AB40" s="8"/>
      <c r="AC40" s="8"/>
    </row>
    <row r="41" ht="12" customHeight="1">
      <c r="A41" s="8" t="s">
        <v>143</v>
      </c>
      <c r="B41" s="8" t="s">
        <v>557</v>
      </c>
      <c r="C41" s="26">
        <v>4.5999999999999996</v>
      </c>
      <c r="D41" s="8"/>
      <c r="E41" s="26">
        <v>-4.0999999999999996</v>
      </c>
      <c r="F41" s="8"/>
      <c r="G41" s="26">
        <v>-10.199999999999999</v>
      </c>
      <c r="H41" s="8"/>
      <c r="I41" s="26">
        <v>3.5</v>
      </c>
      <c r="J41" s="8"/>
      <c r="K41" s="26">
        <v>8.6999999999999993</v>
      </c>
      <c r="L41" s="8"/>
      <c r="M41" s="26">
        <v>9.3000000000000007</v>
      </c>
      <c r="N41" s="8"/>
      <c r="O41" s="26">
        <v>12.5</v>
      </c>
      <c r="P41" s="8"/>
      <c r="Q41" s="26">
        <v>-3.8999999999999999</v>
      </c>
      <c r="R41" s="8"/>
      <c r="S41" s="26">
        <v>-5.0999999999999996</v>
      </c>
      <c r="T41" s="8"/>
      <c r="U41" s="26">
        <v>-0.40000000000000002</v>
      </c>
      <c r="V41" s="8"/>
      <c r="W41" s="26">
        <v>-4</v>
      </c>
      <c r="X41" s="8"/>
      <c r="Y41" s="26">
        <v>0.59999999999999998</v>
      </c>
      <c r="Z41" s="8"/>
      <c r="AA41" s="26">
        <v>3.3999999999999999</v>
      </c>
      <c r="AB41" s="8"/>
      <c r="AC41" s="8"/>
    </row>
    <row r="42" ht="12" customHeight="1">
      <c r="A42" s="8" t="s">
        <v>145</v>
      </c>
      <c r="B42" s="8" t="s">
        <v>558</v>
      </c>
      <c r="C42" s="26">
        <v>2.3999999999999999</v>
      </c>
      <c r="D42" s="8"/>
      <c r="E42" s="26">
        <v>-8.3000000000000007</v>
      </c>
      <c r="F42" s="8"/>
      <c r="G42" s="26">
        <v>-15</v>
      </c>
      <c r="H42" s="8"/>
      <c r="I42" s="26">
        <v>3.8999999999999999</v>
      </c>
      <c r="J42" s="8"/>
      <c r="K42" s="26">
        <v>11.699999999999999</v>
      </c>
      <c r="L42" s="8"/>
      <c r="M42" s="26">
        <v>12.1</v>
      </c>
      <c r="N42" s="8"/>
      <c r="O42" s="26">
        <v>14.6</v>
      </c>
      <c r="P42" s="8"/>
      <c r="Q42" s="26">
        <v>-7.7999999999999998</v>
      </c>
      <c r="R42" s="8"/>
      <c r="S42" s="26">
        <v>-9.0999999999999996</v>
      </c>
      <c r="T42" s="8"/>
      <c r="U42" s="26">
        <v>-2.7000000000000002</v>
      </c>
      <c r="V42" s="8"/>
      <c r="W42" s="26">
        <v>-8</v>
      </c>
      <c r="X42" s="8"/>
      <c r="Y42" s="26">
        <v>-1.6000000000000001</v>
      </c>
      <c r="Z42" s="8"/>
      <c r="AA42" s="26">
        <v>2.2000000000000002</v>
      </c>
      <c r="AB42" s="8"/>
      <c r="AC42" s="8"/>
    </row>
    <row r="43" ht="12" customHeight="1">
      <c r="A43" s="8" t="s">
        <v>147</v>
      </c>
      <c r="B43" s="8" t="s">
        <v>559</v>
      </c>
      <c r="C43" s="26">
        <v>14.9</v>
      </c>
      <c r="D43" s="8"/>
      <c r="E43" s="26">
        <v>22.899999999999999</v>
      </c>
      <c r="F43" s="8"/>
      <c r="G43" s="26">
        <v>23</v>
      </c>
      <c r="H43" s="8"/>
      <c r="I43" s="26">
        <v>7.9000000000000004</v>
      </c>
      <c r="J43" s="8"/>
      <c r="K43" s="26">
        <v>-6.7999999999999998</v>
      </c>
      <c r="L43" s="8"/>
      <c r="M43" s="26">
        <v>-8.8000000000000007</v>
      </c>
      <c r="N43" s="8"/>
      <c r="O43" s="26">
        <v>-5.4000000000000004</v>
      </c>
      <c r="P43" s="8"/>
      <c r="Q43" s="26">
        <v>-6.5999999999999996</v>
      </c>
      <c r="R43" s="8"/>
      <c r="S43" s="26">
        <v>0.20000000000000001</v>
      </c>
      <c r="T43" s="8"/>
      <c r="U43" s="26">
        <v>2.7999999999999998</v>
      </c>
      <c r="V43" s="8"/>
      <c r="W43" s="26">
        <v>3.5</v>
      </c>
      <c r="X43" s="8"/>
      <c r="Y43" s="26">
        <v>2.3999999999999999</v>
      </c>
      <c r="Z43" s="8"/>
      <c r="AA43" s="26">
        <v>1.3999999999999999</v>
      </c>
      <c r="AB43" s="8"/>
      <c r="AC43" s="8"/>
    </row>
    <row r="44" ht="12" customHeight="1">
      <c r="A44" s="11" t="s">
        <v>149</v>
      </c>
      <c r="B44" s="8" t="s">
        <v>560</v>
      </c>
      <c r="C44" s="26">
        <v>0.5</v>
      </c>
      <c r="D44" s="8"/>
      <c r="E44" s="26">
        <v>0.69999999999999996</v>
      </c>
      <c r="F44" s="8"/>
      <c r="G44" s="26">
        <v>1.1000000000000001</v>
      </c>
      <c r="H44" s="8"/>
      <c r="I44" s="26">
        <v>1.7</v>
      </c>
      <c r="J44" s="8"/>
      <c r="K44" s="26">
        <v>3.8999999999999999</v>
      </c>
      <c r="L44" s="8"/>
      <c r="M44" s="26">
        <v>3.8999999999999999</v>
      </c>
      <c r="N44" s="8"/>
      <c r="O44" s="26">
        <v>5</v>
      </c>
      <c r="P44" s="8"/>
      <c r="Q44" s="26">
        <v>3.7000000000000002</v>
      </c>
      <c r="R44" s="8"/>
      <c r="S44" s="26">
        <v>3.3999999999999999</v>
      </c>
      <c r="T44" s="8"/>
      <c r="U44" s="26">
        <v>3.3999999999999999</v>
      </c>
      <c r="V44" s="8"/>
      <c r="W44" s="26">
        <v>2.2999999999999998</v>
      </c>
      <c r="X44" s="8"/>
      <c r="Y44" s="26">
        <v>2.8999999999999999</v>
      </c>
      <c r="Z44" s="8"/>
      <c r="AA44" s="26">
        <v>4.9000000000000004</v>
      </c>
      <c r="AB44" s="8"/>
      <c r="AC44" s="8"/>
    </row>
    <row r="45" ht="12" customHeight="1">
      <c r="A45" s="8" t="s">
        <v>151</v>
      </c>
      <c r="B45" s="8" t="s">
        <v>561</v>
      </c>
      <c r="C45" s="26">
        <v>10.9</v>
      </c>
      <c r="D45" s="8"/>
      <c r="E45" s="26">
        <v>10.800000000000001</v>
      </c>
      <c r="F45" s="8"/>
      <c r="G45" s="26">
        <v>9.0999999999999996</v>
      </c>
      <c r="H45" s="8"/>
      <c r="I45" s="26">
        <v>8.3000000000000007</v>
      </c>
      <c r="J45" s="8"/>
      <c r="K45" s="26">
        <v>8.3000000000000007</v>
      </c>
      <c r="L45" s="8"/>
      <c r="M45" s="26">
        <v>7.0999999999999996</v>
      </c>
      <c r="N45" s="8"/>
      <c r="O45" s="26">
        <v>7.2999999999999998</v>
      </c>
      <c r="P45" s="8"/>
      <c r="Q45" s="26">
        <v>2.5</v>
      </c>
      <c r="R45" s="8"/>
      <c r="S45" s="26">
        <v>2</v>
      </c>
      <c r="T45" s="8"/>
      <c r="U45" s="26">
        <v>2.3999999999999999</v>
      </c>
      <c r="V45" s="8"/>
      <c r="W45" s="26">
        <v>3.5</v>
      </c>
      <c r="X45" s="8"/>
      <c r="Y45" s="26">
        <v>8.1999999999999993</v>
      </c>
      <c r="Z45" s="8"/>
      <c r="AA45" s="26">
        <v>8.4000000000000004</v>
      </c>
      <c r="AB45" s="8"/>
      <c r="AC45" s="8"/>
    </row>
    <row r="46" ht="12" customHeight="1">
      <c r="A46" s="8" t="s">
        <v>153</v>
      </c>
      <c r="B46" s="8" t="s">
        <v>562</v>
      </c>
      <c r="C46" s="26">
        <v>-15.300000000000001</v>
      </c>
      <c r="D46" s="8"/>
      <c r="E46" s="26">
        <v>-10.300000000000001</v>
      </c>
      <c r="F46" s="8"/>
      <c r="G46" s="26">
        <v>-24.699999999999999</v>
      </c>
      <c r="H46" s="8"/>
      <c r="I46" s="26">
        <v>-14.800000000000001</v>
      </c>
      <c r="J46" s="8"/>
      <c r="K46" s="26">
        <v>-0.69999999999999996</v>
      </c>
      <c r="L46" s="8"/>
      <c r="M46" s="26">
        <v>-4.9000000000000004</v>
      </c>
      <c r="N46" s="8"/>
      <c r="O46" s="26">
        <v>13.9</v>
      </c>
      <c r="P46" s="8"/>
      <c r="Q46" s="26">
        <v>3.7000000000000002</v>
      </c>
      <c r="R46" s="8"/>
      <c r="S46" s="26">
        <v>-11</v>
      </c>
      <c r="T46" s="8"/>
      <c r="U46" s="26">
        <v>-13.199999999999999</v>
      </c>
      <c r="V46" s="8"/>
      <c r="W46" s="26">
        <v>-25.399999999999999</v>
      </c>
      <c r="X46" s="8"/>
      <c r="Y46" s="26">
        <v>-15.5</v>
      </c>
      <c r="Z46" s="8"/>
      <c r="AA46" s="26">
        <v>-5.2000000000000002</v>
      </c>
      <c r="AB46" s="8"/>
      <c r="AC46" s="8"/>
    </row>
    <row r="47" ht="12" customHeight="1">
      <c r="A47" s="8" t="s">
        <v>155</v>
      </c>
      <c r="B47" s="8" t="s">
        <v>563</v>
      </c>
      <c r="C47" s="26">
        <v>2</v>
      </c>
      <c r="D47" s="8"/>
      <c r="E47" s="26">
        <v>1.7</v>
      </c>
      <c r="F47" s="8"/>
      <c r="G47" s="26">
        <v>4</v>
      </c>
      <c r="H47" s="8"/>
      <c r="I47" s="26">
        <v>3.1000000000000001</v>
      </c>
      <c r="J47" s="8"/>
      <c r="K47" s="26">
        <v>4.0999999999999996</v>
      </c>
      <c r="L47" s="8"/>
      <c r="M47" s="26">
        <v>4.7000000000000002</v>
      </c>
      <c r="N47" s="8"/>
      <c r="O47" s="26">
        <v>4.0999999999999996</v>
      </c>
      <c r="P47" s="8"/>
      <c r="Q47" s="26">
        <v>3.7999999999999998</v>
      </c>
      <c r="R47" s="8"/>
      <c r="S47" s="26">
        <v>4.7999999999999998</v>
      </c>
      <c r="T47" s="8"/>
      <c r="U47" s="26">
        <v>5.7000000000000002</v>
      </c>
      <c r="V47" s="8"/>
      <c r="W47" s="26">
        <v>6.9000000000000004</v>
      </c>
      <c r="X47" s="8"/>
      <c r="Y47" s="26">
        <v>6.4000000000000004</v>
      </c>
      <c r="Z47" s="8"/>
      <c r="AA47" s="26">
        <v>7</v>
      </c>
      <c r="AB47" s="8"/>
      <c r="AC47" s="8"/>
    </row>
    <row r="48" ht="12" customHeight="1">
      <c r="A48" s="11" t="s">
        <v>157</v>
      </c>
      <c r="B48" s="8" t="s">
        <v>564</v>
      </c>
      <c r="C48" s="26">
        <v>5.0999999999999996</v>
      </c>
      <c r="D48" s="8"/>
      <c r="E48" s="26">
        <v>6.9000000000000004</v>
      </c>
      <c r="F48" s="8"/>
      <c r="G48" s="26">
        <v>6.7000000000000002</v>
      </c>
      <c r="H48" s="8"/>
      <c r="I48" s="26">
        <v>6.0999999999999996</v>
      </c>
      <c r="J48" s="8"/>
      <c r="K48" s="26">
        <v>3.7999999999999998</v>
      </c>
      <c r="L48" s="8"/>
      <c r="M48" s="26">
        <v>5.0999999999999996</v>
      </c>
      <c r="N48" s="8"/>
      <c r="O48" s="26">
        <v>2.3999999999999999</v>
      </c>
      <c r="P48" s="8"/>
      <c r="Q48" s="26">
        <v>2.1000000000000001</v>
      </c>
      <c r="R48" s="8"/>
      <c r="S48" s="26">
        <v>3</v>
      </c>
      <c r="T48" s="8"/>
      <c r="U48" s="26">
        <v>0.29999999999999999</v>
      </c>
      <c r="V48" s="8"/>
      <c r="W48" s="26">
        <v>3</v>
      </c>
      <c r="X48" s="8"/>
      <c r="Y48" s="26">
        <v>3.2000000000000002</v>
      </c>
      <c r="Z48" s="8"/>
      <c r="AA48" s="26">
        <v>2.3999999999999999</v>
      </c>
      <c r="AB48" s="8"/>
      <c r="AC48" s="8"/>
    </row>
    <row r="49" ht="12" customHeight="1">
      <c r="A49" s="8" t="s">
        <v>159</v>
      </c>
      <c r="B49" s="8" t="s">
        <v>565</v>
      </c>
      <c r="C49" s="26">
        <v>-5.2999999999999998</v>
      </c>
      <c r="D49" s="8"/>
      <c r="E49" s="26">
        <v>-3.2000000000000002</v>
      </c>
      <c r="F49" s="8"/>
      <c r="G49" s="26">
        <v>-6.7999999999999998</v>
      </c>
      <c r="H49" s="8"/>
      <c r="I49" s="26">
        <v>-8.6999999999999993</v>
      </c>
      <c r="J49" s="8"/>
      <c r="K49" s="26">
        <v>-8.3000000000000007</v>
      </c>
      <c r="L49" s="8"/>
      <c r="M49" s="26">
        <v>-11.9</v>
      </c>
      <c r="N49" s="8"/>
      <c r="O49" s="26">
        <v>-5.5999999999999996</v>
      </c>
      <c r="P49" s="8"/>
      <c r="Q49" s="26">
        <v>-5.4000000000000004</v>
      </c>
      <c r="R49" s="8"/>
      <c r="S49" s="26">
        <v>-6.0999999999999996</v>
      </c>
      <c r="T49" s="8"/>
      <c r="U49" s="26">
        <v>-5.2999999999999998</v>
      </c>
      <c r="V49" s="8"/>
      <c r="W49" s="26">
        <v>-13.1</v>
      </c>
      <c r="X49" s="8"/>
      <c r="Y49" s="26">
        <v>-14</v>
      </c>
      <c r="Z49" s="8"/>
      <c r="AA49" s="26">
        <v>-11.4</v>
      </c>
      <c r="AB49" s="8"/>
      <c r="AC49" s="8"/>
    </row>
    <row r="50" ht="12" customHeight="1">
      <c r="A50" s="8" t="s">
        <v>161</v>
      </c>
      <c r="B50" s="8" t="s">
        <v>566</v>
      </c>
      <c r="C50" s="26">
        <v>8.6999999999999993</v>
      </c>
      <c r="D50" s="8"/>
      <c r="E50" s="26">
        <v>8.5</v>
      </c>
      <c r="F50" s="8"/>
      <c r="G50" s="26">
        <v>5.9000000000000004</v>
      </c>
      <c r="H50" s="8"/>
      <c r="I50" s="26">
        <v>2.7000000000000002</v>
      </c>
      <c r="J50" s="8"/>
      <c r="K50" s="26">
        <v>-1.3999999999999999</v>
      </c>
      <c r="L50" s="8"/>
      <c r="M50" s="26">
        <v>-0.29999999999999999</v>
      </c>
      <c r="N50" s="8"/>
      <c r="O50" s="26">
        <v>1.3</v>
      </c>
      <c r="P50" s="8"/>
      <c r="Q50" s="26">
        <v>-0.40000000000000002</v>
      </c>
      <c r="R50" s="8"/>
      <c r="S50" s="26">
        <v>0.29999999999999999</v>
      </c>
      <c r="T50" s="8"/>
      <c r="U50" s="26">
        <v>-0.69999999999999996</v>
      </c>
      <c r="V50" s="8"/>
      <c r="W50" s="26">
        <v>-0.5</v>
      </c>
      <c r="X50" s="8"/>
      <c r="Y50" s="26">
        <v>1.3999999999999999</v>
      </c>
      <c r="Z50" s="8"/>
      <c r="AA50" s="26">
        <v>3</v>
      </c>
      <c r="AB50" s="8"/>
      <c r="AC50" s="8"/>
    </row>
    <row r="51" ht="12" customHeight="1">
      <c r="A51" s="8" t="s">
        <v>163</v>
      </c>
      <c r="B51" s="8" t="s">
        <v>567</v>
      </c>
      <c r="C51" s="26">
        <v>6.2999999999999998</v>
      </c>
      <c r="D51" s="8"/>
      <c r="E51" s="26">
        <v>8.6999999999999993</v>
      </c>
      <c r="F51" s="8"/>
      <c r="G51" s="26">
        <v>8.8000000000000007</v>
      </c>
      <c r="H51" s="8"/>
      <c r="I51" s="26">
        <v>6.7999999999999998</v>
      </c>
      <c r="J51" s="8"/>
      <c r="K51" s="26">
        <v>3.3999999999999999</v>
      </c>
      <c r="L51" s="8"/>
      <c r="M51" s="26">
        <v>3.2999999999999998</v>
      </c>
      <c r="N51" s="8"/>
      <c r="O51" s="26">
        <v>-2.1000000000000001</v>
      </c>
      <c r="P51" s="8"/>
      <c r="Q51" s="26">
        <v>0.90000000000000002</v>
      </c>
      <c r="R51" s="8"/>
      <c r="S51" s="26">
        <v>3.1000000000000001</v>
      </c>
      <c r="T51" s="8"/>
      <c r="U51" s="26">
        <v>1.1000000000000001</v>
      </c>
      <c r="V51" s="8"/>
      <c r="W51" s="26">
        <v>2.2999999999999998</v>
      </c>
      <c r="X51" s="8"/>
      <c r="Y51" s="26">
        <v>0.59999999999999998</v>
      </c>
      <c r="Z51" s="8"/>
      <c r="AA51" s="26">
        <v>-1.2</v>
      </c>
      <c r="AB51" s="8"/>
      <c r="AC51" s="8"/>
    </row>
    <row r="52" ht="12" customHeight="1">
      <c r="A52" s="8" t="s">
        <v>165</v>
      </c>
      <c r="B52" s="8" t="s">
        <v>568</v>
      </c>
      <c r="C52" s="26">
        <v>2.2000000000000002</v>
      </c>
      <c r="D52" s="8"/>
      <c r="E52" s="26">
        <v>3.5</v>
      </c>
      <c r="F52" s="8"/>
      <c r="G52" s="26">
        <v>3.6000000000000001</v>
      </c>
      <c r="H52" s="8"/>
      <c r="I52" s="26">
        <v>6.5</v>
      </c>
      <c r="J52" s="8"/>
      <c r="K52" s="26">
        <v>6</v>
      </c>
      <c r="L52" s="8"/>
      <c r="M52" s="26">
        <v>7</v>
      </c>
      <c r="N52" s="8"/>
      <c r="O52" s="26">
        <v>7.7000000000000002</v>
      </c>
      <c r="P52" s="8"/>
      <c r="Q52" s="26">
        <v>6.5</v>
      </c>
      <c r="R52" s="8"/>
      <c r="S52" s="26">
        <v>5.2000000000000002</v>
      </c>
      <c r="T52" s="8"/>
      <c r="U52" s="26">
        <v>3.2000000000000002</v>
      </c>
      <c r="V52" s="8"/>
      <c r="W52" s="26">
        <v>7.5</v>
      </c>
      <c r="X52" s="8"/>
      <c r="Y52" s="26">
        <v>7.9000000000000004</v>
      </c>
      <c r="Z52" s="8"/>
      <c r="AA52" s="26">
        <v>7</v>
      </c>
      <c r="AB52" s="8"/>
      <c r="AC52" s="8"/>
    </row>
    <row r="53" ht="12" customHeight="1">
      <c r="A53" s="8" t="s">
        <v>167</v>
      </c>
      <c r="B53" s="8" t="s">
        <v>569</v>
      </c>
      <c r="C53" s="26">
        <v>4.4000000000000004</v>
      </c>
      <c r="D53" s="8"/>
      <c r="E53" s="26">
        <v>9.3000000000000007</v>
      </c>
      <c r="F53" s="8"/>
      <c r="G53" s="26">
        <v>6.9000000000000004</v>
      </c>
      <c r="H53" s="8"/>
      <c r="I53" s="26">
        <v>9.5999999999999996</v>
      </c>
      <c r="J53" s="8"/>
      <c r="K53" s="26">
        <v>6.7999999999999998</v>
      </c>
      <c r="L53" s="8"/>
      <c r="M53" s="26">
        <v>4.2999999999999998</v>
      </c>
      <c r="N53" s="8"/>
      <c r="O53" s="26">
        <v>3.2000000000000002</v>
      </c>
      <c r="P53" s="8"/>
      <c r="Q53" s="26">
        <v>1.1000000000000001</v>
      </c>
      <c r="R53" s="8"/>
      <c r="S53" s="26">
        <v>1.8999999999999999</v>
      </c>
      <c r="T53" s="8"/>
      <c r="U53" s="26">
        <v>2.5</v>
      </c>
      <c r="V53" s="8"/>
      <c r="W53" s="26">
        <v>1.2</v>
      </c>
      <c r="X53" s="8"/>
      <c r="Y53" s="26">
        <v>3.7000000000000002</v>
      </c>
      <c r="Z53" s="8"/>
      <c r="AA53" s="26">
        <v>3.3999999999999999</v>
      </c>
      <c r="AB53" s="8"/>
      <c r="AC53" s="8"/>
    </row>
    <row r="54" ht="12" customHeight="1">
      <c r="A54" s="8" t="s">
        <v>169</v>
      </c>
      <c r="B54" s="8" t="s">
        <v>570</v>
      </c>
      <c r="C54" s="26">
        <v>13.1</v>
      </c>
      <c r="D54" s="8"/>
      <c r="E54" s="26">
        <v>12.300000000000001</v>
      </c>
      <c r="F54" s="8"/>
      <c r="G54" s="26">
        <v>13.699999999999999</v>
      </c>
      <c r="H54" s="8"/>
      <c r="I54" s="26">
        <v>8.8000000000000007</v>
      </c>
      <c r="J54" s="8"/>
      <c r="K54" s="26">
        <v>5.2000000000000002</v>
      </c>
      <c r="L54" s="8"/>
      <c r="M54" s="26">
        <v>10.300000000000001</v>
      </c>
      <c r="N54" s="8"/>
      <c r="O54" s="26">
        <v>3.8999999999999999</v>
      </c>
      <c r="P54" s="8"/>
      <c r="Q54" s="26">
        <v>1.1000000000000001</v>
      </c>
      <c r="R54" s="8"/>
      <c r="S54" s="26">
        <v>3.2000000000000002</v>
      </c>
      <c r="T54" s="8"/>
      <c r="U54" s="26">
        <v>-1.2</v>
      </c>
      <c r="V54" s="8"/>
      <c r="W54" s="26">
        <v>5.2999999999999998</v>
      </c>
      <c r="X54" s="8"/>
      <c r="Y54" s="26">
        <v>7.2999999999999998</v>
      </c>
      <c r="Z54" s="8"/>
      <c r="AA54" s="26">
        <v>7.0999999999999996</v>
      </c>
      <c r="AB54" s="8"/>
      <c r="AC54" s="8"/>
    </row>
    <row r="55" ht="12" customHeight="1">
      <c r="A55" s="11" t="s">
        <v>171</v>
      </c>
      <c r="B55" s="8" t="s">
        <v>571</v>
      </c>
      <c r="C55" s="26">
        <v>3</v>
      </c>
      <c r="D55" s="8"/>
      <c r="E55" s="26">
        <v>3.7000000000000002</v>
      </c>
      <c r="F55" s="8"/>
      <c r="G55" s="26">
        <v>3.7000000000000002</v>
      </c>
      <c r="H55" s="8"/>
      <c r="I55" s="26">
        <v>3.7000000000000002</v>
      </c>
      <c r="J55" s="8"/>
      <c r="K55" s="26">
        <v>3.7000000000000002</v>
      </c>
      <c r="L55" s="8"/>
      <c r="M55" s="26">
        <v>4.5</v>
      </c>
      <c r="N55" s="8"/>
      <c r="O55" s="26">
        <v>4.5</v>
      </c>
      <c r="P55" s="8"/>
      <c r="Q55" s="26">
        <v>-8.1999999999999993</v>
      </c>
      <c r="R55" s="8"/>
      <c r="S55" s="26">
        <v>-8.1999999999999993</v>
      </c>
      <c r="T55" s="8"/>
      <c r="U55" s="26">
        <v>-3.6000000000000001</v>
      </c>
      <c r="V55" s="8"/>
      <c r="W55" s="26">
        <v>-3.6000000000000001</v>
      </c>
      <c r="X55" s="8"/>
      <c r="Y55" s="26">
        <v>8.5</v>
      </c>
      <c r="Z55" s="8"/>
      <c r="AA55" s="26">
        <v>8.5</v>
      </c>
      <c r="AB55" s="8"/>
      <c r="AC55" s="8"/>
    </row>
    <row r="56" ht="12" customHeight="1">
      <c r="A56" s="8" t="s">
        <v>173</v>
      </c>
      <c r="B56" s="8" t="s">
        <v>572</v>
      </c>
      <c r="C56" s="26">
        <v>4.0999999999999996</v>
      </c>
      <c r="D56" s="8"/>
      <c r="E56" s="26">
        <v>4.0999999999999996</v>
      </c>
      <c r="F56" s="8"/>
      <c r="G56" s="26">
        <v>4.0999999999999996</v>
      </c>
      <c r="H56" s="8"/>
      <c r="I56" s="26">
        <v>3.6000000000000001</v>
      </c>
      <c r="J56" s="8"/>
      <c r="K56" s="26">
        <v>3.6000000000000001</v>
      </c>
      <c r="L56" s="8"/>
      <c r="M56" s="26">
        <v>3.6000000000000001</v>
      </c>
      <c r="N56" s="8"/>
      <c r="O56" s="26">
        <v>3.6000000000000001</v>
      </c>
      <c r="P56" s="8"/>
      <c r="Q56" s="26">
        <v>-22.600000000000001</v>
      </c>
      <c r="R56" s="8"/>
      <c r="S56" s="26">
        <v>-22.600000000000001</v>
      </c>
      <c r="T56" s="8"/>
      <c r="U56" s="26">
        <v>-22.600000000000001</v>
      </c>
      <c r="V56" s="8"/>
      <c r="W56" s="26">
        <v>-22.600000000000001</v>
      </c>
      <c r="X56" s="8"/>
      <c r="Y56" s="26">
        <v>2.5</v>
      </c>
      <c r="Z56" s="8"/>
      <c r="AA56" s="26">
        <v>2.5</v>
      </c>
      <c r="AB56" s="8"/>
      <c r="AC56" s="8"/>
    </row>
    <row r="57" ht="12" customHeight="1">
      <c r="A57" s="8" t="s">
        <v>175</v>
      </c>
      <c r="B57" s="8" t="s">
        <v>573</v>
      </c>
      <c r="C57" s="26">
        <v>3.2999999999999998</v>
      </c>
      <c r="D57" s="8"/>
      <c r="E57" s="26">
        <v>1.8999999999999999</v>
      </c>
      <c r="F57" s="8"/>
      <c r="G57" s="26">
        <v>1.8999999999999999</v>
      </c>
      <c r="H57" s="8"/>
      <c r="I57" s="26">
        <v>1.8999999999999999</v>
      </c>
      <c r="J57" s="8"/>
      <c r="K57" s="26">
        <v>1.8999999999999999</v>
      </c>
      <c r="L57" s="8"/>
      <c r="M57" s="26">
        <v>4.2000000000000002</v>
      </c>
      <c r="N57" s="8"/>
      <c r="O57" s="26">
        <v>4.2000000000000002</v>
      </c>
      <c r="P57" s="8"/>
      <c r="Q57" s="26">
        <v>4.2000000000000002</v>
      </c>
      <c r="R57" s="8"/>
      <c r="S57" s="26">
        <v>4.2000000000000002</v>
      </c>
      <c r="T57" s="8"/>
      <c r="U57" s="26">
        <v>4</v>
      </c>
      <c r="V57" s="8"/>
      <c r="W57" s="26">
        <v>4</v>
      </c>
      <c r="X57" s="8"/>
      <c r="Y57" s="26">
        <v>4</v>
      </c>
      <c r="Z57" s="8"/>
      <c r="AA57" s="26">
        <v>4</v>
      </c>
      <c r="AB57" s="8"/>
      <c r="AC57" s="8"/>
    </row>
    <row r="58" ht="12" customHeight="1">
      <c r="A58" s="8" t="s">
        <v>177</v>
      </c>
      <c r="B58" s="8" t="s">
        <v>574</v>
      </c>
      <c r="C58" s="26">
        <v>1.3</v>
      </c>
      <c r="D58" s="8"/>
      <c r="E58" s="26">
        <v>4.9000000000000004</v>
      </c>
      <c r="F58" s="8"/>
      <c r="G58" s="26">
        <v>4.9000000000000004</v>
      </c>
      <c r="H58" s="8"/>
      <c r="I58" s="26">
        <v>4.9000000000000004</v>
      </c>
      <c r="J58" s="8"/>
      <c r="K58" s="26">
        <v>4.9000000000000004</v>
      </c>
      <c r="L58" s="8"/>
      <c r="M58" s="26">
        <v>6.0999999999999996</v>
      </c>
      <c r="N58" s="8"/>
      <c r="O58" s="26">
        <v>6.0999999999999996</v>
      </c>
      <c r="P58" s="8"/>
      <c r="Q58" s="26">
        <v>6.0999999999999996</v>
      </c>
      <c r="R58" s="8"/>
      <c r="S58" s="26">
        <v>6.0999999999999996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  <c r="AC58" s="8"/>
    </row>
    <row r="59" ht="12" customHeight="1">
      <c r="A59" s="8" t="s">
        <v>179</v>
      </c>
      <c r="B59" s="8" t="s">
        <v>575</v>
      </c>
      <c r="C59" s="26">
        <v>0.90000000000000002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4.4000000000000004</v>
      </c>
      <c r="N59" s="8"/>
      <c r="O59" s="26">
        <v>4.4000000000000004</v>
      </c>
      <c r="P59" s="8"/>
      <c r="Q59" s="26">
        <v>4.4000000000000004</v>
      </c>
      <c r="R59" s="8"/>
      <c r="S59" s="26">
        <v>4.4000000000000004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576</v>
      </c>
      <c r="C60" s="26">
        <v>4.5999999999999996</v>
      </c>
      <c r="D60" s="8"/>
      <c r="E60" s="26">
        <v>5.2999999999999998</v>
      </c>
      <c r="F60" s="8"/>
      <c r="G60" s="26">
        <v>7.0999999999999996</v>
      </c>
      <c r="H60" s="8"/>
      <c r="I60" s="26">
        <v>8.4000000000000004</v>
      </c>
      <c r="J60" s="8"/>
      <c r="K60" s="26">
        <v>9.0999999999999996</v>
      </c>
      <c r="L60" s="8"/>
      <c r="M60" s="26">
        <v>10.1</v>
      </c>
      <c r="N60" s="8"/>
      <c r="O60" s="26">
        <v>9.9000000000000004</v>
      </c>
      <c r="P60" s="8"/>
      <c r="Q60" s="26">
        <v>9.0999999999999996</v>
      </c>
      <c r="R60" s="8"/>
      <c r="S60" s="26">
        <v>8.1999999999999993</v>
      </c>
      <c r="T60" s="8"/>
      <c r="U60" s="26">
        <v>6.4000000000000004</v>
      </c>
      <c r="V60" s="8"/>
      <c r="W60" s="26">
        <v>5</v>
      </c>
      <c r="X60" s="8"/>
      <c r="Y60" s="26">
        <v>4</v>
      </c>
      <c r="Z60" s="8"/>
      <c r="AA60" s="26">
        <v>2.8999999999999999</v>
      </c>
      <c r="AB60" s="8"/>
      <c r="AC60" s="8"/>
    </row>
    <row r="61" ht="12" customHeight="1">
      <c r="A61" s="8" t="s">
        <v>183</v>
      </c>
      <c r="B61" s="8" t="s">
        <v>577</v>
      </c>
      <c r="C61" s="26">
        <v>7.4000000000000004</v>
      </c>
      <c r="D61" s="8"/>
      <c r="E61" s="26">
        <v>7.2000000000000002</v>
      </c>
      <c r="F61" s="8"/>
      <c r="G61" s="26">
        <v>7.9000000000000004</v>
      </c>
      <c r="H61" s="8"/>
      <c r="I61" s="26">
        <v>6</v>
      </c>
      <c r="J61" s="8"/>
      <c r="K61" s="26">
        <v>2.7000000000000002</v>
      </c>
      <c r="L61" s="8"/>
      <c r="M61" s="26">
        <v>1.1000000000000001</v>
      </c>
      <c r="N61" s="8"/>
      <c r="O61" s="26">
        <v>-1</v>
      </c>
      <c r="P61" s="8"/>
      <c r="Q61" s="26">
        <v>-0.90000000000000002</v>
      </c>
      <c r="R61" s="8"/>
      <c r="S61" s="26">
        <v>-0.10000000000000001</v>
      </c>
      <c r="T61" s="8"/>
      <c r="U61" s="26">
        <v>0</v>
      </c>
      <c r="V61" s="8"/>
      <c r="W61" s="26">
        <v>0.80000000000000004</v>
      </c>
      <c r="X61" s="8"/>
      <c r="Y61" s="26">
        <v>1.3999999999999999</v>
      </c>
      <c r="Z61" s="8"/>
      <c r="AA61" s="26">
        <v>1.3999999999999999</v>
      </c>
      <c r="AB61" s="8"/>
      <c r="AC61" s="8"/>
    </row>
    <row r="62" ht="12" customHeight="1">
      <c r="A62" s="8" t="s">
        <v>185</v>
      </c>
      <c r="B62" s="8" t="s">
        <v>578</v>
      </c>
      <c r="C62" s="26">
        <v>10.1</v>
      </c>
      <c r="D62" s="8"/>
      <c r="E62" s="26">
        <v>10.800000000000001</v>
      </c>
      <c r="F62" s="8"/>
      <c r="G62" s="26">
        <v>1.3</v>
      </c>
      <c r="H62" s="8"/>
      <c r="I62" s="26">
        <v>0.10000000000000001</v>
      </c>
      <c r="J62" s="8"/>
      <c r="K62" s="26">
        <v>-1.3</v>
      </c>
      <c r="L62" s="8"/>
      <c r="M62" s="26">
        <v>-0.29999999999999999</v>
      </c>
      <c r="N62" s="8"/>
      <c r="O62" s="26">
        <v>5.4000000000000004</v>
      </c>
      <c r="P62" s="8"/>
      <c r="Q62" s="26">
        <v>6.0999999999999996</v>
      </c>
      <c r="R62" s="8"/>
      <c r="S62" s="26">
        <v>3.5</v>
      </c>
      <c r="T62" s="8"/>
      <c r="U62" s="26">
        <v>2.3999999999999999</v>
      </c>
      <c r="V62" s="8"/>
      <c r="W62" s="26">
        <v>3.7999999999999998</v>
      </c>
      <c r="X62" s="8"/>
      <c r="Y62" s="26">
        <v>4.7999999999999998</v>
      </c>
      <c r="Z62" s="8"/>
      <c r="AA62" s="26">
        <v>7.7000000000000002</v>
      </c>
      <c r="AB62" s="8"/>
      <c r="AC62" s="8"/>
    </row>
    <row r="63" ht="12" customHeight="1">
      <c r="A63" s="8" t="s">
        <v>187</v>
      </c>
      <c r="B63" s="8" t="s">
        <v>579</v>
      </c>
      <c r="C63" s="26">
        <v>3.2000000000000002</v>
      </c>
      <c r="D63" s="8"/>
      <c r="E63" s="26">
        <v>4.7999999999999998</v>
      </c>
      <c r="F63" s="8"/>
      <c r="G63" s="26">
        <v>8.5</v>
      </c>
      <c r="H63" s="8"/>
      <c r="I63" s="26">
        <v>12.5</v>
      </c>
      <c r="J63" s="8"/>
      <c r="K63" s="26">
        <v>15.4</v>
      </c>
      <c r="L63" s="8"/>
      <c r="M63" s="26">
        <v>17.800000000000001</v>
      </c>
      <c r="N63" s="8"/>
      <c r="O63" s="26">
        <v>18</v>
      </c>
      <c r="P63" s="8"/>
      <c r="Q63" s="26">
        <v>16.199999999999999</v>
      </c>
      <c r="R63" s="8"/>
      <c r="S63" s="26">
        <v>14.1</v>
      </c>
      <c r="T63" s="8"/>
      <c r="U63" s="26">
        <v>10.6</v>
      </c>
      <c r="V63" s="8"/>
      <c r="W63" s="26">
        <v>7.5999999999999996</v>
      </c>
      <c r="X63" s="8"/>
      <c r="Y63" s="26">
        <v>5.4000000000000004</v>
      </c>
      <c r="Z63" s="8"/>
      <c r="AA63" s="26">
        <v>3.3999999999999999</v>
      </c>
      <c r="AB63" s="8"/>
      <c r="AC63" s="8"/>
    </row>
    <row r="64" ht="12" customHeight="1">
      <c r="A64" s="8" t="s">
        <v>189</v>
      </c>
      <c r="B64" s="8" t="s">
        <v>580</v>
      </c>
      <c r="C64" s="26">
        <v>-1.8</v>
      </c>
      <c r="D64" s="8"/>
      <c r="E64" s="26">
        <v>-2.7999999999999998</v>
      </c>
      <c r="F64" s="8"/>
      <c r="G64" s="26">
        <v>2.7999999999999998</v>
      </c>
      <c r="H64" s="8"/>
      <c r="I64" s="26">
        <v>-3</v>
      </c>
      <c r="J64" s="8"/>
      <c r="K64" s="26">
        <v>-1.1000000000000001</v>
      </c>
      <c r="L64" s="8"/>
      <c r="M64" s="26">
        <v>0</v>
      </c>
      <c r="N64" s="8"/>
      <c r="O64" s="26">
        <v>0</v>
      </c>
      <c r="P64" s="8"/>
      <c r="Q64" s="26">
        <v>-2.7000000000000002</v>
      </c>
      <c r="R64" s="8"/>
      <c r="S64" s="26">
        <v>-3.7999999999999998</v>
      </c>
      <c r="T64" s="8"/>
      <c r="U64" s="26">
        <v>-3.7999999999999998</v>
      </c>
      <c r="V64" s="8"/>
      <c r="W64" s="26">
        <v>-4.5</v>
      </c>
      <c r="X64" s="8"/>
      <c r="Y64" s="26">
        <v>-1.8</v>
      </c>
      <c r="Z64" s="8"/>
      <c r="AA64" s="26">
        <v>-0.69999999999999996</v>
      </c>
      <c r="AB64" s="8"/>
      <c r="AC64" s="8"/>
    </row>
    <row r="65" ht="12" customHeight="1">
      <c r="A65" s="8" t="s">
        <v>191</v>
      </c>
      <c r="B65" s="8" t="s">
        <v>581</v>
      </c>
      <c r="C65" s="26">
        <v>3.7000000000000002</v>
      </c>
      <c r="D65" s="8"/>
      <c r="E65" s="26">
        <v>2.2000000000000002</v>
      </c>
      <c r="F65" s="8"/>
      <c r="G65" s="26">
        <v>0.40000000000000002</v>
      </c>
      <c r="H65" s="8"/>
      <c r="I65" s="26">
        <v>1</v>
      </c>
      <c r="J65" s="8"/>
      <c r="K65" s="26">
        <v>2.3999999999999999</v>
      </c>
      <c r="L65" s="8"/>
      <c r="M65" s="26">
        <v>2.6000000000000001</v>
      </c>
      <c r="N65" s="8"/>
      <c r="O65" s="26">
        <v>4.2000000000000002</v>
      </c>
      <c r="P65" s="8"/>
      <c r="Q65" s="26">
        <v>3.2999999999999998</v>
      </c>
      <c r="R65" s="8"/>
      <c r="S65" s="26">
        <v>3</v>
      </c>
      <c r="T65" s="8"/>
      <c r="U65" s="26">
        <v>2.8999999999999999</v>
      </c>
      <c r="V65" s="8"/>
      <c r="W65" s="26">
        <v>2.2999999999999998</v>
      </c>
      <c r="X65" s="8"/>
      <c r="Y65" s="26">
        <v>1.3</v>
      </c>
      <c r="Z65" s="8"/>
      <c r="AA65" s="26">
        <v>1</v>
      </c>
      <c r="AB65" s="8"/>
      <c r="AC65" s="8"/>
    </row>
    <row r="66" ht="12" customHeight="1">
      <c r="A66" s="11" t="s">
        <v>193</v>
      </c>
      <c r="B66" s="8" t="s">
        <v>582</v>
      </c>
      <c r="C66" s="26">
        <v>45.399999999999999</v>
      </c>
      <c r="D66" s="8"/>
      <c r="E66" s="26">
        <v>38.299999999999997</v>
      </c>
      <c r="F66" s="8"/>
      <c r="G66" s="26">
        <v>29.699999999999999</v>
      </c>
      <c r="H66" s="8"/>
      <c r="I66" s="26">
        <v>27.899999999999999</v>
      </c>
      <c r="J66" s="8"/>
      <c r="K66" s="26">
        <v>31.600000000000001</v>
      </c>
      <c r="L66" s="8"/>
      <c r="M66" s="26">
        <v>28.5</v>
      </c>
      <c r="N66" s="8"/>
      <c r="O66" s="26">
        <v>26.800000000000001</v>
      </c>
      <c r="P66" s="8"/>
      <c r="Q66" s="26">
        <v>18.300000000000001</v>
      </c>
      <c r="R66" s="8"/>
      <c r="S66" s="26">
        <v>7.2000000000000002</v>
      </c>
      <c r="T66" s="8"/>
      <c r="U66" s="26">
        <v>0.59999999999999998</v>
      </c>
      <c r="V66" s="8"/>
      <c r="W66" s="26">
        <v>-7.5999999999999996</v>
      </c>
      <c r="X66" s="8"/>
      <c r="Y66" s="26">
        <v>-14.199999999999999</v>
      </c>
      <c r="Z66" s="8"/>
      <c r="AA66" s="26">
        <v>-17.199999999999999</v>
      </c>
      <c r="AB66" s="8"/>
      <c r="AC66" s="8"/>
    </row>
    <row r="67" ht="12" customHeight="1">
      <c r="A67" s="8" t="s">
        <v>195</v>
      </c>
      <c r="B67" s="8" t="s">
        <v>583</v>
      </c>
      <c r="C67" s="26">
        <v>45.399999999999999</v>
      </c>
      <c r="D67" s="8"/>
      <c r="E67" s="26">
        <v>38.299999999999997</v>
      </c>
      <c r="F67" s="8"/>
      <c r="G67" s="26">
        <v>29.699999999999999</v>
      </c>
      <c r="H67" s="8"/>
      <c r="I67" s="26">
        <v>27.899999999999999</v>
      </c>
      <c r="J67" s="8"/>
      <c r="K67" s="26">
        <v>31.600000000000001</v>
      </c>
      <c r="L67" s="8"/>
      <c r="M67" s="26">
        <v>28.5</v>
      </c>
      <c r="N67" s="8"/>
      <c r="O67" s="26">
        <v>26.800000000000001</v>
      </c>
      <c r="P67" s="8"/>
      <c r="Q67" s="26">
        <v>18.300000000000001</v>
      </c>
      <c r="R67" s="8"/>
      <c r="S67" s="26">
        <v>7.2000000000000002</v>
      </c>
      <c r="T67" s="8"/>
      <c r="U67" s="26">
        <v>0.59999999999999998</v>
      </c>
      <c r="V67" s="8"/>
      <c r="W67" s="26">
        <v>-7.5999999999999996</v>
      </c>
      <c r="X67" s="8"/>
      <c r="Y67" s="26">
        <v>-14.199999999999999</v>
      </c>
      <c r="Z67" s="8"/>
      <c r="AA67" s="26">
        <v>-17.199999999999999</v>
      </c>
      <c r="AB67" s="8"/>
      <c r="AC67" s="8"/>
    </row>
    <row r="68" ht="12" customHeight="1">
      <c r="A68" s="13" t="s">
        <v>69</v>
      </c>
      <c r="B68" s="10" t="s">
        <v>52</v>
      </c>
      <c r="C68" s="27">
        <v>8.4000000000000004</v>
      </c>
      <c r="D68" s="10"/>
      <c r="E68" s="27">
        <v>7.9000000000000004</v>
      </c>
      <c r="F68" s="10"/>
      <c r="G68" s="27">
        <v>7.0999999999999996</v>
      </c>
      <c r="H68" s="10"/>
      <c r="I68" s="27">
        <v>7.5</v>
      </c>
      <c r="J68" s="10"/>
      <c r="K68" s="27">
        <v>7.0999999999999996</v>
      </c>
      <c r="L68" s="10"/>
      <c r="M68" s="27">
        <v>6.4000000000000004</v>
      </c>
      <c r="N68" s="10"/>
      <c r="O68" s="27">
        <v>5.7000000000000002</v>
      </c>
      <c r="P68" s="10"/>
      <c r="Q68" s="27">
        <v>4</v>
      </c>
      <c r="R68" s="10"/>
      <c r="S68" s="27">
        <v>3.1000000000000001</v>
      </c>
      <c r="T68" s="10"/>
      <c r="U68" s="27">
        <v>2.8999999999999999</v>
      </c>
      <c r="V68" s="10"/>
      <c r="W68" s="27">
        <v>2.5</v>
      </c>
      <c r="X68" s="10"/>
      <c r="Y68" s="27">
        <v>2.2000000000000002</v>
      </c>
      <c r="Z68" s="10"/>
      <c r="AA68" s="27">
        <v>2.1000000000000001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586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587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588</v>
      </c>
      <c r="C8" s="19">
        <v>1244</v>
      </c>
      <c r="D8" s="19"/>
      <c r="E8" s="19">
        <v>1292</v>
      </c>
      <c r="F8" s="19"/>
      <c r="G8" s="19">
        <v>1323</v>
      </c>
      <c r="H8" s="19"/>
      <c r="I8" s="19">
        <v>1332</v>
      </c>
      <c r="J8" s="19"/>
      <c r="K8" s="19">
        <v>1316</v>
      </c>
      <c r="L8" s="19"/>
      <c r="M8" s="19">
        <v>1321</v>
      </c>
      <c r="N8" s="19"/>
      <c r="O8" s="19">
        <v>1324</v>
      </c>
      <c r="P8" s="19"/>
      <c r="Q8" s="19">
        <v>1340</v>
      </c>
      <c r="R8" s="19"/>
      <c r="S8" s="19">
        <v>1329</v>
      </c>
      <c r="T8" s="19"/>
      <c r="U8" s="19">
        <v>1352</v>
      </c>
      <c r="V8" s="19"/>
      <c r="W8" s="19">
        <v>1373</v>
      </c>
      <c r="X8" s="19"/>
      <c r="Y8" s="19">
        <v>1396</v>
      </c>
      <c r="Z8" s="19"/>
      <c r="AA8" s="19">
        <v>1386</v>
      </c>
      <c r="AB8" s="19"/>
      <c r="AC8" s="18"/>
      <c r="AE8" s="18"/>
      <c r="AG8" s="18"/>
    </row>
    <row r="9" ht="12" customHeight="1">
      <c r="A9" s="8" t="s">
        <v>79</v>
      </c>
      <c r="B9" s="8" t="s">
        <v>589</v>
      </c>
      <c r="C9" s="24">
        <v>1380</v>
      </c>
      <c r="D9" s="8"/>
      <c r="E9" s="24">
        <v>1514</v>
      </c>
      <c r="F9" s="8"/>
      <c r="G9" s="24">
        <v>1528</v>
      </c>
      <c r="H9" s="8"/>
      <c r="I9" s="24">
        <v>1531</v>
      </c>
      <c r="J9" s="8"/>
      <c r="K9" s="24">
        <v>1417</v>
      </c>
      <c r="L9" s="8"/>
      <c r="M9" s="24">
        <v>1382</v>
      </c>
      <c r="N9" s="8"/>
      <c r="O9" s="24">
        <v>1303</v>
      </c>
      <c r="P9" s="8"/>
      <c r="Q9" s="24">
        <v>1371</v>
      </c>
      <c r="R9" s="8"/>
      <c r="S9" s="24">
        <v>1285</v>
      </c>
      <c r="T9" s="8"/>
      <c r="U9" s="24">
        <v>1305</v>
      </c>
      <c r="V9" s="8"/>
      <c r="W9" s="24">
        <v>1342</v>
      </c>
      <c r="X9" s="8"/>
      <c r="Y9" s="24">
        <v>1453</v>
      </c>
      <c r="Z9" s="8"/>
      <c r="AA9" s="24">
        <v>1335</v>
      </c>
      <c r="AB9" s="8"/>
      <c r="AC9" s="8"/>
      <c r="AE9" s="8"/>
      <c r="AG9" s="8"/>
    </row>
    <row r="10" ht="12" customHeight="1">
      <c r="A10" s="8" t="s">
        <v>81</v>
      </c>
      <c r="B10" s="8" t="s">
        <v>590</v>
      </c>
      <c r="C10" s="24">
        <v>1219</v>
      </c>
      <c r="D10" s="8"/>
      <c r="E10" s="24">
        <v>1238</v>
      </c>
      <c r="F10" s="8"/>
      <c r="G10" s="24">
        <v>1259</v>
      </c>
      <c r="H10" s="8"/>
      <c r="I10" s="24">
        <v>1262</v>
      </c>
      <c r="J10" s="8"/>
      <c r="K10" s="24">
        <v>1247</v>
      </c>
      <c r="L10" s="8"/>
      <c r="M10" s="24">
        <v>1242</v>
      </c>
      <c r="N10" s="8"/>
      <c r="O10" s="24">
        <v>1246</v>
      </c>
      <c r="P10" s="8"/>
      <c r="Q10" s="24">
        <v>1260</v>
      </c>
      <c r="R10" s="8"/>
      <c r="S10" s="24">
        <v>1268</v>
      </c>
      <c r="T10" s="8"/>
      <c r="U10" s="24">
        <v>1286</v>
      </c>
      <c r="V10" s="8"/>
      <c r="W10" s="24">
        <v>1302</v>
      </c>
      <c r="X10" s="8"/>
      <c r="Y10" s="24">
        <v>1348</v>
      </c>
      <c r="Z10" s="8"/>
      <c r="AA10" s="24">
        <v>1358</v>
      </c>
      <c r="AB10" s="8"/>
      <c r="AC10" s="8"/>
      <c r="AE10" s="8"/>
      <c r="AG10" s="8"/>
    </row>
    <row r="11" ht="12" customHeight="1">
      <c r="A11" s="8" t="s">
        <v>83</v>
      </c>
      <c r="B11" s="8" t="s">
        <v>591</v>
      </c>
      <c r="C11" s="24">
        <v>1173</v>
      </c>
      <c r="D11" s="8"/>
      <c r="E11" s="24">
        <v>1226</v>
      </c>
      <c r="F11" s="8"/>
      <c r="G11" s="24">
        <v>1261</v>
      </c>
      <c r="H11" s="8"/>
      <c r="I11" s="24">
        <v>1266</v>
      </c>
      <c r="J11" s="8"/>
      <c r="K11" s="24">
        <v>1259</v>
      </c>
      <c r="L11" s="8"/>
      <c r="M11" s="24">
        <v>1275</v>
      </c>
      <c r="N11" s="8"/>
      <c r="O11" s="24">
        <v>1286</v>
      </c>
      <c r="P11" s="8"/>
      <c r="Q11" s="24">
        <v>1293</v>
      </c>
      <c r="R11" s="8"/>
      <c r="S11" s="24">
        <v>1286</v>
      </c>
      <c r="T11" s="8"/>
      <c r="U11" s="24">
        <v>1322</v>
      </c>
      <c r="V11" s="8"/>
      <c r="W11" s="24">
        <v>1341</v>
      </c>
      <c r="X11" s="8"/>
      <c r="Y11" s="24">
        <v>1346</v>
      </c>
      <c r="Z11" s="8"/>
      <c r="AA11" s="24">
        <v>1342</v>
      </c>
      <c r="AB11" s="8"/>
      <c r="AC11" s="8"/>
      <c r="AE11" s="8"/>
      <c r="AG11" s="8"/>
    </row>
    <row r="12" ht="12" customHeight="1">
      <c r="A12" s="8" t="s">
        <v>85</v>
      </c>
      <c r="B12" s="8" t="s">
        <v>592</v>
      </c>
      <c r="C12" s="24">
        <v>1149</v>
      </c>
      <c r="D12" s="8"/>
      <c r="E12" s="24">
        <v>1174</v>
      </c>
      <c r="F12" s="8"/>
      <c r="G12" s="24">
        <v>1206</v>
      </c>
      <c r="H12" s="8"/>
      <c r="I12" s="24">
        <v>1216</v>
      </c>
      <c r="J12" s="8"/>
      <c r="K12" s="24">
        <v>1216</v>
      </c>
      <c r="L12" s="8"/>
      <c r="M12" s="24">
        <v>1227</v>
      </c>
      <c r="N12" s="8"/>
      <c r="O12" s="24">
        <v>1256</v>
      </c>
      <c r="P12" s="8"/>
      <c r="Q12" s="24">
        <v>1266</v>
      </c>
      <c r="R12" s="8"/>
      <c r="S12" s="24">
        <v>1264</v>
      </c>
      <c r="T12" s="8"/>
      <c r="U12" s="24">
        <v>1294</v>
      </c>
      <c r="V12" s="8"/>
      <c r="W12" s="24">
        <v>1328</v>
      </c>
      <c r="X12" s="8"/>
      <c r="Y12" s="24">
        <v>1318</v>
      </c>
      <c r="Z12" s="8"/>
      <c r="AA12" s="24">
        <v>1325</v>
      </c>
      <c r="AB12" s="8"/>
      <c r="AC12" s="8"/>
      <c r="AE12" s="8"/>
      <c r="AG12" s="8"/>
    </row>
    <row r="13" ht="12" customHeight="1">
      <c r="A13" s="8" t="s">
        <v>87</v>
      </c>
      <c r="B13" s="8" t="s">
        <v>593</v>
      </c>
      <c r="C13" s="24">
        <v>1340</v>
      </c>
      <c r="D13" s="8"/>
      <c r="E13" s="24">
        <v>1365</v>
      </c>
      <c r="F13" s="8"/>
      <c r="G13" s="24">
        <v>1405</v>
      </c>
      <c r="H13" s="8"/>
      <c r="I13" s="24">
        <v>1429</v>
      </c>
      <c r="J13" s="8"/>
      <c r="K13" s="24">
        <v>1440</v>
      </c>
      <c r="L13" s="8"/>
      <c r="M13" s="24">
        <v>1454</v>
      </c>
      <c r="N13" s="8"/>
      <c r="O13" s="24">
        <v>1473</v>
      </c>
      <c r="P13" s="8"/>
      <c r="Q13" s="24">
        <v>1480</v>
      </c>
      <c r="R13" s="8"/>
      <c r="S13" s="24">
        <v>1486</v>
      </c>
      <c r="T13" s="8"/>
      <c r="U13" s="24">
        <v>1490</v>
      </c>
      <c r="V13" s="8"/>
      <c r="W13" s="24">
        <v>1504</v>
      </c>
      <c r="X13" s="8"/>
      <c r="Y13" s="24">
        <v>1515</v>
      </c>
      <c r="Z13" s="8"/>
      <c r="AA13" s="24">
        <v>1522</v>
      </c>
      <c r="AB13" s="8"/>
      <c r="AC13" s="8"/>
      <c r="AE13" s="8"/>
      <c r="AG13" s="8"/>
    </row>
    <row r="14" ht="12" customHeight="1">
      <c r="A14" s="11" t="s">
        <v>89</v>
      </c>
      <c r="B14" s="8" t="s">
        <v>594</v>
      </c>
      <c r="C14" s="24">
        <v>1419</v>
      </c>
      <c r="D14" s="8"/>
      <c r="E14" s="24">
        <v>1476</v>
      </c>
      <c r="F14" s="8"/>
      <c r="G14" s="24">
        <v>1495</v>
      </c>
      <c r="H14" s="8"/>
      <c r="I14" s="24">
        <v>1514</v>
      </c>
      <c r="J14" s="8"/>
      <c r="K14" s="24">
        <v>1532</v>
      </c>
      <c r="L14" s="8"/>
      <c r="M14" s="24">
        <v>1583</v>
      </c>
      <c r="N14" s="8"/>
      <c r="O14" s="24">
        <v>1597</v>
      </c>
      <c r="P14" s="8"/>
      <c r="Q14" s="24">
        <v>1606</v>
      </c>
      <c r="R14" s="8"/>
      <c r="S14" s="24">
        <v>1608</v>
      </c>
      <c r="T14" s="8"/>
      <c r="U14" s="24">
        <v>1639</v>
      </c>
      <c r="V14" s="8"/>
      <c r="W14" s="24">
        <v>1636</v>
      </c>
      <c r="X14" s="8"/>
      <c r="Y14" s="24">
        <v>1644</v>
      </c>
      <c r="Z14" s="8"/>
      <c r="AA14" s="24">
        <v>1647</v>
      </c>
      <c r="AB14" s="8"/>
      <c r="AC14" s="8"/>
      <c r="AE14" s="8"/>
      <c r="AG14" s="8"/>
    </row>
    <row r="15" ht="12" customHeight="1">
      <c r="A15" s="8" t="s">
        <v>91</v>
      </c>
      <c r="B15" s="8" t="s">
        <v>595</v>
      </c>
      <c r="C15" s="24">
        <v>1142</v>
      </c>
      <c r="D15" s="8"/>
      <c r="E15" s="24">
        <v>1160</v>
      </c>
      <c r="F15" s="8"/>
      <c r="G15" s="24">
        <v>1185</v>
      </c>
      <c r="H15" s="8"/>
      <c r="I15" s="24">
        <v>1206</v>
      </c>
      <c r="J15" s="8"/>
      <c r="K15" s="24">
        <v>1207</v>
      </c>
      <c r="L15" s="8"/>
      <c r="M15" s="24">
        <v>1219</v>
      </c>
      <c r="N15" s="8"/>
      <c r="O15" s="24">
        <v>1238</v>
      </c>
      <c r="P15" s="8"/>
      <c r="Q15" s="24">
        <v>1246</v>
      </c>
      <c r="R15" s="8"/>
      <c r="S15" s="24">
        <v>1243</v>
      </c>
      <c r="T15" s="8"/>
      <c r="U15" s="24">
        <v>1253</v>
      </c>
      <c r="V15" s="8"/>
      <c r="W15" s="24">
        <v>1247</v>
      </c>
      <c r="X15" s="8"/>
      <c r="Y15" s="24">
        <v>1258</v>
      </c>
      <c r="Z15" s="8"/>
      <c r="AA15" s="24">
        <v>1250</v>
      </c>
      <c r="AB15" s="8"/>
      <c r="AC15" s="8"/>
      <c r="AE15" s="8"/>
      <c r="AG15" s="8"/>
    </row>
    <row r="16" ht="12" customHeight="1">
      <c r="A16" s="8" t="s">
        <v>93</v>
      </c>
      <c r="B16" s="8" t="s">
        <v>596</v>
      </c>
      <c r="C16" s="24">
        <v>1957</v>
      </c>
      <c r="D16" s="8"/>
      <c r="E16" s="24">
        <v>2103</v>
      </c>
      <c r="F16" s="8"/>
      <c r="G16" s="24">
        <v>2105</v>
      </c>
      <c r="H16" s="8"/>
      <c r="I16" s="24">
        <v>2117</v>
      </c>
      <c r="J16" s="8"/>
      <c r="K16" s="24">
        <v>2175</v>
      </c>
      <c r="L16" s="8"/>
      <c r="M16" s="24">
        <v>2316</v>
      </c>
      <c r="N16" s="8"/>
      <c r="O16" s="24">
        <v>2317</v>
      </c>
      <c r="P16" s="8"/>
      <c r="Q16" s="24">
        <v>2327</v>
      </c>
      <c r="R16" s="8"/>
      <c r="S16" s="24">
        <v>2342</v>
      </c>
      <c r="T16" s="8"/>
      <c r="U16" s="24">
        <v>2433</v>
      </c>
      <c r="V16" s="8"/>
      <c r="W16" s="24">
        <v>2439</v>
      </c>
      <c r="X16" s="8"/>
      <c r="Y16" s="24">
        <v>2438</v>
      </c>
      <c r="Z16" s="8"/>
      <c r="AA16" s="24">
        <v>2476</v>
      </c>
      <c r="AB16" s="8"/>
      <c r="AC16" s="8"/>
      <c r="AE16" s="8"/>
      <c r="AG16" s="8"/>
    </row>
    <row r="17" ht="12" customHeight="1">
      <c r="A17" s="11" t="s">
        <v>95</v>
      </c>
      <c r="B17" s="8" t="s">
        <v>597</v>
      </c>
      <c r="C17" s="24">
        <v>1059</v>
      </c>
      <c r="D17" s="8"/>
      <c r="E17" s="24">
        <v>1058</v>
      </c>
      <c r="F17" s="8"/>
      <c r="G17" s="24">
        <v>1091</v>
      </c>
      <c r="H17" s="8"/>
      <c r="I17" s="24">
        <v>1091</v>
      </c>
      <c r="J17" s="8"/>
      <c r="K17" s="24">
        <v>1097</v>
      </c>
      <c r="L17" s="8"/>
      <c r="M17" s="24">
        <v>1099</v>
      </c>
      <c r="N17" s="8"/>
      <c r="O17" s="24">
        <v>1096</v>
      </c>
      <c r="P17" s="8"/>
      <c r="Q17" s="24">
        <v>1096</v>
      </c>
      <c r="R17" s="8"/>
      <c r="S17" s="24">
        <v>1086</v>
      </c>
      <c r="T17" s="8"/>
      <c r="U17" s="24">
        <v>1088</v>
      </c>
      <c r="V17" s="8"/>
      <c r="W17" s="24">
        <v>1089</v>
      </c>
      <c r="X17" s="8"/>
      <c r="Y17" s="24">
        <v>1095</v>
      </c>
      <c r="Z17" s="8"/>
      <c r="AA17" s="24">
        <v>1105</v>
      </c>
      <c r="AB17" s="8"/>
      <c r="AC17" s="8"/>
      <c r="AE17" s="8"/>
      <c r="AG17" s="8"/>
    </row>
    <row r="18" ht="12" customHeight="1">
      <c r="A18" s="8" t="s">
        <v>97</v>
      </c>
      <c r="B18" s="8" t="s">
        <v>598</v>
      </c>
      <c r="C18" s="24">
        <v>1055</v>
      </c>
      <c r="D18" s="8"/>
      <c r="E18" s="24">
        <v>1051</v>
      </c>
      <c r="F18" s="8"/>
      <c r="G18" s="24">
        <v>1088</v>
      </c>
      <c r="H18" s="8"/>
      <c r="I18" s="24">
        <v>1090</v>
      </c>
      <c r="J18" s="8"/>
      <c r="K18" s="24">
        <v>1097</v>
      </c>
      <c r="L18" s="8"/>
      <c r="M18" s="24">
        <v>1102</v>
      </c>
      <c r="N18" s="8"/>
      <c r="O18" s="24">
        <v>1095</v>
      </c>
      <c r="P18" s="8"/>
      <c r="Q18" s="24">
        <v>1094</v>
      </c>
      <c r="R18" s="8"/>
      <c r="S18" s="24">
        <v>1082</v>
      </c>
      <c r="T18" s="8"/>
      <c r="U18" s="24">
        <v>1079</v>
      </c>
      <c r="V18" s="8"/>
      <c r="W18" s="24">
        <v>1087</v>
      </c>
      <c r="X18" s="8"/>
      <c r="Y18" s="24">
        <v>1089</v>
      </c>
      <c r="Z18" s="8"/>
      <c r="AA18" s="24">
        <v>1101</v>
      </c>
      <c r="AB18" s="8"/>
      <c r="AC18" s="8"/>
      <c r="AE18" s="8"/>
      <c r="AG18" s="8"/>
    </row>
    <row r="19" ht="12" customHeight="1">
      <c r="A19" s="8" t="s">
        <v>99</v>
      </c>
      <c r="B19" s="8" t="s">
        <v>599</v>
      </c>
      <c r="C19" s="24">
        <v>1086</v>
      </c>
      <c r="D19" s="8"/>
      <c r="E19" s="24">
        <v>1097</v>
      </c>
      <c r="F19" s="8"/>
      <c r="G19" s="24">
        <v>1112</v>
      </c>
      <c r="H19" s="8"/>
      <c r="I19" s="24">
        <v>1104</v>
      </c>
      <c r="J19" s="8"/>
      <c r="K19" s="24">
        <v>1107</v>
      </c>
      <c r="L19" s="8"/>
      <c r="M19" s="24">
        <v>1096</v>
      </c>
      <c r="N19" s="8"/>
      <c r="O19" s="24">
        <v>1108</v>
      </c>
      <c r="P19" s="8"/>
      <c r="Q19" s="24">
        <v>1114</v>
      </c>
      <c r="R19" s="8"/>
      <c r="S19" s="24">
        <v>1110</v>
      </c>
      <c r="T19" s="8"/>
      <c r="U19" s="24">
        <v>1135</v>
      </c>
      <c r="V19" s="8"/>
      <c r="W19" s="24">
        <v>1109</v>
      </c>
      <c r="X19" s="8"/>
      <c r="Y19" s="24">
        <v>1131</v>
      </c>
      <c r="Z19" s="8"/>
      <c r="AA19" s="24">
        <v>1128</v>
      </c>
      <c r="AB19" s="8"/>
      <c r="AC19" s="8"/>
      <c r="AE19" s="8"/>
      <c r="AG19" s="8"/>
    </row>
    <row r="20" ht="12" customHeight="1">
      <c r="A20" s="11" t="s">
        <v>101</v>
      </c>
      <c r="B20" s="8" t="s">
        <v>600</v>
      </c>
      <c r="C20" s="24">
        <v>1299</v>
      </c>
      <c r="D20" s="8"/>
      <c r="E20" s="24">
        <v>1313</v>
      </c>
      <c r="F20" s="8"/>
      <c r="G20" s="24">
        <v>1331</v>
      </c>
      <c r="H20" s="8"/>
      <c r="I20" s="24">
        <v>1362</v>
      </c>
      <c r="J20" s="8"/>
      <c r="K20" s="24">
        <v>1376</v>
      </c>
      <c r="L20" s="8"/>
      <c r="M20" s="24">
        <v>1386</v>
      </c>
      <c r="N20" s="8"/>
      <c r="O20" s="24">
        <v>1404</v>
      </c>
      <c r="P20" s="8"/>
      <c r="Q20" s="24">
        <v>1448</v>
      </c>
      <c r="R20" s="8"/>
      <c r="S20" s="24">
        <v>1457</v>
      </c>
      <c r="T20" s="8"/>
      <c r="U20" s="24">
        <v>1469</v>
      </c>
      <c r="V20" s="8"/>
      <c r="W20" s="24">
        <v>1488</v>
      </c>
      <c r="X20" s="8"/>
      <c r="Y20" s="24">
        <v>1522</v>
      </c>
      <c r="Z20" s="8"/>
      <c r="AA20" s="24">
        <v>1529</v>
      </c>
      <c r="AB20" s="8"/>
      <c r="AC20" s="8"/>
      <c r="AE20" s="8"/>
      <c r="AG20" s="8"/>
    </row>
    <row r="21" ht="12" customHeight="1">
      <c r="A21" s="8" t="s">
        <v>103</v>
      </c>
      <c r="B21" s="8" t="s">
        <v>601</v>
      </c>
      <c r="C21" s="24">
        <v>1289</v>
      </c>
      <c r="D21" s="8"/>
      <c r="E21" s="24">
        <v>1305</v>
      </c>
      <c r="F21" s="8"/>
      <c r="G21" s="24">
        <v>1322</v>
      </c>
      <c r="H21" s="8"/>
      <c r="I21" s="24">
        <v>1339</v>
      </c>
      <c r="J21" s="8"/>
      <c r="K21" s="24">
        <v>1355</v>
      </c>
      <c r="L21" s="8"/>
      <c r="M21" s="24">
        <v>1372</v>
      </c>
      <c r="N21" s="8"/>
      <c r="O21" s="24">
        <v>1389</v>
      </c>
      <c r="P21" s="8"/>
      <c r="Q21" s="24">
        <v>1403</v>
      </c>
      <c r="R21" s="8"/>
      <c r="S21" s="24">
        <v>1415</v>
      </c>
      <c r="T21" s="8"/>
      <c r="U21" s="24">
        <v>1425</v>
      </c>
      <c r="V21" s="8"/>
      <c r="W21" s="24">
        <v>1436</v>
      </c>
      <c r="X21" s="8"/>
      <c r="Y21" s="24">
        <v>1440</v>
      </c>
      <c r="Z21" s="8"/>
      <c r="AA21" s="24">
        <v>1442</v>
      </c>
      <c r="AB21" s="8"/>
      <c r="AC21" s="8"/>
      <c r="AE21" s="8"/>
      <c r="AG21" s="8"/>
    </row>
    <row r="22" ht="12" customHeight="1">
      <c r="A22" s="8" t="s">
        <v>105</v>
      </c>
      <c r="B22" s="8" t="s">
        <v>602</v>
      </c>
      <c r="C22" s="24">
        <v>1289</v>
      </c>
      <c r="D22" s="8"/>
      <c r="E22" s="24">
        <v>1305</v>
      </c>
      <c r="F22" s="8"/>
      <c r="G22" s="24">
        <v>1322</v>
      </c>
      <c r="H22" s="8"/>
      <c r="I22" s="24">
        <v>1339</v>
      </c>
      <c r="J22" s="8"/>
      <c r="K22" s="24">
        <v>1355</v>
      </c>
      <c r="L22" s="8"/>
      <c r="M22" s="24">
        <v>1372</v>
      </c>
      <c r="N22" s="8"/>
      <c r="O22" s="24">
        <v>1389</v>
      </c>
      <c r="P22" s="8"/>
      <c r="Q22" s="24">
        <v>1403</v>
      </c>
      <c r="R22" s="8"/>
      <c r="S22" s="24">
        <v>1415</v>
      </c>
      <c r="T22" s="8"/>
      <c r="U22" s="24">
        <v>1425</v>
      </c>
      <c r="V22" s="8"/>
      <c r="W22" s="24">
        <v>1436</v>
      </c>
      <c r="X22" s="8"/>
      <c r="Y22" s="24">
        <v>1440</v>
      </c>
      <c r="Z22" s="8"/>
      <c r="AA22" s="24">
        <v>1442</v>
      </c>
      <c r="AB22" s="8"/>
      <c r="AC22" s="8"/>
      <c r="AE22" s="8"/>
      <c r="AG22" s="8"/>
    </row>
    <row r="23" ht="12" customHeight="1">
      <c r="A23" s="8" t="s">
        <v>107</v>
      </c>
      <c r="B23" s="8" t="s">
        <v>603</v>
      </c>
      <c r="C23" s="24">
        <v>1362</v>
      </c>
      <c r="D23" s="8"/>
      <c r="E23" s="24">
        <v>1356</v>
      </c>
      <c r="F23" s="8"/>
      <c r="G23" s="24">
        <v>1386</v>
      </c>
      <c r="H23" s="8"/>
      <c r="I23" s="24">
        <v>1394</v>
      </c>
      <c r="J23" s="8"/>
      <c r="K23" s="24">
        <v>1395</v>
      </c>
      <c r="L23" s="8"/>
      <c r="M23" s="24">
        <v>1396</v>
      </c>
      <c r="N23" s="8"/>
      <c r="O23" s="24">
        <v>1418</v>
      </c>
      <c r="P23" s="8"/>
      <c r="Q23" s="24">
        <v>1436</v>
      </c>
      <c r="R23" s="8"/>
      <c r="S23" s="24">
        <v>1432</v>
      </c>
      <c r="T23" s="8"/>
      <c r="U23" s="24">
        <v>1437</v>
      </c>
      <c r="V23" s="8"/>
      <c r="W23" s="24">
        <v>1442</v>
      </c>
      <c r="X23" s="8"/>
      <c r="Y23" s="24">
        <v>1452</v>
      </c>
      <c r="Z23" s="8"/>
      <c r="AA23" s="24">
        <v>1462</v>
      </c>
      <c r="AB23" s="8"/>
      <c r="AC23" s="8"/>
      <c r="AE23" s="8"/>
      <c r="AG23" s="8"/>
    </row>
    <row r="24" ht="12" customHeight="1">
      <c r="A24" s="8" t="s">
        <v>109</v>
      </c>
      <c r="B24" s="8" t="s">
        <v>604</v>
      </c>
      <c r="C24" s="24">
        <v>1515</v>
      </c>
      <c r="D24" s="8"/>
      <c r="E24" s="24">
        <v>1515</v>
      </c>
      <c r="F24" s="8"/>
      <c r="G24" s="24">
        <v>1516</v>
      </c>
      <c r="H24" s="8"/>
      <c r="I24" s="24">
        <v>1660</v>
      </c>
      <c r="J24" s="8"/>
      <c r="K24" s="24">
        <v>1661</v>
      </c>
      <c r="L24" s="8"/>
      <c r="M24" s="24">
        <v>1661</v>
      </c>
      <c r="N24" s="8"/>
      <c r="O24" s="24">
        <v>1662</v>
      </c>
      <c r="P24" s="8"/>
      <c r="Q24" s="24">
        <v>1859</v>
      </c>
      <c r="R24" s="8"/>
      <c r="S24" s="24">
        <v>1860</v>
      </c>
      <c r="T24" s="8"/>
      <c r="U24" s="24">
        <v>1860</v>
      </c>
      <c r="V24" s="8"/>
      <c r="W24" s="24">
        <v>1860</v>
      </c>
      <c r="X24" s="8"/>
      <c r="Y24" s="24">
        <v>2013</v>
      </c>
      <c r="Z24" s="8"/>
      <c r="AA24" s="24">
        <v>2013</v>
      </c>
      <c r="AB24" s="8"/>
      <c r="AC24" s="8"/>
      <c r="AE24" s="8"/>
      <c r="AG24" s="8"/>
    </row>
    <row r="25" ht="12" customHeight="1">
      <c r="A25" s="8" t="s">
        <v>111</v>
      </c>
      <c r="B25" s="8" t="s">
        <v>605</v>
      </c>
      <c r="C25" s="24">
        <v>1542</v>
      </c>
      <c r="D25" s="8"/>
      <c r="E25" s="24">
        <v>1542</v>
      </c>
      <c r="F25" s="8"/>
      <c r="G25" s="24">
        <v>1542</v>
      </c>
      <c r="H25" s="8"/>
      <c r="I25" s="24">
        <v>1693</v>
      </c>
      <c r="J25" s="8"/>
      <c r="K25" s="24">
        <v>1693</v>
      </c>
      <c r="L25" s="8"/>
      <c r="M25" s="24">
        <v>1693</v>
      </c>
      <c r="N25" s="8"/>
      <c r="O25" s="24">
        <v>1693</v>
      </c>
      <c r="P25" s="8"/>
      <c r="Q25" s="24">
        <v>1898</v>
      </c>
      <c r="R25" s="8"/>
      <c r="S25" s="24">
        <v>1898</v>
      </c>
      <c r="T25" s="8"/>
      <c r="U25" s="24">
        <v>1898</v>
      </c>
      <c r="V25" s="8"/>
      <c r="W25" s="24">
        <v>1898</v>
      </c>
      <c r="X25" s="8"/>
      <c r="Y25" s="24">
        <v>2065</v>
      </c>
      <c r="Z25" s="8"/>
      <c r="AA25" s="24">
        <v>2065</v>
      </c>
      <c r="AB25" s="8"/>
      <c r="AC25" s="8"/>
      <c r="AE25" s="8"/>
      <c r="AG25" s="8"/>
    </row>
    <row r="26" ht="12" customHeight="1">
      <c r="A26" s="8" t="s">
        <v>113</v>
      </c>
      <c r="B26" s="8" t="s">
        <v>606</v>
      </c>
      <c r="C26" s="24">
        <v>1117</v>
      </c>
      <c r="D26" s="8"/>
      <c r="E26" s="24">
        <v>1143</v>
      </c>
      <c r="F26" s="8"/>
      <c r="G26" s="24">
        <v>1174</v>
      </c>
      <c r="H26" s="8"/>
      <c r="I26" s="24">
        <v>1161</v>
      </c>
      <c r="J26" s="8"/>
      <c r="K26" s="24">
        <v>1181</v>
      </c>
      <c r="L26" s="8"/>
      <c r="M26" s="24">
        <v>1185</v>
      </c>
      <c r="N26" s="8"/>
      <c r="O26" s="24">
        <v>1217</v>
      </c>
      <c r="P26" s="8"/>
      <c r="Q26" s="24">
        <v>1227</v>
      </c>
      <c r="R26" s="8"/>
      <c r="S26" s="24">
        <v>1237</v>
      </c>
      <c r="T26" s="8"/>
      <c r="U26" s="24">
        <v>1267</v>
      </c>
      <c r="V26" s="8"/>
      <c r="W26" s="24">
        <v>1328</v>
      </c>
      <c r="X26" s="8"/>
      <c r="Y26" s="24">
        <v>1367</v>
      </c>
      <c r="Z26" s="8"/>
      <c r="AA26" s="24">
        <v>1389</v>
      </c>
      <c r="AB26" s="8"/>
      <c r="AC26" s="8"/>
      <c r="AE26" s="8"/>
      <c r="AG26" s="8"/>
    </row>
    <row r="27" ht="12" customHeight="1">
      <c r="A27" s="8" t="s">
        <v>115</v>
      </c>
      <c r="B27" s="8" t="s">
        <v>607</v>
      </c>
      <c r="C27" s="24">
        <v>1102</v>
      </c>
      <c r="D27" s="8"/>
      <c r="E27" s="24">
        <v>1127</v>
      </c>
      <c r="F27" s="8"/>
      <c r="G27" s="24">
        <v>1156</v>
      </c>
      <c r="H27" s="8"/>
      <c r="I27" s="24">
        <v>1136</v>
      </c>
      <c r="J27" s="8"/>
      <c r="K27" s="24">
        <v>1155</v>
      </c>
      <c r="L27" s="8"/>
      <c r="M27" s="24">
        <v>1159</v>
      </c>
      <c r="N27" s="8"/>
      <c r="O27" s="24">
        <v>1193</v>
      </c>
      <c r="P27" s="8"/>
      <c r="Q27" s="24">
        <v>1200</v>
      </c>
      <c r="R27" s="8"/>
      <c r="S27" s="24">
        <v>1206</v>
      </c>
      <c r="T27" s="8"/>
      <c r="U27" s="24">
        <v>1232</v>
      </c>
      <c r="V27" s="8"/>
      <c r="W27" s="24">
        <v>1294</v>
      </c>
      <c r="X27" s="8"/>
      <c r="Y27" s="24">
        <v>1336</v>
      </c>
      <c r="Z27" s="8"/>
      <c r="AA27" s="24">
        <v>1352</v>
      </c>
      <c r="AB27" s="8"/>
      <c r="AC27" s="8"/>
      <c r="AE27" s="8"/>
      <c r="AG27" s="8"/>
    </row>
    <row r="28" ht="12" customHeight="1">
      <c r="A28" s="11" t="s">
        <v>117</v>
      </c>
      <c r="B28" s="8" t="s">
        <v>608</v>
      </c>
      <c r="C28" s="24">
        <v>1151</v>
      </c>
      <c r="D28" s="8"/>
      <c r="E28" s="24">
        <v>1143</v>
      </c>
      <c r="F28" s="8"/>
      <c r="G28" s="24">
        <v>1177</v>
      </c>
      <c r="H28" s="8"/>
      <c r="I28" s="24">
        <v>1162</v>
      </c>
      <c r="J28" s="8"/>
      <c r="K28" s="24">
        <v>1164</v>
      </c>
      <c r="L28" s="8"/>
      <c r="M28" s="24">
        <v>1150</v>
      </c>
      <c r="N28" s="8"/>
      <c r="O28" s="24">
        <v>1158</v>
      </c>
      <c r="P28" s="8"/>
      <c r="Q28" s="24">
        <v>1164</v>
      </c>
      <c r="R28" s="8"/>
      <c r="S28" s="24">
        <v>1153</v>
      </c>
      <c r="T28" s="8"/>
      <c r="U28" s="24">
        <v>1146</v>
      </c>
      <c r="V28" s="8"/>
      <c r="W28" s="24">
        <v>1150</v>
      </c>
      <c r="X28" s="8"/>
      <c r="Y28" s="24">
        <v>1141</v>
      </c>
      <c r="Z28" s="8"/>
      <c r="AA28" s="24">
        <v>1143</v>
      </c>
      <c r="AB28" s="8"/>
      <c r="AC28" s="8"/>
      <c r="AE28" s="8"/>
      <c r="AG28" s="8"/>
    </row>
    <row r="29" ht="12" customHeight="1">
      <c r="A29" s="8" t="s">
        <v>119</v>
      </c>
      <c r="B29" s="8" t="s">
        <v>609</v>
      </c>
      <c r="C29" s="24">
        <v>1240</v>
      </c>
      <c r="D29" s="8"/>
      <c r="E29" s="24">
        <v>1191</v>
      </c>
      <c r="F29" s="8"/>
      <c r="G29" s="24">
        <v>1236</v>
      </c>
      <c r="H29" s="8"/>
      <c r="I29" s="24">
        <v>1226</v>
      </c>
      <c r="J29" s="8"/>
      <c r="K29" s="24">
        <v>1209</v>
      </c>
      <c r="L29" s="8"/>
      <c r="M29" s="24">
        <v>1152</v>
      </c>
      <c r="N29" s="8"/>
      <c r="O29" s="24">
        <v>1153</v>
      </c>
      <c r="P29" s="8"/>
      <c r="Q29" s="24">
        <v>1205</v>
      </c>
      <c r="R29" s="8"/>
      <c r="S29" s="24">
        <v>1187</v>
      </c>
      <c r="T29" s="8"/>
      <c r="U29" s="24">
        <v>1172</v>
      </c>
      <c r="V29" s="8"/>
      <c r="W29" s="24">
        <v>1152</v>
      </c>
      <c r="X29" s="8"/>
      <c r="Y29" s="24">
        <v>1129</v>
      </c>
      <c r="Z29" s="8"/>
      <c r="AA29" s="24">
        <v>1177</v>
      </c>
      <c r="AB29" s="8"/>
      <c r="AC29" s="8"/>
      <c r="AE29" s="8"/>
      <c r="AG29" s="8"/>
    </row>
    <row r="30" ht="12" customHeight="1">
      <c r="A30" s="8" t="s">
        <v>121</v>
      </c>
      <c r="B30" s="8" t="s">
        <v>610</v>
      </c>
      <c r="C30" s="24">
        <v>1094</v>
      </c>
      <c r="D30" s="8"/>
      <c r="E30" s="24">
        <v>1113</v>
      </c>
      <c r="F30" s="8"/>
      <c r="G30" s="24">
        <v>1121</v>
      </c>
      <c r="H30" s="8"/>
      <c r="I30" s="24">
        <v>1083</v>
      </c>
      <c r="J30" s="8"/>
      <c r="K30" s="24">
        <v>1147</v>
      </c>
      <c r="L30" s="8"/>
      <c r="M30" s="24">
        <v>1121</v>
      </c>
      <c r="N30" s="8"/>
      <c r="O30" s="24">
        <v>1222</v>
      </c>
      <c r="P30" s="8"/>
      <c r="Q30" s="24">
        <v>1174</v>
      </c>
      <c r="R30" s="8"/>
      <c r="S30" s="24">
        <v>1096</v>
      </c>
      <c r="T30" s="8"/>
      <c r="U30" s="24">
        <v>1143</v>
      </c>
      <c r="V30" s="8"/>
      <c r="W30" s="24">
        <v>1185</v>
      </c>
      <c r="X30" s="8"/>
      <c r="Y30" s="24">
        <v>1173</v>
      </c>
      <c r="Z30" s="8"/>
      <c r="AA30" s="24">
        <v>1149</v>
      </c>
      <c r="AB30" s="8"/>
      <c r="AC30" s="8"/>
      <c r="AE30" s="8"/>
      <c r="AG30" s="8"/>
    </row>
    <row r="31" ht="12" customHeight="1">
      <c r="A31" s="8" t="s">
        <v>123</v>
      </c>
      <c r="B31" s="8" t="s">
        <v>611</v>
      </c>
      <c r="C31" s="24">
        <v>1065</v>
      </c>
      <c r="D31" s="8"/>
      <c r="E31" s="24">
        <v>1054</v>
      </c>
      <c r="F31" s="8"/>
      <c r="G31" s="24">
        <v>1090</v>
      </c>
      <c r="H31" s="8"/>
      <c r="I31" s="24">
        <v>1069</v>
      </c>
      <c r="J31" s="8"/>
      <c r="K31" s="24">
        <v>1059</v>
      </c>
      <c r="L31" s="8"/>
      <c r="M31" s="24">
        <v>1041</v>
      </c>
      <c r="N31" s="8"/>
      <c r="O31" s="24">
        <v>1038</v>
      </c>
      <c r="P31" s="8"/>
      <c r="Q31" s="24">
        <v>1025</v>
      </c>
      <c r="R31" s="8"/>
      <c r="S31" s="24">
        <v>1037</v>
      </c>
      <c r="T31" s="8"/>
      <c r="U31" s="24">
        <v>1021</v>
      </c>
      <c r="V31" s="8"/>
      <c r="W31" s="24">
        <v>1028</v>
      </c>
      <c r="X31" s="8"/>
      <c r="Y31" s="24">
        <v>1022</v>
      </c>
      <c r="Z31" s="8"/>
      <c r="AA31" s="24">
        <v>1021</v>
      </c>
      <c r="AB31" s="8"/>
      <c r="AC31" s="8"/>
      <c r="AE31" s="8"/>
      <c r="AG31" s="8"/>
    </row>
    <row r="32" ht="12" customHeight="1">
      <c r="A32" s="8" t="s">
        <v>125</v>
      </c>
      <c r="B32" s="8" t="s">
        <v>612</v>
      </c>
      <c r="C32" s="24">
        <v>1075</v>
      </c>
      <c r="D32" s="8"/>
      <c r="E32" s="24">
        <v>1038</v>
      </c>
      <c r="F32" s="8"/>
      <c r="G32" s="24">
        <v>1073</v>
      </c>
      <c r="H32" s="8"/>
      <c r="I32" s="24">
        <v>1057</v>
      </c>
      <c r="J32" s="8"/>
      <c r="K32" s="24">
        <v>1102</v>
      </c>
      <c r="L32" s="8"/>
      <c r="M32" s="24">
        <v>1143</v>
      </c>
      <c r="N32" s="8"/>
      <c r="O32" s="24">
        <v>1128</v>
      </c>
      <c r="P32" s="8"/>
      <c r="Q32" s="24">
        <v>1101</v>
      </c>
      <c r="R32" s="8"/>
      <c r="S32" s="24">
        <v>1137</v>
      </c>
      <c r="T32" s="8"/>
      <c r="U32" s="24">
        <v>1158</v>
      </c>
      <c r="V32" s="8"/>
      <c r="W32" s="24">
        <v>1142</v>
      </c>
      <c r="X32" s="8"/>
      <c r="Y32" s="24">
        <v>1132</v>
      </c>
      <c r="Z32" s="8"/>
      <c r="AA32" s="24">
        <v>1106</v>
      </c>
      <c r="AB32" s="8"/>
      <c r="AC32" s="8"/>
      <c r="AE32" s="8"/>
      <c r="AG32" s="8"/>
    </row>
    <row r="33" ht="12" customHeight="1">
      <c r="A33" s="8" t="s">
        <v>127</v>
      </c>
      <c r="B33" s="8" t="s">
        <v>613</v>
      </c>
      <c r="C33" s="24">
        <v>1125</v>
      </c>
      <c r="D33" s="8"/>
      <c r="E33" s="24">
        <v>1130</v>
      </c>
      <c r="F33" s="8"/>
      <c r="G33" s="24">
        <v>1168</v>
      </c>
      <c r="H33" s="8"/>
      <c r="I33" s="24">
        <v>1170</v>
      </c>
      <c r="J33" s="8"/>
      <c r="K33" s="24">
        <v>1164</v>
      </c>
      <c r="L33" s="8"/>
      <c r="M33" s="24">
        <v>1174</v>
      </c>
      <c r="N33" s="8"/>
      <c r="O33" s="24">
        <v>1137</v>
      </c>
      <c r="P33" s="8"/>
      <c r="Q33" s="24">
        <v>1134</v>
      </c>
      <c r="R33" s="8"/>
      <c r="S33" s="24">
        <v>1133</v>
      </c>
      <c r="T33" s="8"/>
      <c r="U33" s="24">
        <v>1122</v>
      </c>
      <c r="V33" s="8"/>
      <c r="W33" s="24">
        <v>1124</v>
      </c>
      <c r="X33" s="8"/>
      <c r="Y33" s="24">
        <v>1122</v>
      </c>
      <c r="Z33" s="8"/>
      <c r="AA33" s="24">
        <v>1099</v>
      </c>
      <c r="AB33" s="8"/>
      <c r="AC33" s="8"/>
      <c r="AE33" s="8"/>
      <c r="AG33" s="8"/>
    </row>
    <row r="34" ht="12" customHeight="1">
      <c r="A34" s="8" t="s">
        <v>129</v>
      </c>
      <c r="B34" s="8" t="s">
        <v>614</v>
      </c>
      <c r="C34" s="24">
        <v>1215</v>
      </c>
      <c r="D34" s="8"/>
      <c r="E34" s="24">
        <v>1239</v>
      </c>
      <c r="F34" s="8"/>
      <c r="G34" s="24">
        <v>1273</v>
      </c>
      <c r="H34" s="8"/>
      <c r="I34" s="24">
        <v>1261</v>
      </c>
      <c r="J34" s="8"/>
      <c r="K34" s="24">
        <v>1252</v>
      </c>
      <c r="L34" s="8"/>
      <c r="M34" s="24">
        <v>1260</v>
      </c>
      <c r="N34" s="8"/>
      <c r="O34" s="24">
        <v>1268</v>
      </c>
      <c r="P34" s="8"/>
      <c r="Q34" s="24">
        <v>1290</v>
      </c>
      <c r="R34" s="8"/>
      <c r="S34" s="24">
        <v>1280</v>
      </c>
      <c r="T34" s="8"/>
      <c r="U34" s="24">
        <v>1266</v>
      </c>
      <c r="V34" s="8"/>
      <c r="W34" s="24">
        <v>1286</v>
      </c>
      <c r="X34" s="8"/>
      <c r="Y34" s="24">
        <v>1281</v>
      </c>
      <c r="Z34" s="8"/>
      <c r="AA34" s="24">
        <v>1278</v>
      </c>
      <c r="AB34" s="8"/>
      <c r="AC34" s="8"/>
      <c r="AE34" s="8"/>
      <c r="AG34" s="8"/>
    </row>
    <row r="35" ht="12" customHeight="1">
      <c r="A35" s="11" t="s">
        <v>131</v>
      </c>
      <c r="B35" s="8" t="s">
        <v>615</v>
      </c>
      <c r="C35" s="24">
        <v>1185</v>
      </c>
      <c r="D35" s="8"/>
      <c r="E35" s="24">
        <v>1192</v>
      </c>
      <c r="F35" s="8"/>
      <c r="G35" s="24">
        <v>1209</v>
      </c>
      <c r="H35" s="8"/>
      <c r="I35" s="24">
        <v>1179</v>
      </c>
      <c r="J35" s="8"/>
      <c r="K35" s="24">
        <v>1201</v>
      </c>
      <c r="L35" s="8"/>
      <c r="M35" s="24">
        <v>1224</v>
      </c>
      <c r="N35" s="8"/>
      <c r="O35" s="24">
        <v>1226</v>
      </c>
      <c r="P35" s="8"/>
      <c r="Q35" s="24">
        <v>1283</v>
      </c>
      <c r="R35" s="8"/>
      <c r="S35" s="24">
        <v>1275</v>
      </c>
      <c r="T35" s="8"/>
      <c r="U35" s="24">
        <v>1279</v>
      </c>
      <c r="V35" s="8"/>
      <c r="W35" s="24">
        <v>1279</v>
      </c>
      <c r="X35" s="8"/>
      <c r="Y35" s="24">
        <v>1278</v>
      </c>
      <c r="Z35" s="8"/>
      <c r="AA35" s="24">
        <v>1271</v>
      </c>
      <c r="AB35" s="8"/>
      <c r="AC35" s="8"/>
      <c r="AE35" s="8"/>
      <c r="AG35" s="8"/>
    </row>
    <row r="36" ht="12" customHeight="1">
      <c r="A36" s="8" t="s">
        <v>133</v>
      </c>
      <c r="B36" s="8" t="s">
        <v>616</v>
      </c>
      <c r="C36" s="24">
        <v>1047</v>
      </c>
      <c r="D36" s="8"/>
      <c r="E36" s="24">
        <v>1052</v>
      </c>
      <c r="F36" s="8"/>
      <c r="G36" s="24">
        <v>1067</v>
      </c>
      <c r="H36" s="8"/>
      <c r="I36" s="24">
        <v>958</v>
      </c>
      <c r="J36" s="8"/>
      <c r="K36" s="24">
        <v>964</v>
      </c>
      <c r="L36" s="8"/>
      <c r="M36" s="24">
        <v>961</v>
      </c>
      <c r="N36" s="8"/>
      <c r="O36" s="24">
        <v>962</v>
      </c>
      <c r="P36" s="8"/>
      <c r="Q36" s="24">
        <v>1093</v>
      </c>
      <c r="R36" s="8"/>
      <c r="S36" s="24">
        <v>1048</v>
      </c>
      <c r="T36" s="8"/>
      <c r="U36" s="24">
        <v>1051</v>
      </c>
      <c r="V36" s="8"/>
      <c r="W36" s="24">
        <v>1044</v>
      </c>
      <c r="X36" s="8"/>
      <c r="Y36" s="24">
        <v>1010</v>
      </c>
      <c r="Z36" s="8"/>
      <c r="AA36" s="24">
        <v>980</v>
      </c>
      <c r="AB36" s="8"/>
      <c r="AC36" s="8"/>
      <c r="AE36" s="8"/>
      <c r="AG36" s="8"/>
    </row>
    <row r="37" ht="12" customHeight="1">
      <c r="A37" s="8" t="s">
        <v>135</v>
      </c>
      <c r="B37" s="8" t="s">
        <v>617</v>
      </c>
      <c r="C37" s="24">
        <v>1248</v>
      </c>
      <c r="D37" s="8"/>
      <c r="E37" s="24">
        <v>1255</v>
      </c>
      <c r="F37" s="8"/>
      <c r="G37" s="24">
        <v>1272</v>
      </c>
      <c r="H37" s="8"/>
      <c r="I37" s="24">
        <v>1288</v>
      </c>
      <c r="J37" s="8"/>
      <c r="K37" s="24">
        <v>1318</v>
      </c>
      <c r="L37" s="8"/>
      <c r="M37" s="24">
        <v>1355</v>
      </c>
      <c r="N37" s="8"/>
      <c r="O37" s="24">
        <v>1357</v>
      </c>
      <c r="P37" s="8"/>
      <c r="Q37" s="24">
        <v>1369</v>
      </c>
      <c r="R37" s="8"/>
      <c r="S37" s="24">
        <v>1382</v>
      </c>
      <c r="T37" s="8"/>
      <c r="U37" s="24">
        <v>1387</v>
      </c>
      <c r="V37" s="8"/>
      <c r="W37" s="24">
        <v>1393</v>
      </c>
      <c r="X37" s="8"/>
      <c r="Y37" s="24">
        <v>1417</v>
      </c>
      <c r="Z37" s="8"/>
      <c r="AA37" s="24">
        <v>1429</v>
      </c>
      <c r="AB37" s="8"/>
      <c r="AC37" s="8"/>
      <c r="AE37" s="8"/>
      <c r="AG37" s="8"/>
    </row>
    <row r="38" ht="12" customHeight="1">
      <c r="A38" s="8" t="s">
        <v>137</v>
      </c>
      <c r="B38" s="8" t="s">
        <v>618</v>
      </c>
      <c r="C38" s="24">
        <v>1364</v>
      </c>
      <c r="D38" s="8"/>
      <c r="E38" s="24">
        <v>1387</v>
      </c>
      <c r="F38" s="8"/>
      <c r="G38" s="24">
        <v>1423</v>
      </c>
      <c r="H38" s="8"/>
      <c r="I38" s="24">
        <v>1477</v>
      </c>
      <c r="J38" s="8"/>
      <c r="K38" s="24">
        <v>1540</v>
      </c>
      <c r="L38" s="8"/>
      <c r="M38" s="24">
        <v>1574</v>
      </c>
      <c r="N38" s="8"/>
      <c r="O38" s="24">
        <v>1587</v>
      </c>
      <c r="P38" s="8"/>
      <c r="Q38" s="24">
        <v>1696</v>
      </c>
      <c r="R38" s="8"/>
      <c r="S38" s="24">
        <v>1714</v>
      </c>
      <c r="T38" s="8"/>
      <c r="U38" s="24">
        <v>1715</v>
      </c>
      <c r="V38" s="8"/>
      <c r="W38" s="24">
        <v>1730</v>
      </c>
      <c r="X38" s="8"/>
      <c r="Y38" s="24">
        <v>1756</v>
      </c>
      <c r="Z38" s="8"/>
      <c r="AA38" s="24">
        <v>1774</v>
      </c>
      <c r="AB38" s="8"/>
      <c r="AC38" s="8"/>
      <c r="AE38" s="8"/>
      <c r="AG38" s="8"/>
    </row>
    <row r="39" ht="12" customHeight="1">
      <c r="A39" s="11" t="s">
        <v>139</v>
      </c>
      <c r="B39" s="8" t="s">
        <v>619</v>
      </c>
      <c r="C39" s="24">
        <v>1154</v>
      </c>
      <c r="D39" s="8"/>
      <c r="E39" s="24">
        <v>1138</v>
      </c>
      <c r="F39" s="8"/>
      <c r="G39" s="24">
        <v>1124</v>
      </c>
      <c r="H39" s="8"/>
      <c r="I39" s="24">
        <v>1213</v>
      </c>
      <c r="J39" s="8"/>
      <c r="K39" s="24">
        <v>1210</v>
      </c>
      <c r="L39" s="8"/>
      <c r="M39" s="24">
        <v>1186</v>
      </c>
      <c r="N39" s="8"/>
      <c r="O39" s="24">
        <v>1184</v>
      </c>
      <c r="P39" s="8"/>
      <c r="Q39" s="24">
        <v>1154</v>
      </c>
      <c r="R39" s="8"/>
      <c r="S39" s="24">
        <v>1164</v>
      </c>
      <c r="T39" s="8"/>
      <c r="U39" s="24">
        <v>1178</v>
      </c>
      <c r="V39" s="8"/>
      <c r="W39" s="24">
        <v>1164</v>
      </c>
      <c r="X39" s="8"/>
      <c r="Y39" s="24">
        <v>1171</v>
      </c>
      <c r="Z39" s="8"/>
      <c r="AA39" s="24">
        <v>1195</v>
      </c>
      <c r="AB39" s="8"/>
      <c r="AC39" s="8"/>
      <c r="AE39" s="8"/>
      <c r="AG39" s="8"/>
    </row>
    <row r="40" ht="12" customHeight="1">
      <c r="A40" s="8" t="s">
        <v>141</v>
      </c>
      <c r="B40" s="8" t="s">
        <v>620</v>
      </c>
      <c r="C40" s="24">
        <v>1083</v>
      </c>
      <c r="D40" s="8"/>
      <c r="E40" s="24">
        <v>1094</v>
      </c>
      <c r="F40" s="8"/>
      <c r="G40" s="24">
        <v>1108</v>
      </c>
      <c r="H40" s="8"/>
      <c r="I40" s="24">
        <v>1136</v>
      </c>
      <c r="J40" s="8"/>
      <c r="K40" s="24">
        <v>1111</v>
      </c>
      <c r="L40" s="8"/>
      <c r="M40" s="24">
        <v>1098</v>
      </c>
      <c r="N40" s="8"/>
      <c r="O40" s="24">
        <v>1066</v>
      </c>
      <c r="P40" s="8"/>
      <c r="Q40" s="24">
        <v>1045</v>
      </c>
      <c r="R40" s="8"/>
      <c r="S40" s="24">
        <v>1069</v>
      </c>
      <c r="T40" s="8"/>
      <c r="U40" s="24">
        <v>1072</v>
      </c>
      <c r="V40" s="8"/>
      <c r="W40" s="24">
        <v>1079</v>
      </c>
      <c r="X40" s="8"/>
      <c r="Y40" s="24">
        <v>1079</v>
      </c>
      <c r="Z40" s="8"/>
      <c r="AA40" s="24">
        <v>1082</v>
      </c>
      <c r="AB40" s="8"/>
      <c r="AC40" s="8"/>
      <c r="AE40" s="8"/>
      <c r="AG40" s="8"/>
    </row>
    <row r="41" ht="12" customHeight="1">
      <c r="A41" s="8" t="s">
        <v>143</v>
      </c>
      <c r="B41" s="8" t="s">
        <v>621</v>
      </c>
      <c r="C41" s="24">
        <v>1137</v>
      </c>
      <c r="D41" s="8"/>
      <c r="E41" s="24">
        <v>1115</v>
      </c>
      <c r="F41" s="8"/>
      <c r="G41" s="24">
        <v>1102</v>
      </c>
      <c r="H41" s="8"/>
      <c r="I41" s="24">
        <v>1232</v>
      </c>
      <c r="J41" s="8"/>
      <c r="K41" s="24">
        <v>1238</v>
      </c>
      <c r="L41" s="8"/>
      <c r="M41" s="24">
        <v>1221</v>
      </c>
      <c r="N41" s="8"/>
      <c r="O41" s="24">
        <v>1246</v>
      </c>
      <c r="P41" s="8"/>
      <c r="Q41" s="24">
        <v>1194</v>
      </c>
      <c r="R41" s="8"/>
      <c r="S41" s="24">
        <v>1184</v>
      </c>
      <c r="T41" s="8"/>
      <c r="U41" s="24">
        <v>1221</v>
      </c>
      <c r="V41" s="8"/>
      <c r="W41" s="24">
        <v>1201</v>
      </c>
      <c r="X41" s="8"/>
      <c r="Y41" s="24">
        <v>1206</v>
      </c>
      <c r="Z41" s="8"/>
      <c r="AA41" s="24">
        <v>1226</v>
      </c>
      <c r="AB41" s="8"/>
      <c r="AC41" s="8"/>
      <c r="AE41" s="8"/>
      <c r="AG41" s="8"/>
    </row>
    <row r="42" ht="12" customHeight="1">
      <c r="A42" s="8" t="s">
        <v>145</v>
      </c>
      <c r="B42" s="8" t="s">
        <v>622</v>
      </c>
      <c r="C42" s="24">
        <v>1189</v>
      </c>
      <c r="D42" s="8"/>
      <c r="E42" s="24">
        <v>1159</v>
      </c>
      <c r="F42" s="8"/>
      <c r="G42" s="24">
        <v>1142</v>
      </c>
      <c r="H42" s="8"/>
      <c r="I42" s="24">
        <v>1330</v>
      </c>
      <c r="J42" s="8"/>
      <c r="K42" s="24">
        <v>1330</v>
      </c>
      <c r="L42" s="8"/>
      <c r="M42" s="24">
        <v>1300</v>
      </c>
      <c r="N42" s="8"/>
      <c r="O42" s="24">
        <v>1309</v>
      </c>
      <c r="P42" s="8"/>
      <c r="Q42" s="24">
        <v>1225</v>
      </c>
      <c r="R42" s="8"/>
      <c r="S42" s="24">
        <v>1208</v>
      </c>
      <c r="T42" s="8"/>
      <c r="U42" s="24">
        <v>1264</v>
      </c>
      <c r="V42" s="8"/>
      <c r="W42" s="24">
        <v>1203</v>
      </c>
      <c r="X42" s="8"/>
      <c r="Y42" s="24">
        <v>1205</v>
      </c>
      <c r="Z42" s="8"/>
      <c r="AA42" s="24">
        <v>1235</v>
      </c>
      <c r="AB42" s="8"/>
      <c r="AC42" s="8"/>
      <c r="AE42" s="8"/>
      <c r="AG42" s="8"/>
    </row>
    <row r="43" ht="12" customHeight="1">
      <c r="A43" s="8" t="s">
        <v>147</v>
      </c>
      <c r="B43" s="8" t="s">
        <v>623</v>
      </c>
      <c r="C43" s="24">
        <v>1345</v>
      </c>
      <c r="D43" s="8"/>
      <c r="E43" s="24">
        <v>1309</v>
      </c>
      <c r="F43" s="8"/>
      <c r="G43" s="24">
        <v>1241</v>
      </c>
      <c r="H43" s="8"/>
      <c r="I43" s="24">
        <v>1277</v>
      </c>
      <c r="J43" s="8"/>
      <c r="K43" s="24">
        <v>1274</v>
      </c>
      <c r="L43" s="8"/>
      <c r="M43" s="24">
        <v>1208</v>
      </c>
      <c r="N43" s="8"/>
      <c r="O43" s="24">
        <v>1157</v>
      </c>
      <c r="P43" s="8"/>
      <c r="Q43" s="24">
        <v>1193</v>
      </c>
      <c r="R43" s="8"/>
      <c r="S43" s="24">
        <v>1256</v>
      </c>
      <c r="T43" s="8"/>
      <c r="U43" s="24">
        <v>1214</v>
      </c>
      <c r="V43" s="8"/>
      <c r="W43" s="24">
        <v>1188</v>
      </c>
      <c r="X43" s="8"/>
      <c r="Y43" s="24">
        <v>1208</v>
      </c>
      <c r="Z43" s="8"/>
      <c r="AA43" s="24">
        <v>1276</v>
      </c>
      <c r="AB43" s="8"/>
      <c r="AC43" s="8"/>
      <c r="AE43" s="8"/>
      <c r="AG43" s="8"/>
    </row>
    <row r="44" ht="12" customHeight="1">
      <c r="A44" s="11" t="s">
        <v>149</v>
      </c>
      <c r="B44" s="8" t="s">
        <v>624</v>
      </c>
      <c r="C44" s="24">
        <v>796</v>
      </c>
      <c r="D44" s="8"/>
      <c r="E44" s="24">
        <v>799</v>
      </c>
      <c r="F44" s="8"/>
      <c r="G44" s="24">
        <v>801</v>
      </c>
      <c r="H44" s="8"/>
      <c r="I44" s="24">
        <v>812</v>
      </c>
      <c r="J44" s="8"/>
      <c r="K44" s="24">
        <v>827</v>
      </c>
      <c r="L44" s="8"/>
      <c r="M44" s="24">
        <v>830</v>
      </c>
      <c r="N44" s="8"/>
      <c r="O44" s="24">
        <v>835</v>
      </c>
      <c r="P44" s="8"/>
      <c r="Q44" s="24">
        <v>842</v>
      </c>
      <c r="R44" s="8"/>
      <c r="S44" s="24">
        <v>858</v>
      </c>
      <c r="T44" s="8"/>
      <c r="U44" s="24">
        <v>860</v>
      </c>
      <c r="V44" s="8"/>
      <c r="W44" s="24">
        <v>858</v>
      </c>
      <c r="X44" s="8"/>
      <c r="Y44" s="24">
        <v>862</v>
      </c>
      <c r="Z44" s="8"/>
      <c r="AA44" s="24">
        <v>897</v>
      </c>
      <c r="AB44" s="8"/>
      <c r="AC44" s="8"/>
      <c r="AE44" s="8"/>
      <c r="AG44" s="8"/>
    </row>
    <row r="45" ht="12" customHeight="1">
      <c r="A45" s="8" t="s">
        <v>151</v>
      </c>
      <c r="B45" s="8" t="s">
        <v>625</v>
      </c>
      <c r="C45" s="24">
        <v>1367</v>
      </c>
      <c r="D45" s="8"/>
      <c r="E45" s="24">
        <v>1387</v>
      </c>
      <c r="F45" s="8"/>
      <c r="G45" s="24">
        <v>1363</v>
      </c>
      <c r="H45" s="8"/>
      <c r="I45" s="24">
        <v>1435</v>
      </c>
      <c r="J45" s="8"/>
      <c r="K45" s="24">
        <v>1468</v>
      </c>
      <c r="L45" s="8"/>
      <c r="M45" s="24">
        <v>1423</v>
      </c>
      <c r="N45" s="8"/>
      <c r="O45" s="24">
        <v>1420</v>
      </c>
      <c r="P45" s="8"/>
      <c r="Q45" s="24">
        <v>1446</v>
      </c>
      <c r="R45" s="8"/>
      <c r="S45" s="24">
        <v>1450</v>
      </c>
      <c r="T45" s="8"/>
      <c r="U45" s="24">
        <v>1444</v>
      </c>
      <c r="V45" s="8"/>
      <c r="W45" s="24">
        <v>1458</v>
      </c>
      <c r="X45" s="8"/>
      <c r="Y45" s="24">
        <v>1568</v>
      </c>
      <c r="Z45" s="8"/>
      <c r="AA45" s="24">
        <v>1572</v>
      </c>
      <c r="AB45" s="8"/>
      <c r="AC45" s="8"/>
      <c r="AE45" s="8"/>
      <c r="AG45" s="8"/>
    </row>
    <row r="46" ht="12" customHeight="1">
      <c r="A46" s="8" t="s">
        <v>153</v>
      </c>
      <c r="B46" s="8" t="s">
        <v>626</v>
      </c>
      <c r="C46" s="24">
        <v>286</v>
      </c>
      <c r="D46" s="8"/>
      <c r="E46" s="24">
        <v>290</v>
      </c>
      <c r="F46" s="8"/>
      <c r="G46" s="24">
        <v>261</v>
      </c>
      <c r="H46" s="8"/>
      <c r="I46" s="24">
        <v>245</v>
      </c>
      <c r="J46" s="8"/>
      <c r="K46" s="24">
        <v>284</v>
      </c>
      <c r="L46" s="8"/>
      <c r="M46" s="24">
        <v>276</v>
      </c>
      <c r="N46" s="8"/>
      <c r="O46" s="24">
        <v>298</v>
      </c>
      <c r="P46" s="8"/>
      <c r="Q46" s="24">
        <v>253</v>
      </c>
      <c r="R46" s="8"/>
      <c r="S46" s="24">
        <v>253</v>
      </c>
      <c r="T46" s="8"/>
      <c r="U46" s="24">
        <v>240</v>
      </c>
      <c r="V46" s="8"/>
      <c r="W46" s="24">
        <v>223</v>
      </c>
      <c r="X46" s="8"/>
      <c r="Y46" s="24">
        <v>215</v>
      </c>
      <c r="Z46" s="8"/>
      <c r="AA46" s="24">
        <v>239</v>
      </c>
      <c r="AB46" s="8"/>
      <c r="AC46" s="8"/>
      <c r="AE46" s="8"/>
      <c r="AG46" s="8"/>
    </row>
    <row r="47" ht="12" customHeight="1">
      <c r="A47" s="8" t="s">
        <v>155</v>
      </c>
      <c r="B47" s="8" t="s">
        <v>627</v>
      </c>
      <c r="C47" s="24">
        <v>853</v>
      </c>
      <c r="D47" s="8"/>
      <c r="E47" s="24">
        <v>856</v>
      </c>
      <c r="F47" s="8"/>
      <c r="G47" s="24">
        <v>864</v>
      </c>
      <c r="H47" s="8"/>
      <c r="I47" s="24">
        <v>877</v>
      </c>
      <c r="J47" s="8"/>
      <c r="K47" s="24">
        <v>888</v>
      </c>
      <c r="L47" s="8"/>
      <c r="M47" s="24">
        <v>893</v>
      </c>
      <c r="N47" s="8"/>
      <c r="O47" s="24">
        <v>896</v>
      </c>
      <c r="P47" s="8"/>
      <c r="Q47" s="24">
        <v>911</v>
      </c>
      <c r="R47" s="8"/>
      <c r="S47" s="24">
        <v>930</v>
      </c>
      <c r="T47" s="8"/>
      <c r="U47" s="24">
        <v>945</v>
      </c>
      <c r="V47" s="8"/>
      <c r="W47" s="24">
        <v>958</v>
      </c>
      <c r="X47" s="8"/>
      <c r="Y47" s="24">
        <v>968</v>
      </c>
      <c r="Z47" s="8"/>
      <c r="AA47" s="24">
        <v>995</v>
      </c>
      <c r="AB47" s="8"/>
      <c r="AC47" s="8"/>
      <c r="AE47" s="8"/>
      <c r="AG47" s="8"/>
    </row>
    <row r="48" ht="12" customHeight="1">
      <c r="A48" s="11" t="s">
        <v>157</v>
      </c>
      <c r="B48" s="8" t="s">
        <v>628</v>
      </c>
      <c r="C48" s="24">
        <v>1130</v>
      </c>
      <c r="D48" s="8"/>
      <c r="E48" s="24">
        <v>1140</v>
      </c>
      <c r="F48" s="8"/>
      <c r="G48" s="24">
        <v>1156</v>
      </c>
      <c r="H48" s="8"/>
      <c r="I48" s="24">
        <v>1167</v>
      </c>
      <c r="J48" s="8"/>
      <c r="K48" s="24">
        <v>1185</v>
      </c>
      <c r="L48" s="8"/>
      <c r="M48" s="24">
        <v>1206</v>
      </c>
      <c r="N48" s="8"/>
      <c r="O48" s="24">
        <v>1190</v>
      </c>
      <c r="P48" s="8"/>
      <c r="Q48" s="24">
        <v>1194</v>
      </c>
      <c r="R48" s="8"/>
      <c r="S48" s="24">
        <v>1215</v>
      </c>
      <c r="T48" s="8"/>
      <c r="U48" s="24">
        <v>1212</v>
      </c>
      <c r="V48" s="8"/>
      <c r="W48" s="24">
        <v>1218</v>
      </c>
      <c r="X48" s="8"/>
      <c r="Y48" s="24">
        <v>1228</v>
      </c>
      <c r="Z48" s="8"/>
      <c r="AA48" s="24">
        <v>1249</v>
      </c>
      <c r="AB48" s="8"/>
      <c r="AC48" s="8"/>
      <c r="AE48" s="8"/>
      <c r="AG48" s="8"/>
    </row>
    <row r="49" ht="12" customHeight="1">
      <c r="A49" s="8" t="s">
        <v>159</v>
      </c>
      <c r="B49" s="8" t="s">
        <v>629</v>
      </c>
      <c r="C49" s="24">
        <v>466</v>
      </c>
      <c r="D49" s="8"/>
      <c r="E49" s="24">
        <v>449</v>
      </c>
      <c r="F49" s="8"/>
      <c r="G49" s="24">
        <v>403</v>
      </c>
      <c r="H49" s="8"/>
      <c r="I49" s="24">
        <v>410</v>
      </c>
      <c r="J49" s="8"/>
      <c r="K49" s="24">
        <v>436</v>
      </c>
      <c r="L49" s="8"/>
      <c r="M49" s="24">
        <v>407</v>
      </c>
      <c r="N49" s="8"/>
      <c r="O49" s="24">
        <v>386</v>
      </c>
      <c r="P49" s="8"/>
      <c r="Q49" s="24">
        <v>398</v>
      </c>
      <c r="R49" s="8"/>
      <c r="S49" s="24">
        <v>412</v>
      </c>
      <c r="T49" s="8"/>
      <c r="U49" s="24">
        <v>384</v>
      </c>
      <c r="V49" s="8"/>
      <c r="W49" s="24">
        <v>336</v>
      </c>
      <c r="X49" s="8"/>
      <c r="Y49" s="24">
        <v>343</v>
      </c>
      <c r="Z49" s="8"/>
      <c r="AA49" s="24">
        <v>371</v>
      </c>
      <c r="AB49" s="8"/>
      <c r="AC49" s="8"/>
      <c r="AE49" s="8"/>
      <c r="AG49" s="8"/>
    </row>
    <row r="50" ht="12" customHeight="1">
      <c r="A50" s="8" t="s">
        <v>161</v>
      </c>
      <c r="B50" s="8" t="s">
        <v>630</v>
      </c>
      <c r="C50" s="24">
        <v>1373</v>
      </c>
      <c r="D50" s="8"/>
      <c r="E50" s="24">
        <v>1382</v>
      </c>
      <c r="F50" s="8"/>
      <c r="G50" s="24">
        <v>1372</v>
      </c>
      <c r="H50" s="8"/>
      <c r="I50" s="24">
        <v>1380</v>
      </c>
      <c r="J50" s="8"/>
      <c r="K50" s="24">
        <v>1369</v>
      </c>
      <c r="L50" s="8"/>
      <c r="M50" s="24">
        <v>1397</v>
      </c>
      <c r="N50" s="8"/>
      <c r="O50" s="24">
        <v>1397</v>
      </c>
      <c r="P50" s="8"/>
      <c r="Q50" s="24">
        <v>1363</v>
      </c>
      <c r="R50" s="8"/>
      <c r="S50" s="24">
        <v>1370</v>
      </c>
      <c r="T50" s="8"/>
      <c r="U50" s="24">
        <v>1381</v>
      </c>
      <c r="V50" s="8"/>
      <c r="W50" s="24">
        <v>1405</v>
      </c>
      <c r="X50" s="8"/>
      <c r="Y50" s="24">
        <v>1400</v>
      </c>
      <c r="Z50" s="8"/>
      <c r="AA50" s="24">
        <v>1411</v>
      </c>
      <c r="AB50" s="8"/>
      <c r="AC50" s="8"/>
      <c r="AE50" s="8"/>
      <c r="AG50" s="8"/>
    </row>
    <row r="51" ht="12" customHeight="1">
      <c r="A51" s="8" t="s">
        <v>163</v>
      </c>
      <c r="B51" s="8" t="s">
        <v>631</v>
      </c>
      <c r="C51" s="24">
        <v>1235</v>
      </c>
      <c r="D51" s="8"/>
      <c r="E51" s="24">
        <v>1250</v>
      </c>
      <c r="F51" s="8"/>
      <c r="G51" s="24">
        <v>1303</v>
      </c>
      <c r="H51" s="8"/>
      <c r="I51" s="24">
        <v>1300</v>
      </c>
      <c r="J51" s="8"/>
      <c r="K51" s="24">
        <v>1305</v>
      </c>
      <c r="L51" s="8"/>
      <c r="M51" s="24">
        <v>1315</v>
      </c>
      <c r="N51" s="8"/>
      <c r="O51" s="24">
        <v>1287</v>
      </c>
      <c r="P51" s="8"/>
      <c r="Q51" s="24">
        <v>1303</v>
      </c>
      <c r="R51" s="8"/>
      <c r="S51" s="24">
        <v>1320</v>
      </c>
      <c r="T51" s="8"/>
      <c r="U51" s="24">
        <v>1305</v>
      </c>
      <c r="V51" s="8"/>
      <c r="W51" s="24">
        <v>1276</v>
      </c>
      <c r="X51" s="8"/>
      <c r="Y51" s="24">
        <v>1293</v>
      </c>
      <c r="Z51" s="8"/>
      <c r="AA51" s="24">
        <v>1303</v>
      </c>
      <c r="AB51" s="8"/>
      <c r="AC51" s="8"/>
      <c r="AE51" s="8"/>
      <c r="AG51" s="8"/>
    </row>
    <row r="52" ht="12" customHeight="1">
      <c r="A52" s="8" t="s">
        <v>165</v>
      </c>
      <c r="B52" s="8" t="s">
        <v>632</v>
      </c>
      <c r="C52" s="24">
        <v>1137</v>
      </c>
      <c r="D52" s="8"/>
      <c r="E52" s="24">
        <v>1150</v>
      </c>
      <c r="F52" s="8"/>
      <c r="G52" s="24">
        <v>1174</v>
      </c>
      <c r="H52" s="8"/>
      <c r="I52" s="24">
        <v>1193</v>
      </c>
      <c r="J52" s="8"/>
      <c r="K52" s="24">
        <v>1215</v>
      </c>
      <c r="L52" s="8"/>
      <c r="M52" s="24">
        <v>1234</v>
      </c>
      <c r="N52" s="8"/>
      <c r="O52" s="24">
        <v>1262</v>
      </c>
      <c r="P52" s="8"/>
      <c r="Q52" s="24">
        <v>1271</v>
      </c>
      <c r="R52" s="8"/>
      <c r="S52" s="24">
        <v>1285</v>
      </c>
      <c r="T52" s="8"/>
      <c r="U52" s="24">
        <v>1291</v>
      </c>
      <c r="V52" s="8"/>
      <c r="W52" s="24">
        <v>1361</v>
      </c>
      <c r="X52" s="8"/>
      <c r="Y52" s="24">
        <v>1368</v>
      </c>
      <c r="Z52" s="8"/>
      <c r="AA52" s="24">
        <v>1369</v>
      </c>
      <c r="AB52" s="8"/>
      <c r="AC52" s="8"/>
      <c r="AE52" s="8"/>
      <c r="AG52" s="8"/>
    </row>
    <row r="53" ht="12" customHeight="1">
      <c r="A53" s="8" t="s">
        <v>167</v>
      </c>
      <c r="B53" s="8" t="s">
        <v>633</v>
      </c>
      <c r="C53" s="24">
        <v>1357</v>
      </c>
      <c r="D53" s="8"/>
      <c r="E53" s="24">
        <v>1387</v>
      </c>
      <c r="F53" s="8"/>
      <c r="G53" s="24">
        <v>1416</v>
      </c>
      <c r="H53" s="8"/>
      <c r="I53" s="24">
        <v>1447</v>
      </c>
      <c r="J53" s="8"/>
      <c r="K53" s="24">
        <v>1458</v>
      </c>
      <c r="L53" s="8"/>
      <c r="M53" s="24">
        <v>1456</v>
      </c>
      <c r="N53" s="8"/>
      <c r="O53" s="24">
        <v>1475</v>
      </c>
      <c r="P53" s="8"/>
      <c r="Q53" s="24">
        <v>1476</v>
      </c>
      <c r="R53" s="8"/>
      <c r="S53" s="24">
        <v>1501</v>
      </c>
      <c r="T53" s="8"/>
      <c r="U53" s="24">
        <v>1491</v>
      </c>
      <c r="V53" s="8"/>
      <c r="W53" s="24">
        <v>1495</v>
      </c>
      <c r="X53" s="8"/>
      <c r="Y53" s="24">
        <v>1528</v>
      </c>
      <c r="Z53" s="8"/>
      <c r="AA53" s="24">
        <v>1546</v>
      </c>
      <c r="AB53" s="8"/>
      <c r="AC53" s="8"/>
      <c r="AE53" s="8"/>
      <c r="AG53" s="8"/>
    </row>
    <row r="54" ht="12" customHeight="1">
      <c r="A54" s="8" t="s">
        <v>169</v>
      </c>
      <c r="B54" s="8" t="s">
        <v>634</v>
      </c>
      <c r="C54" s="24">
        <v>1660</v>
      </c>
      <c r="D54" s="8"/>
      <c r="E54" s="24">
        <v>1684</v>
      </c>
      <c r="F54" s="8"/>
      <c r="G54" s="24">
        <v>1715</v>
      </c>
      <c r="H54" s="8"/>
      <c r="I54" s="24">
        <v>1732</v>
      </c>
      <c r="J54" s="8"/>
      <c r="K54" s="24">
        <v>1751</v>
      </c>
      <c r="L54" s="8"/>
      <c r="M54" s="24">
        <v>1867</v>
      </c>
      <c r="N54" s="8"/>
      <c r="O54" s="24">
        <v>1779</v>
      </c>
      <c r="P54" s="8"/>
      <c r="Q54" s="24">
        <v>1747</v>
      </c>
      <c r="R54" s="8"/>
      <c r="S54" s="24">
        <v>1797</v>
      </c>
      <c r="T54" s="8"/>
      <c r="U54" s="24">
        <v>1833</v>
      </c>
      <c r="V54" s="8"/>
      <c r="W54" s="24">
        <v>1837</v>
      </c>
      <c r="X54" s="8"/>
      <c r="Y54" s="24">
        <v>1846</v>
      </c>
      <c r="Z54" s="8"/>
      <c r="AA54" s="24">
        <v>1915</v>
      </c>
      <c r="AB54" s="8"/>
      <c r="AC54" s="8"/>
      <c r="AE54" s="8"/>
      <c r="AG54" s="8"/>
    </row>
    <row r="55" ht="12" customHeight="1">
      <c r="A55" s="11" t="s">
        <v>171</v>
      </c>
      <c r="B55" s="8" t="s">
        <v>635</v>
      </c>
      <c r="C55" s="24">
        <v>1140</v>
      </c>
      <c r="D55" s="8"/>
      <c r="E55" s="24">
        <v>1166</v>
      </c>
      <c r="F55" s="8"/>
      <c r="G55" s="24">
        <v>1166</v>
      </c>
      <c r="H55" s="8"/>
      <c r="I55" s="24">
        <v>1187</v>
      </c>
      <c r="J55" s="8"/>
      <c r="K55" s="24">
        <v>1187</v>
      </c>
      <c r="L55" s="8"/>
      <c r="M55" s="24">
        <v>1217</v>
      </c>
      <c r="N55" s="8"/>
      <c r="O55" s="24">
        <v>1217</v>
      </c>
      <c r="P55" s="8"/>
      <c r="Q55" s="24">
        <v>1081</v>
      </c>
      <c r="R55" s="8"/>
      <c r="S55" s="24">
        <v>1081</v>
      </c>
      <c r="T55" s="8"/>
      <c r="U55" s="24">
        <v>1182</v>
      </c>
      <c r="V55" s="8"/>
      <c r="W55" s="24">
        <v>1182</v>
      </c>
      <c r="X55" s="8"/>
      <c r="Y55" s="24">
        <v>1191</v>
      </c>
      <c r="Z55" s="8"/>
      <c r="AA55" s="24">
        <v>1191</v>
      </c>
      <c r="AB55" s="8"/>
      <c r="AC55" s="8"/>
      <c r="AE55" s="8"/>
      <c r="AG55" s="8"/>
    </row>
    <row r="56" ht="12" customHeight="1">
      <c r="A56" s="8" t="s">
        <v>173</v>
      </c>
      <c r="B56" s="8" t="s">
        <v>636</v>
      </c>
      <c r="C56" s="24">
        <v>1270</v>
      </c>
      <c r="D56" s="8"/>
      <c r="E56" s="24">
        <v>1270</v>
      </c>
      <c r="F56" s="8"/>
      <c r="G56" s="24">
        <v>1270</v>
      </c>
      <c r="H56" s="8"/>
      <c r="I56" s="24">
        <v>1317</v>
      </c>
      <c r="J56" s="8"/>
      <c r="K56" s="24">
        <v>1317</v>
      </c>
      <c r="L56" s="8"/>
      <c r="M56" s="24">
        <v>1317</v>
      </c>
      <c r="N56" s="8"/>
      <c r="O56" s="24">
        <v>1317</v>
      </c>
      <c r="P56" s="8"/>
      <c r="Q56" s="24">
        <v>1005</v>
      </c>
      <c r="R56" s="8"/>
      <c r="S56" s="24">
        <v>1005</v>
      </c>
      <c r="T56" s="8"/>
      <c r="U56" s="24">
        <v>1005</v>
      </c>
      <c r="V56" s="8"/>
      <c r="W56" s="24">
        <v>1005</v>
      </c>
      <c r="X56" s="8"/>
      <c r="Y56" s="24">
        <v>1030</v>
      </c>
      <c r="Z56" s="8"/>
      <c r="AA56" s="24">
        <v>1030</v>
      </c>
      <c r="AB56" s="8"/>
      <c r="AC56" s="8"/>
      <c r="AE56" s="8"/>
      <c r="AG56" s="8"/>
    </row>
    <row r="57" ht="12" customHeight="1">
      <c r="A57" s="8" t="s">
        <v>175</v>
      </c>
      <c r="B57" s="8" t="s">
        <v>637</v>
      </c>
      <c r="C57" s="24">
        <v>1242</v>
      </c>
      <c r="D57" s="8"/>
      <c r="E57" s="24">
        <v>1283</v>
      </c>
      <c r="F57" s="8"/>
      <c r="G57" s="24">
        <v>1283</v>
      </c>
      <c r="H57" s="8"/>
      <c r="I57" s="24">
        <v>1283</v>
      </c>
      <c r="J57" s="8"/>
      <c r="K57" s="24">
        <v>1283</v>
      </c>
      <c r="L57" s="8"/>
      <c r="M57" s="24">
        <v>1345</v>
      </c>
      <c r="N57" s="8"/>
      <c r="O57" s="24">
        <v>1345</v>
      </c>
      <c r="P57" s="8"/>
      <c r="Q57" s="24">
        <v>1345</v>
      </c>
      <c r="R57" s="8"/>
      <c r="S57" s="24">
        <v>1345</v>
      </c>
      <c r="T57" s="8"/>
      <c r="U57" s="24">
        <v>1400</v>
      </c>
      <c r="V57" s="8"/>
      <c r="W57" s="24">
        <v>1400</v>
      </c>
      <c r="X57" s="8"/>
      <c r="Y57" s="24">
        <v>1400</v>
      </c>
      <c r="Z57" s="8"/>
      <c r="AA57" s="24">
        <v>1400</v>
      </c>
      <c r="AB57" s="8"/>
      <c r="AC57" s="8"/>
      <c r="AE57" s="8"/>
      <c r="AG57" s="8"/>
    </row>
    <row r="58" ht="12" customHeight="1">
      <c r="A58" s="8" t="s">
        <v>177</v>
      </c>
      <c r="B58" s="8" t="s">
        <v>638</v>
      </c>
      <c r="C58" s="24">
        <v>998</v>
      </c>
      <c r="D58" s="8"/>
      <c r="E58" s="24">
        <v>1053</v>
      </c>
      <c r="F58" s="8"/>
      <c r="G58" s="24">
        <v>1053</v>
      </c>
      <c r="H58" s="8"/>
      <c r="I58" s="24">
        <v>1053</v>
      </c>
      <c r="J58" s="8"/>
      <c r="K58" s="24">
        <v>1053</v>
      </c>
      <c r="L58" s="8"/>
      <c r="M58" s="24">
        <v>1108</v>
      </c>
      <c r="N58" s="8"/>
      <c r="O58" s="24">
        <v>1108</v>
      </c>
      <c r="P58" s="8"/>
      <c r="Q58" s="24">
        <v>1108</v>
      </c>
      <c r="R58" s="8"/>
      <c r="S58" s="24">
        <v>1108</v>
      </c>
      <c r="T58" s="8"/>
      <c r="U58" s="24">
        <v>1359</v>
      </c>
      <c r="V58" s="8"/>
      <c r="W58" s="24">
        <v>1359</v>
      </c>
      <c r="X58" s="8"/>
      <c r="Y58" s="24">
        <v>1359</v>
      </c>
      <c r="Z58" s="8"/>
      <c r="AA58" s="24">
        <v>1359</v>
      </c>
      <c r="AB58" s="8"/>
      <c r="AC58" s="8"/>
      <c r="AE58" s="8"/>
      <c r="AG58" s="8"/>
    </row>
    <row r="59" ht="12" customHeight="1">
      <c r="A59" s="8" t="s">
        <v>179</v>
      </c>
      <c r="B59" s="8" t="s">
        <v>639</v>
      </c>
      <c r="C59" s="24">
        <v>1111</v>
      </c>
      <c r="D59" s="8"/>
      <c r="E59" s="24">
        <v>1174</v>
      </c>
      <c r="F59" s="8"/>
      <c r="G59" s="24">
        <v>1174</v>
      </c>
      <c r="H59" s="8"/>
      <c r="I59" s="24">
        <v>1174</v>
      </c>
      <c r="J59" s="8"/>
      <c r="K59" s="24">
        <v>1174</v>
      </c>
      <c r="L59" s="8"/>
      <c r="M59" s="24">
        <v>1225</v>
      </c>
      <c r="N59" s="8"/>
      <c r="O59" s="24">
        <v>1225</v>
      </c>
      <c r="P59" s="8"/>
      <c r="Q59" s="24">
        <v>1225</v>
      </c>
      <c r="R59" s="8"/>
      <c r="S59" s="24">
        <v>1225</v>
      </c>
      <c r="T59" s="8"/>
      <c r="U59" s="24">
        <v>1288</v>
      </c>
      <c r="V59" s="8"/>
      <c r="W59" s="24">
        <v>1288</v>
      </c>
      <c r="X59" s="8"/>
      <c r="Y59" s="24">
        <v>1288</v>
      </c>
      <c r="Z59" s="8"/>
      <c r="AA59" s="24">
        <v>1288</v>
      </c>
      <c r="AB59" s="8"/>
      <c r="AC59" s="8"/>
      <c r="AE59" s="8"/>
      <c r="AG59" s="8"/>
    </row>
    <row r="60" ht="12" customHeight="1">
      <c r="A60" s="11" t="s">
        <v>181</v>
      </c>
      <c r="B60" s="8" t="s">
        <v>640</v>
      </c>
      <c r="C60" s="24">
        <v>1290</v>
      </c>
      <c r="D60" s="8"/>
      <c r="E60" s="24">
        <v>1314</v>
      </c>
      <c r="F60" s="8"/>
      <c r="G60" s="24">
        <v>1352</v>
      </c>
      <c r="H60" s="8"/>
      <c r="I60" s="24">
        <v>1382</v>
      </c>
      <c r="J60" s="8"/>
      <c r="K60" s="24">
        <v>1411</v>
      </c>
      <c r="L60" s="8"/>
      <c r="M60" s="24">
        <v>1447</v>
      </c>
      <c r="N60" s="8"/>
      <c r="O60" s="24">
        <v>1484</v>
      </c>
      <c r="P60" s="8"/>
      <c r="Q60" s="24">
        <v>1507</v>
      </c>
      <c r="R60" s="8"/>
      <c r="S60" s="24">
        <v>1528</v>
      </c>
      <c r="T60" s="8"/>
      <c r="U60" s="24">
        <v>1547</v>
      </c>
      <c r="V60" s="8"/>
      <c r="W60" s="24">
        <v>1566</v>
      </c>
      <c r="X60" s="8"/>
      <c r="Y60" s="24">
        <v>1576</v>
      </c>
      <c r="Z60" s="8"/>
      <c r="AA60" s="24">
        <v>1584</v>
      </c>
      <c r="AB60" s="8"/>
      <c r="AC60" s="8"/>
      <c r="AE60" s="8"/>
      <c r="AG60" s="8"/>
    </row>
    <row r="61" ht="12" customHeight="1">
      <c r="A61" s="8" t="s">
        <v>183</v>
      </c>
      <c r="B61" s="8" t="s">
        <v>641</v>
      </c>
      <c r="C61" s="24">
        <v>1138</v>
      </c>
      <c r="D61" s="8"/>
      <c r="E61" s="24">
        <v>1158</v>
      </c>
      <c r="F61" s="8"/>
      <c r="G61" s="24">
        <v>1184</v>
      </c>
      <c r="H61" s="8"/>
      <c r="I61" s="24">
        <v>1180</v>
      </c>
      <c r="J61" s="8"/>
      <c r="K61" s="24">
        <v>1170</v>
      </c>
      <c r="L61" s="8"/>
      <c r="M61" s="24">
        <v>1173</v>
      </c>
      <c r="N61" s="8"/>
      <c r="O61" s="24">
        <v>1176</v>
      </c>
      <c r="P61" s="8"/>
      <c r="Q61" s="24">
        <v>1172</v>
      </c>
      <c r="R61" s="8"/>
      <c r="S61" s="24">
        <v>1172</v>
      </c>
      <c r="T61" s="8"/>
      <c r="U61" s="24">
        <v>1178</v>
      </c>
      <c r="V61" s="8"/>
      <c r="W61" s="24">
        <v>1190</v>
      </c>
      <c r="X61" s="8"/>
      <c r="Y61" s="24">
        <v>1193</v>
      </c>
      <c r="Z61" s="8"/>
      <c r="AA61" s="24">
        <v>1192</v>
      </c>
      <c r="AB61" s="8"/>
      <c r="AC61" s="8"/>
      <c r="AE61" s="8"/>
      <c r="AG61" s="8"/>
    </row>
    <row r="62" ht="12" customHeight="1">
      <c r="A62" s="8" t="s">
        <v>185</v>
      </c>
      <c r="B62" s="8" t="s">
        <v>642</v>
      </c>
      <c r="C62" s="24">
        <v>1210</v>
      </c>
      <c r="D62" s="8"/>
      <c r="E62" s="24">
        <v>1201</v>
      </c>
      <c r="F62" s="8"/>
      <c r="G62" s="24">
        <v>1205</v>
      </c>
      <c r="H62" s="8"/>
      <c r="I62" s="24">
        <v>1216</v>
      </c>
      <c r="J62" s="8"/>
      <c r="K62" s="24">
        <v>1240</v>
      </c>
      <c r="L62" s="8"/>
      <c r="M62" s="24">
        <v>1231</v>
      </c>
      <c r="N62" s="8"/>
      <c r="O62" s="24">
        <v>1261</v>
      </c>
      <c r="P62" s="8"/>
      <c r="Q62" s="24">
        <v>1282</v>
      </c>
      <c r="R62" s="8"/>
      <c r="S62" s="24">
        <v>1309</v>
      </c>
      <c r="T62" s="8"/>
      <c r="U62" s="24">
        <v>1312</v>
      </c>
      <c r="V62" s="8"/>
      <c r="W62" s="24">
        <v>1349</v>
      </c>
      <c r="X62" s="8"/>
      <c r="Y62" s="24">
        <v>1364</v>
      </c>
      <c r="Z62" s="8"/>
      <c r="AA62" s="24">
        <v>1410</v>
      </c>
      <c r="AB62" s="8"/>
      <c r="AC62" s="8"/>
      <c r="AE62" s="8"/>
      <c r="AG62" s="8"/>
    </row>
    <row r="63" ht="12" customHeight="1">
      <c r="A63" s="8" t="s">
        <v>187</v>
      </c>
      <c r="B63" s="8" t="s">
        <v>643</v>
      </c>
      <c r="C63" s="24">
        <v>1359</v>
      </c>
      <c r="D63" s="8"/>
      <c r="E63" s="24">
        <v>1391</v>
      </c>
      <c r="F63" s="8"/>
      <c r="G63" s="24">
        <v>1444</v>
      </c>
      <c r="H63" s="8"/>
      <c r="I63" s="24">
        <v>1503</v>
      </c>
      <c r="J63" s="8"/>
      <c r="K63" s="24">
        <v>1564</v>
      </c>
      <c r="L63" s="8"/>
      <c r="M63" s="24">
        <v>1633</v>
      </c>
      <c r="N63" s="8"/>
      <c r="O63" s="24">
        <v>1696</v>
      </c>
      <c r="P63" s="8"/>
      <c r="Q63" s="24">
        <v>1742</v>
      </c>
      <c r="R63" s="8"/>
      <c r="S63" s="24">
        <v>1781</v>
      </c>
      <c r="T63" s="8"/>
      <c r="U63" s="24">
        <v>1810</v>
      </c>
      <c r="V63" s="8"/>
      <c r="W63" s="24">
        <v>1834</v>
      </c>
      <c r="X63" s="8"/>
      <c r="Y63" s="24">
        <v>1850</v>
      </c>
      <c r="Z63" s="8"/>
      <c r="AA63" s="24">
        <v>1862</v>
      </c>
      <c r="AB63" s="8"/>
      <c r="AC63" s="8"/>
      <c r="AE63" s="8"/>
      <c r="AG63" s="8"/>
    </row>
    <row r="64" ht="12" customHeight="1">
      <c r="A64" s="8" t="s">
        <v>189</v>
      </c>
      <c r="B64" s="8" t="s">
        <v>644</v>
      </c>
      <c r="C64" s="24">
        <v>768</v>
      </c>
      <c r="D64" s="8"/>
      <c r="E64" s="24">
        <v>762</v>
      </c>
      <c r="F64" s="8"/>
      <c r="G64" s="24">
        <v>762</v>
      </c>
      <c r="H64" s="8"/>
      <c r="I64" s="24">
        <v>762</v>
      </c>
      <c r="J64" s="8"/>
      <c r="K64" s="24">
        <v>762</v>
      </c>
      <c r="L64" s="8"/>
      <c r="M64" s="24">
        <v>762</v>
      </c>
      <c r="N64" s="8"/>
      <c r="O64" s="24">
        <v>762</v>
      </c>
      <c r="P64" s="8"/>
      <c r="Q64" s="24">
        <v>740</v>
      </c>
      <c r="R64" s="8"/>
      <c r="S64" s="24">
        <v>733</v>
      </c>
      <c r="T64" s="8"/>
      <c r="U64" s="24">
        <v>733</v>
      </c>
      <c r="V64" s="8"/>
      <c r="W64" s="24">
        <v>728</v>
      </c>
      <c r="X64" s="8"/>
      <c r="Y64" s="24">
        <v>728</v>
      </c>
      <c r="Z64" s="8"/>
      <c r="AA64" s="24">
        <v>728</v>
      </c>
      <c r="AB64" s="8"/>
      <c r="AC64" s="8"/>
      <c r="AE64" s="8"/>
      <c r="AG64" s="8"/>
    </row>
    <row r="65" ht="12" customHeight="1">
      <c r="A65" s="8" t="s">
        <v>191</v>
      </c>
      <c r="B65" s="8" t="s">
        <v>645</v>
      </c>
      <c r="C65" s="24">
        <v>1304</v>
      </c>
      <c r="D65" s="8"/>
      <c r="E65" s="24">
        <v>1321</v>
      </c>
      <c r="F65" s="8"/>
      <c r="G65" s="24">
        <v>1340</v>
      </c>
      <c r="H65" s="8"/>
      <c r="I65" s="24">
        <v>1350</v>
      </c>
      <c r="J65" s="8"/>
      <c r="K65" s="24">
        <v>1354</v>
      </c>
      <c r="L65" s="8"/>
      <c r="M65" s="24">
        <v>1358</v>
      </c>
      <c r="N65" s="8"/>
      <c r="O65" s="24">
        <v>1389</v>
      </c>
      <c r="P65" s="8"/>
      <c r="Q65" s="24">
        <v>1392</v>
      </c>
      <c r="R65" s="8"/>
      <c r="S65" s="24">
        <v>1399</v>
      </c>
      <c r="T65" s="8"/>
      <c r="U65" s="24">
        <v>1409</v>
      </c>
      <c r="V65" s="8"/>
      <c r="W65" s="24">
        <v>1427</v>
      </c>
      <c r="X65" s="8"/>
      <c r="Y65" s="24">
        <v>1416</v>
      </c>
      <c r="Z65" s="8"/>
      <c r="AA65" s="24">
        <v>1416</v>
      </c>
      <c r="AB65" s="8"/>
      <c r="AC65" s="8"/>
      <c r="AE65" s="8"/>
      <c r="AG65" s="8"/>
    </row>
    <row r="66" ht="12" customHeight="1">
      <c r="A66" s="11" t="s">
        <v>193</v>
      </c>
      <c r="B66" s="8" t="s">
        <v>646</v>
      </c>
      <c r="C66" s="24">
        <v>1501</v>
      </c>
      <c r="D66" s="8"/>
      <c r="E66" s="24">
        <v>1603</v>
      </c>
      <c r="F66" s="8"/>
      <c r="G66" s="24">
        <v>1655</v>
      </c>
      <c r="H66" s="8"/>
      <c r="I66" s="24">
        <v>1793</v>
      </c>
      <c r="J66" s="8"/>
      <c r="K66" s="24">
        <v>1968</v>
      </c>
      <c r="L66" s="8"/>
      <c r="M66" s="24">
        <v>2056</v>
      </c>
      <c r="N66" s="8"/>
      <c r="O66" s="24">
        <v>2099</v>
      </c>
      <c r="P66" s="8"/>
      <c r="Q66" s="24">
        <v>2120</v>
      </c>
      <c r="R66" s="8"/>
      <c r="S66" s="24">
        <v>2106</v>
      </c>
      <c r="T66" s="8"/>
      <c r="U66" s="24">
        <v>2065</v>
      </c>
      <c r="V66" s="8"/>
      <c r="W66" s="24">
        <v>1937</v>
      </c>
      <c r="X66" s="8"/>
      <c r="Y66" s="24">
        <v>1816</v>
      </c>
      <c r="Z66" s="8"/>
      <c r="AA66" s="24">
        <v>1743</v>
      </c>
      <c r="AB66" s="8"/>
      <c r="AC66" s="8"/>
      <c r="AE66" s="8"/>
      <c r="AG66" s="8"/>
    </row>
    <row r="67" ht="12" customHeight="1">
      <c r="A67" s="8" t="s">
        <v>195</v>
      </c>
      <c r="B67" s="8" t="s">
        <v>647</v>
      </c>
      <c r="C67" s="24">
        <v>1501</v>
      </c>
      <c r="D67" s="8"/>
      <c r="E67" s="24">
        <v>1603</v>
      </c>
      <c r="F67" s="8"/>
      <c r="G67" s="24">
        <v>1655</v>
      </c>
      <c r="H67" s="8"/>
      <c r="I67" s="24">
        <v>1793</v>
      </c>
      <c r="J67" s="8"/>
      <c r="K67" s="24">
        <v>1968</v>
      </c>
      <c r="L67" s="8"/>
      <c r="M67" s="24">
        <v>2056</v>
      </c>
      <c r="N67" s="8"/>
      <c r="O67" s="24">
        <v>2099</v>
      </c>
      <c r="P67" s="8"/>
      <c r="Q67" s="24">
        <v>2120</v>
      </c>
      <c r="R67" s="8"/>
      <c r="S67" s="24">
        <v>2106</v>
      </c>
      <c r="T67" s="8"/>
      <c r="U67" s="24">
        <v>2065</v>
      </c>
      <c r="V67" s="8"/>
      <c r="W67" s="24">
        <v>1937</v>
      </c>
      <c r="X67" s="8"/>
      <c r="Y67" s="24">
        <v>1816</v>
      </c>
      <c r="Z67" s="8"/>
      <c r="AA67" s="24">
        <v>1743</v>
      </c>
      <c r="AB67" s="8"/>
      <c r="AC67" s="8"/>
      <c r="AE67" s="8"/>
      <c r="AG67" s="8"/>
    </row>
    <row r="68" ht="12" customHeight="1">
      <c r="A68" s="13" t="s">
        <v>69</v>
      </c>
      <c r="B68" s="10" t="s">
        <v>54</v>
      </c>
      <c r="C68" s="25">
        <v>1232</v>
      </c>
      <c r="D68" s="10"/>
      <c r="E68" s="25">
        <v>1255</v>
      </c>
      <c r="F68" s="10"/>
      <c r="G68" s="25">
        <v>1274</v>
      </c>
      <c r="H68" s="10"/>
      <c r="I68" s="25">
        <v>1308</v>
      </c>
      <c r="J68" s="10"/>
      <c r="K68" s="25">
        <v>1323</v>
      </c>
      <c r="L68" s="10"/>
      <c r="M68" s="25">
        <v>1337</v>
      </c>
      <c r="N68" s="10"/>
      <c r="O68" s="25">
        <v>1346</v>
      </c>
      <c r="P68" s="10"/>
      <c r="Q68" s="25">
        <v>1357</v>
      </c>
      <c r="R68" s="10"/>
      <c r="S68" s="25">
        <v>1360</v>
      </c>
      <c r="T68" s="10"/>
      <c r="U68" s="25">
        <v>1370</v>
      </c>
      <c r="V68" s="10"/>
      <c r="W68" s="25">
        <v>1370</v>
      </c>
      <c r="X68" s="10"/>
      <c r="Y68" s="25">
        <v>1376</v>
      </c>
      <c r="Z68" s="10"/>
      <c r="AA68" s="25">
        <v>1380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648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587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588</v>
      </c>
      <c r="C8" s="22">
        <v>1.7</v>
      </c>
      <c r="D8" s="22"/>
      <c r="E8" s="22">
        <v>3.8999999999999999</v>
      </c>
      <c r="F8" s="22"/>
      <c r="G8" s="22">
        <v>2.3999999999999999</v>
      </c>
      <c r="H8" s="22"/>
      <c r="I8" s="22">
        <v>0.69999999999999996</v>
      </c>
      <c r="J8" s="22"/>
      <c r="K8" s="22">
        <v>-1.2</v>
      </c>
      <c r="L8" s="22"/>
      <c r="M8" s="22">
        <v>0.40000000000000002</v>
      </c>
      <c r="N8" s="22"/>
      <c r="O8" s="22">
        <v>0.20000000000000001</v>
      </c>
      <c r="P8" s="22"/>
      <c r="Q8" s="22">
        <v>1.2</v>
      </c>
      <c r="R8" s="22"/>
      <c r="S8" s="22">
        <v>-0.80000000000000004</v>
      </c>
      <c r="T8" s="22"/>
      <c r="U8" s="22">
        <v>1.7</v>
      </c>
      <c r="V8" s="22"/>
      <c r="W8" s="22">
        <v>1.6000000000000001</v>
      </c>
      <c r="X8" s="22"/>
      <c r="Y8" s="22">
        <v>1.7</v>
      </c>
      <c r="Z8" s="22"/>
      <c r="AA8" s="22">
        <v>-0.69999999999999996</v>
      </c>
      <c r="AB8" s="18"/>
      <c r="AC8" s="18"/>
    </row>
    <row r="9" ht="12" customHeight="1">
      <c r="A9" s="8" t="s">
        <v>79</v>
      </c>
      <c r="B9" s="8" t="s">
        <v>589</v>
      </c>
      <c r="C9" s="26">
        <v>-6.0999999999999996</v>
      </c>
      <c r="D9" s="8"/>
      <c r="E9" s="26">
        <v>9.6999999999999993</v>
      </c>
      <c r="F9" s="8"/>
      <c r="G9" s="26">
        <v>0.90000000000000002</v>
      </c>
      <c r="H9" s="8"/>
      <c r="I9" s="26">
        <v>0.20000000000000001</v>
      </c>
      <c r="J9" s="8"/>
      <c r="K9" s="26">
        <v>-7.4000000000000004</v>
      </c>
      <c r="L9" s="8"/>
      <c r="M9" s="26">
        <v>-2.5</v>
      </c>
      <c r="N9" s="8"/>
      <c r="O9" s="26">
        <v>-5.7000000000000002</v>
      </c>
      <c r="P9" s="8"/>
      <c r="Q9" s="26">
        <v>5.2000000000000002</v>
      </c>
      <c r="R9" s="8"/>
      <c r="S9" s="26">
        <v>-6.2999999999999998</v>
      </c>
      <c r="T9" s="8"/>
      <c r="U9" s="26">
        <v>1.6000000000000001</v>
      </c>
      <c r="V9" s="8"/>
      <c r="W9" s="26">
        <v>2.7999999999999998</v>
      </c>
      <c r="X9" s="8"/>
      <c r="Y9" s="26">
        <v>8.3000000000000007</v>
      </c>
      <c r="Z9" s="8"/>
      <c r="AA9" s="26">
        <v>-8.0999999999999996</v>
      </c>
      <c r="AB9" s="8"/>
      <c r="AC9" s="8"/>
    </row>
    <row r="10" ht="12" customHeight="1">
      <c r="A10" s="8" t="s">
        <v>81</v>
      </c>
      <c r="B10" s="8" t="s">
        <v>590</v>
      </c>
      <c r="C10" s="26">
        <v>4</v>
      </c>
      <c r="D10" s="8"/>
      <c r="E10" s="26">
        <v>1.6000000000000001</v>
      </c>
      <c r="F10" s="8"/>
      <c r="G10" s="26">
        <v>1.7</v>
      </c>
      <c r="H10" s="8"/>
      <c r="I10" s="26">
        <v>0.20000000000000001</v>
      </c>
      <c r="J10" s="8"/>
      <c r="K10" s="26">
        <v>-1.2</v>
      </c>
      <c r="L10" s="8"/>
      <c r="M10" s="26">
        <v>-0.40000000000000002</v>
      </c>
      <c r="N10" s="8"/>
      <c r="O10" s="26">
        <v>0.29999999999999999</v>
      </c>
      <c r="P10" s="8"/>
      <c r="Q10" s="26">
        <v>1.1000000000000001</v>
      </c>
      <c r="R10" s="8"/>
      <c r="S10" s="26">
        <v>0.59999999999999998</v>
      </c>
      <c r="T10" s="8"/>
      <c r="U10" s="26">
        <v>1.3999999999999999</v>
      </c>
      <c r="V10" s="8"/>
      <c r="W10" s="26">
        <v>1.2</v>
      </c>
      <c r="X10" s="8"/>
      <c r="Y10" s="26">
        <v>3.5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591</v>
      </c>
      <c r="C11" s="26">
        <v>3.2999999999999998</v>
      </c>
      <c r="D11" s="8"/>
      <c r="E11" s="26">
        <v>4.5</v>
      </c>
      <c r="F11" s="8"/>
      <c r="G11" s="26">
        <v>2.8999999999999999</v>
      </c>
      <c r="H11" s="8"/>
      <c r="I11" s="26">
        <v>0.40000000000000002</v>
      </c>
      <c r="J11" s="8"/>
      <c r="K11" s="26">
        <v>-0.59999999999999998</v>
      </c>
      <c r="L11" s="8"/>
      <c r="M11" s="26">
        <v>1.3</v>
      </c>
      <c r="N11" s="8"/>
      <c r="O11" s="26">
        <v>0.90000000000000002</v>
      </c>
      <c r="P11" s="8"/>
      <c r="Q11" s="26">
        <v>0.5</v>
      </c>
      <c r="R11" s="8"/>
      <c r="S11" s="26">
        <v>-0.5</v>
      </c>
      <c r="T11" s="8"/>
      <c r="U11" s="26">
        <v>2.7999999999999998</v>
      </c>
      <c r="V11" s="8"/>
      <c r="W11" s="26">
        <v>1.3999999999999999</v>
      </c>
      <c r="X11" s="8"/>
      <c r="Y11" s="26">
        <v>0.40000000000000002</v>
      </c>
      <c r="Z11" s="8"/>
      <c r="AA11" s="26">
        <v>-0.29999999999999999</v>
      </c>
      <c r="AB11" s="8"/>
      <c r="AC11" s="8"/>
    </row>
    <row r="12" ht="12" customHeight="1">
      <c r="A12" s="8" t="s">
        <v>85</v>
      </c>
      <c r="B12" s="8" t="s">
        <v>592</v>
      </c>
      <c r="C12" s="26">
        <v>2.8999999999999999</v>
      </c>
      <c r="D12" s="8"/>
      <c r="E12" s="26">
        <v>2.2000000000000002</v>
      </c>
      <c r="F12" s="8"/>
      <c r="G12" s="26">
        <v>2.7000000000000002</v>
      </c>
      <c r="H12" s="8"/>
      <c r="I12" s="26">
        <v>0.80000000000000004</v>
      </c>
      <c r="J12" s="8"/>
      <c r="K12" s="26">
        <v>0</v>
      </c>
      <c r="L12" s="8"/>
      <c r="M12" s="26">
        <v>0.90000000000000002</v>
      </c>
      <c r="N12" s="8"/>
      <c r="O12" s="26">
        <v>2.3999999999999999</v>
      </c>
      <c r="P12" s="8"/>
      <c r="Q12" s="26">
        <v>0.80000000000000004</v>
      </c>
      <c r="R12" s="8"/>
      <c r="S12" s="26">
        <v>-0.20000000000000001</v>
      </c>
      <c r="T12" s="8"/>
      <c r="U12" s="26">
        <v>2.3999999999999999</v>
      </c>
      <c r="V12" s="8"/>
      <c r="W12" s="26">
        <v>2.6000000000000001</v>
      </c>
      <c r="X12" s="8"/>
      <c r="Y12" s="26">
        <v>-0.80000000000000004</v>
      </c>
      <c r="Z12" s="8"/>
      <c r="AA12" s="26">
        <v>0.5</v>
      </c>
      <c r="AB12" s="8"/>
      <c r="AC12" s="8"/>
    </row>
    <row r="13" ht="12" customHeight="1">
      <c r="A13" s="8" t="s">
        <v>87</v>
      </c>
      <c r="B13" s="8" t="s">
        <v>593</v>
      </c>
      <c r="C13" s="26">
        <v>2.2000000000000002</v>
      </c>
      <c r="D13" s="8"/>
      <c r="E13" s="26">
        <v>1.8999999999999999</v>
      </c>
      <c r="F13" s="8"/>
      <c r="G13" s="26">
        <v>2.8999999999999999</v>
      </c>
      <c r="H13" s="8"/>
      <c r="I13" s="26">
        <v>1.7</v>
      </c>
      <c r="J13" s="8"/>
      <c r="K13" s="26">
        <v>0.80000000000000004</v>
      </c>
      <c r="L13" s="8"/>
      <c r="M13" s="26">
        <v>1</v>
      </c>
      <c r="N13" s="8"/>
      <c r="O13" s="26">
        <v>1.3</v>
      </c>
      <c r="P13" s="8"/>
      <c r="Q13" s="26">
        <v>0.5</v>
      </c>
      <c r="R13" s="8"/>
      <c r="S13" s="26">
        <v>0.40000000000000002</v>
      </c>
      <c r="T13" s="8"/>
      <c r="U13" s="26">
        <v>0.29999999999999999</v>
      </c>
      <c r="V13" s="8"/>
      <c r="W13" s="26">
        <v>0.90000000000000002</v>
      </c>
      <c r="X13" s="8"/>
      <c r="Y13" s="26">
        <v>0.69999999999999996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594</v>
      </c>
      <c r="C14" s="26">
        <v>0.59999999999999998</v>
      </c>
      <c r="D14" s="8"/>
      <c r="E14" s="26">
        <v>4</v>
      </c>
      <c r="F14" s="8"/>
      <c r="G14" s="26">
        <v>1.3</v>
      </c>
      <c r="H14" s="8"/>
      <c r="I14" s="26">
        <v>1.3</v>
      </c>
      <c r="J14" s="8"/>
      <c r="K14" s="26">
        <v>1.2</v>
      </c>
      <c r="L14" s="8"/>
      <c r="M14" s="26">
        <v>3.2999999999999998</v>
      </c>
      <c r="N14" s="8"/>
      <c r="O14" s="26">
        <v>0.90000000000000002</v>
      </c>
      <c r="P14" s="8"/>
      <c r="Q14" s="26">
        <v>0.59999999999999998</v>
      </c>
      <c r="R14" s="8"/>
      <c r="S14" s="26">
        <v>0.10000000000000001</v>
      </c>
      <c r="T14" s="8"/>
      <c r="U14" s="26">
        <v>1.8999999999999999</v>
      </c>
      <c r="V14" s="8"/>
      <c r="W14" s="26">
        <v>-0.20000000000000001</v>
      </c>
      <c r="X14" s="8"/>
      <c r="Y14" s="26">
        <v>0.5</v>
      </c>
      <c r="Z14" s="8"/>
      <c r="AA14" s="26">
        <v>0.20000000000000001</v>
      </c>
      <c r="AB14" s="8"/>
      <c r="AC14" s="8"/>
    </row>
    <row r="15" ht="12" customHeight="1">
      <c r="A15" s="8" t="s">
        <v>91</v>
      </c>
      <c r="B15" s="8" t="s">
        <v>595</v>
      </c>
      <c r="C15" s="26">
        <v>0.59999999999999998</v>
      </c>
      <c r="D15" s="8"/>
      <c r="E15" s="26">
        <v>1.6000000000000001</v>
      </c>
      <c r="F15" s="8"/>
      <c r="G15" s="26">
        <v>2.2000000000000002</v>
      </c>
      <c r="H15" s="8"/>
      <c r="I15" s="26">
        <v>1.8</v>
      </c>
      <c r="J15" s="8"/>
      <c r="K15" s="26">
        <v>0.10000000000000001</v>
      </c>
      <c r="L15" s="8"/>
      <c r="M15" s="26">
        <v>1</v>
      </c>
      <c r="N15" s="8"/>
      <c r="O15" s="26">
        <v>1.6000000000000001</v>
      </c>
      <c r="P15" s="8"/>
      <c r="Q15" s="26">
        <v>0.59999999999999998</v>
      </c>
      <c r="R15" s="8"/>
      <c r="S15" s="26">
        <v>-0.20000000000000001</v>
      </c>
      <c r="T15" s="8"/>
      <c r="U15" s="26">
        <v>0.80000000000000004</v>
      </c>
      <c r="V15" s="8"/>
      <c r="W15" s="26">
        <v>-0.5</v>
      </c>
      <c r="X15" s="8"/>
      <c r="Y15" s="26">
        <v>0.90000000000000002</v>
      </c>
      <c r="Z15" s="8"/>
      <c r="AA15" s="26">
        <v>-0.59999999999999998</v>
      </c>
      <c r="AB15" s="8"/>
      <c r="AC15" s="8"/>
    </row>
    <row r="16" ht="12" customHeight="1">
      <c r="A16" s="8" t="s">
        <v>93</v>
      </c>
      <c r="B16" s="8" t="s">
        <v>596</v>
      </c>
      <c r="C16" s="26">
        <v>0.59999999999999998</v>
      </c>
      <c r="D16" s="8"/>
      <c r="E16" s="26">
        <v>7.5</v>
      </c>
      <c r="F16" s="8"/>
      <c r="G16" s="26">
        <v>0.10000000000000001</v>
      </c>
      <c r="H16" s="8"/>
      <c r="I16" s="26">
        <v>0.59999999999999998</v>
      </c>
      <c r="J16" s="8"/>
      <c r="K16" s="26">
        <v>2.7000000000000002</v>
      </c>
      <c r="L16" s="8"/>
      <c r="M16" s="26">
        <v>6.5</v>
      </c>
      <c r="N16" s="8"/>
      <c r="O16" s="26">
        <v>0</v>
      </c>
      <c r="P16" s="8"/>
      <c r="Q16" s="26">
        <v>0.40000000000000002</v>
      </c>
      <c r="R16" s="8"/>
      <c r="S16" s="26">
        <v>0.59999999999999998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597</v>
      </c>
      <c r="C17" s="26">
        <v>1</v>
      </c>
      <c r="D17" s="8"/>
      <c r="E17" s="26">
        <v>-0.10000000000000001</v>
      </c>
      <c r="F17" s="8"/>
      <c r="G17" s="26">
        <v>3.1000000000000001</v>
      </c>
      <c r="H17" s="8"/>
      <c r="I17" s="26">
        <v>0</v>
      </c>
      <c r="J17" s="8"/>
      <c r="K17" s="26">
        <v>0.5</v>
      </c>
      <c r="L17" s="8"/>
      <c r="M17" s="26">
        <v>0.20000000000000001</v>
      </c>
      <c r="N17" s="8"/>
      <c r="O17" s="26">
        <v>-0.29999999999999999</v>
      </c>
      <c r="P17" s="8"/>
      <c r="Q17" s="26">
        <v>0</v>
      </c>
      <c r="R17" s="8"/>
      <c r="S17" s="26">
        <v>-0.90000000000000002</v>
      </c>
      <c r="T17" s="8"/>
      <c r="U17" s="26">
        <v>0.20000000000000001</v>
      </c>
      <c r="V17" s="8"/>
      <c r="W17" s="26">
        <v>0.10000000000000001</v>
      </c>
      <c r="X17" s="8"/>
      <c r="Y17" s="26">
        <v>0.59999999999999998</v>
      </c>
      <c r="Z17" s="8"/>
      <c r="AA17" s="26">
        <v>0.90000000000000002</v>
      </c>
      <c r="AB17" s="8"/>
      <c r="AC17" s="8"/>
    </row>
    <row r="18" ht="12" customHeight="1">
      <c r="A18" s="8" t="s">
        <v>97</v>
      </c>
      <c r="B18" s="8" t="s">
        <v>598</v>
      </c>
      <c r="C18" s="26">
        <v>1.3</v>
      </c>
      <c r="D18" s="8"/>
      <c r="E18" s="26">
        <v>-0.40000000000000002</v>
      </c>
      <c r="F18" s="8"/>
      <c r="G18" s="26">
        <v>3.5</v>
      </c>
      <c r="H18" s="8"/>
      <c r="I18" s="26">
        <v>0.20000000000000001</v>
      </c>
      <c r="J18" s="8"/>
      <c r="K18" s="26">
        <v>0.59999999999999998</v>
      </c>
      <c r="L18" s="8"/>
      <c r="M18" s="26">
        <v>0.5</v>
      </c>
      <c r="N18" s="8"/>
      <c r="O18" s="26">
        <v>-0.59999999999999998</v>
      </c>
      <c r="P18" s="8"/>
      <c r="Q18" s="26">
        <v>-0.10000000000000001</v>
      </c>
      <c r="R18" s="8"/>
      <c r="S18" s="26">
        <v>-1.1000000000000001</v>
      </c>
      <c r="T18" s="8"/>
      <c r="U18" s="26">
        <v>-0.29999999999999999</v>
      </c>
      <c r="V18" s="8"/>
      <c r="W18" s="26">
        <v>0.69999999999999996</v>
      </c>
      <c r="X18" s="8"/>
      <c r="Y18" s="26">
        <v>0.20000000000000001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599</v>
      </c>
      <c r="C19" s="26">
        <v>0.10000000000000001</v>
      </c>
      <c r="D19" s="8"/>
      <c r="E19" s="26">
        <v>1</v>
      </c>
      <c r="F19" s="8"/>
      <c r="G19" s="26">
        <v>1.3999999999999999</v>
      </c>
      <c r="H19" s="8"/>
      <c r="I19" s="26">
        <v>-0.69999999999999996</v>
      </c>
      <c r="J19" s="8"/>
      <c r="K19" s="26">
        <v>0.29999999999999999</v>
      </c>
      <c r="L19" s="8"/>
      <c r="M19" s="26">
        <v>-1</v>
      </c>
      <c r="N19" s="8"/>
      <c r="O19" s="26">
        <v>1.1000000000000001</v>
      </c>
      <c r="P19" s="8"/>
      <c r="Q19" s="26">
        <v>0.5</v>
      </c>
      <c r="R19" s="8"/>
      <c r="S19" s="26">
        <v>-0.40000000000000002</v>
      </c>
      <c r="T19" s="8"/>
      <c r="U19" s="26">
        <v>2.2999999999999998</v>
      </c>
      <c r="V19" s="8"/>
      <c r="W19" s="26">
        <v>-2.2999999999999998</v>
      </c>
      <c r="X19" s="8"/>
      <c r="Y19" s="26">
        <v>2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600</v>
      </c>
      <c r="C20" s="26">
        <v>0.90000000000000002</v>
      </c>
      <c r="D20" s="8"/>
      <c r="E20" s="26">
        <v>1.1000000000000001</v>
      </c>
      <c r="F20" s="8"/>
      <c r="G20" s="26">
        <v>1.3999999999999999</v>
      </c>
      <c r="H20" s="8"/>
      <c r="I20" s="26">
        <v>2.2999999999999998</v>
      </c>
      <c r="J20" s="8"/>
      <c r="K20" s="26">
        <v>1</v>
      </c>
      <c r="L20" s="8"/>
      <c r="M20" s="26">
        <v>0.69999999999999996</v>
      </c>
      <c r="N20" s="8"/>
      <c r="O20" s="26">
        <v>1.3</v>
      </c>
      <c r="P20" s="8"/>
      <c r="Q20" s="26">
        <v>3.1000000000000001</v>
      </c>
      <c r="R20" s="8"/>
      <c r="S20" s="26">
        <v>0.59999999999999998</v>
      </c>
      <c r="T20" s="8"/>
      <c r="U20" s="26">
        <v>0.80000000000000004</v>
      </c>
      <c r="V20" s="8"/>
      <c r="W20" s="26">
        <v>1.3</v>
      </c>
      <c r="X20" s="8"/>
      <c r="Y20" s="26">
        <v>2.2999999999999998</v>
      </c>
      <c r="Z20" s="8"/>
      <c r="AA20" s="26">
        <v>0.5</v>
      </c>
      <c r="AB20" s="8"/>
      <c r="AC20" s="8"/>
    </row>
    <row r="21" ht="12" customHeight="1">
      <c r="A21" s="8" t="s">
        <v>103</v>
      </c>
      <c r="B21" s="8" t="s">
        <v>601</v>
      </c>
      <c r="C21" s="26">
        <v>1.1000000000000001</v>
      </c>
      <c r="D21" s="8"/>
      <c r="E21" s="26">
        <v>1.2</v>
      </c>
      <c r="F21" s="8"/>
      <c r="G21" s="26">
        <v>1.3</v>
      </c>
      <c r="H21" s="8"/>
      <c r="I21" s="26">
        <v>1.3</v>
      </c>
      <c r="J21" s="8"/>
      <c r="K21" s="26">
        <v>1.2</v>
      </c>
      <c r="L21" s="8"/>
      <c r="M21" s="26">
        <v>1.3</v>
      </c>
      <c r="N21" s="8"/>
      <c r="O21" s="26">
        <v>1.2</v>
      </c>
      <c r="P21" s="8"/>
      <c r="Q21" s="26">
        <v>1</v>
      </c>
      <c r="R21" s="8"/>
      <c r="S21" s="26">
        <v>0.90000000000000002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602</v>
      </c>
      <c r="C22" s="26">
        <v>1.1000000000000001</v>
      </c>
      <c r="D22" s="8"/>
      <c r="E22" s="26">
        <v>1.2</v>
      </c>
      <c r="F22" s="8"/>
      <c r="G22" s="26">
        <v>1.3</v>
      </c>
      <c r="H22" s="8"/>
      <c r="I22" s="26">
        <v>1.3</v>
      </c>
      <c r="J22" s="8"/>
      <c r="K22" s="26">
        <v>1.2</v>
      </c>
      <c r="L22" s="8"/>
      <c r="M22" s="26">
        <v>1.3</v>
      </c>
      <c r="N22" s="8"/>
      <c r="O22" s="26">
        <v>1.2</v>
      </c>
      <c r="P22" s="8"/>
      <c r="Q22" s="26">
        <v>1</v>
      </c>
      <c r="R22" s="8"/>
      <c r="S22" s="26">
        <v>0.90000000000000002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603</v>
      </c>
      <c r="C23" s="26">
        <v>1.2</v>
      </c>
      <c r="D23" s="8"/>
      <c r="E23" s="26">
        <v>-0.40000000000000002</v>
      </c>
      <c r="F23" s="8"/>
      <c r="G23" s="26">
        <v>2.2000000000000002</v>
      </c>
      <c r="H23" s="8"/>
      <c r="I23" s="26">
        <v>0.59999999999999998</v>
      </c>
      <c r="J23" s="8"/>
      <c r="K23" s="26">
        <v>0.10000000000000001</v>
      </c>
      <c r="L23" s="8"/>
      <c r="M23" s="26">
        <v>0.10000000000000001</v>
      </c>
      <c r="N23" s="8"/>
      <c r="O23" s="26">
        <v>1.6000000000000001</v>
      </c>
      <c r="P23" s="8"/>
      <c r="Q23" s="26">
        <v>1.3</v>
      </c>
      <c r="R23" s="8"/>
      <c r="S23" s="26">
        <v>-0.29999999999999999</v>
      </c>
      <c r="T23" s="8"/>
      <c r="U23" s="26">
        <v>0.29999999999999999</v>
      </c>
      <c r="V23" s="8"/>
      <c r="W23" s="26">
        <v>0.29999999999999999</v>
      </c>
      <c r="X23" s="8"/>
      <c r="Y23" s="26">
        <v>0.69999999999999996</v>
      </c>
      <c r="Z23" s="8"/>
      <c r="AA23" s="26">
        <v>0.69999999999999996</v>
      </c>
      <c r="AB23" s="8"/>
      <c r="AC23" s="8"/>
    </row>
    <row r="24" ht="12" customHeight="1">
      <c r="A24" s="8" t="s">
        <v>109</v>
      </c>
      <c r="B24" s="8" t="s">
        <v>604</v>
      </c>
      <c r="C24" s="26">
        <v>0.10000000000000001</v>
      </c>
      <c r="D24" s="8"/>
      <c r="E24" s="26">
        <v>0</v>
      </c>
      <c r="F24" s="8"/>
      <c r="G24" s="26">
        <v>0.10000000000000001</v>
      </c>
      <c r="H24" s="8"/>
      <c r="I24" s="26">
        <v>9.5</v>
      </c>
      <c r="J24" s="8"/>
      <c r="K24" s="26">
        <v>0.10000000000000001</v>
      </c>
      <c r="L24" s="8"/>
      <c r="M24" s="26">
        <v>0</v>
      </c>
      <c r="N24" s="8"/>
      <c r="O24" s="26">
        <v>0.10000000000000001</v>
      </c>
      <c r="P24" s="8"/>
      <c r="Q24" s="26">
        <v>11.9</v>
      </c>
      <c r="R24" s="8"/>
      <c r="S24" s="26">
        <v>0.10000000000000001</v>
      </c>
      <c r="T24" s="8"/>
      <c r="U24" s="26">
        <v>0</v>
      </c>
      <c r="V24" s="8"/>
      <c r="W24" s="26">
        <v>0</v>
      </c>
      <c r="X24" s="8"/>
      <c r="Y24" s="26">
        <v>8.1999999999999993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605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9.8000000000000007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12.1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606</v>
      </c>
      <c r="C26" s="26">
        <v>1.2</v>
      </c>
      <c r="D26" s="8"/>
      <c r="E26" s="26">
        <v>2.2999999999999998</v>
      </c>
      <c r="F26" s="8"/>
      <c r="G26" s="26">
        <v>2.7000000000000002</v>
      </c>
      <c r="H26" s="8"/>
      <c r="I26" s="26">
        <v>-1.1000000000000001</v>
      </c>
      <c r="J26" s="8"/>
      <c r="K26" s="26">
        <v>1.7</v>
      </c>
      <c r="L26" s="8"/>
      <c r="M26" s="26">
        <v>0.29999999999999999</v>
      </c>
      <c r="N26" s="8"/>
      <c r="O26" s="26">
        <v>2.7000000000000002</v>
      </c>
      <c r="P26" s="8"/>
      <c r="Q26" s="26">
        <v>0.80000000000000004</v>
      </c>
      <c r="R26" s="8"/>
      <c r="S26" s="26">
        <v>0.80000000000000004</v>
      </c>
      <c r="T26" s="8"/>
      <c r="U26" s="26">
        <v>2.3999999999999999</v>
      </c>
      <c r="V26" s="8"/>
      <c r="W26" s="26">
        <v>4.7999999999999998</v>
      </c>
      <c r="X26" s="8"/>
      <c r="Y26" s="26">
        <v>2.8999999999999999</v>
      </c>
      <c r="Z26" s="8"/>
      <c r="AA26" s="26">
        <v>1.6000000000000001</v>
      </c>
      <c r="AB26" s="8"/>
      <c r="AC26" s="8"/>
    </row>
    <row r="27" ht="12" customHeight="1">
      <c r="A27" s="8" t="s">
        <v>115</v>
      </c>
      <c r="B27" s="8" t="s">
        <v>607</v>
      </c>
      <c r="C27" s="26">
        <v>1</v>
      </c>
      <c r="D27" s="8"/>
      <c r="E27" s="26">
        <v>2.2999999999999998</v>
      </c>
      <c r="F27" s="8"/>
      <c r="G27" s="26">
        <v>2.6000000000000001</v>
      </c>
      <c r="H27" s="8"/>
      <c r="I27" s="26">
        <v>-1.7</v>
      </c>
      <c r="J27" s="8"/>
      <c r="K27" s="26">
        <v>1.7</v>
      </c>
      <c r="L27" s="8"/>
      <c r="M27" s="26">
        <v>0.29999999999999999</v>
      </c>
      <c r="N27" s="8"/>
      <c r="O27" s="26">
        <v>2.8999999999999999</v>
      </c>
      <c r="P27" s="8"/>
      <c r="Q27" s="26">
        <v>0.59999999999999998</v>
      </c>
      <c r="R27" s="8"/>
      <c r="S27" s="26">
        <v>0.5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1.2</v>
      </c>
      <c r="AB27" s="8"/>
      <c r="AC27" s="8"/>
    </row>
    <row r="28" ht="12" customHeight="1">
      <c r="A28" s="11" t="s">
        <v>117</v>
      </c>
      <c r="B28" s="8" t="s">
        <v>608</v>
      </c>
      <c r="C28" s="26">
        <v>2.8999999999999999</v>
      </c>
      <c r="D28" s="8"/>
      <c r="E28" s="26">
        <v>-0.69999999999999996</v>
      </c>
      <c r="F28" s="8"/>
      <c r="G28" s="26">
        <v>3</v>
      </c>
      <c r="H28" s="8"/>
      <c r="I28" s="26">
        <v>-1.3</v>
      </c>
      <c r="J28" s="8"/>
      <c r="K28" s="26">
        <v>0.20000000000000001</v>
      </c>
      <c r="L28" s="8"/>
      <c r="M28" s="26">
        <v>-1.2</v>
      </c>
      <c r="N28" s="8"/>
      <c r="O28" s="26">
        <v>0.69999999999999996</v>
      </c>
      <c r="P28" s="8"/>
      <c r="Q28" s="26">
        <v>0.5</v>
      </c>
      <c r="R28" s="8"/>
      <c r="S28" s="26">
        <v>-0.90000000000000002</v>
      </c>
      <c r="T28" s="8"/>
      <c r="U28" s="26">
        <v>-0.59999999999999998</v>
      </c>
      <c r="V28" s="8"/>
      <c r="W28" s="26">
        <v>0.29999999999999999</v>
      </c>
      <c r="X28" s="8"/>
      <c r="Y28" s="26">
        <v>-0.80000000000000004</v>
      </c>
      <c r="Z28" s="8"/>
      <c r="AA28" s="26">
        <v>0.20000000000000001</v>
      </c>
      <c r="AB28" s="8"/>
      <c r="AC28" s="8"/>
    </row>
    <row r="29" ht="12" customHeight="1">
      <c r="A29" s="8" t="s">
        <v>119</v>
      </c>
      <c r="B29" s="8" t="s">
        <v>609</v>
      </c>
      <c r="C29" s="26">
        <v>4.7000000000000002</v>
      </c>
      <c r="D29" s="8"/>
      <c r="E29" s="26">
        <v>-4</v>
      </c>
      <c r="F29" s="8"/>
      <c r="G29" s="26">
        <v>3.7999999999999998</v>
      </c>
      <c r="H29" s="8"/>
      <c r="I29" s="26">
        <v>-0.80000000000000004</v>
      </c>
      <c r="J29" s="8"/>
      <c r="K29" s="26">
        <v>-1.3999999999999999</v>
      </c>
      <c r="L29" s="8"/>
      <c r="M29" s="26">
        <v>-4.7000000000000002</v>
      </c>
      <c r="N29" s="8"/>
      <c r="O29" s="26">
        <v>0.10000000000000001</v>
      </c>
      <c r="P29" s="8"/>
      <c r="Q29" s="26">
        <v>4.5</v>
      </c>
      <c r="R29" s="8"/>
      <c r="S29" s="26">
        <v>-1.5</v>
      </c>
      <c r="T29" s="8"/>
      <c r="U29" s="26">
        <v>-1.3</v>
      </c>
      <c r="V29" s="8"/>
      <c r="W29" s="26">
        <v>-1.7</v>
      </c>
      <c r="X29" s="8"/>
      <c r="Y29" s="26">
        <v>-2</v>
      </c>
      <c r="Z29" s="8"/>
      <c r="AA29" s="26">
        <v>4.2999999999999998</v>
      </c>
      <c r="AB29" s="8"/>
      <c r="AC29" s="8"/>
    </row>
    <row r="30" ht="12" customHeight="1">
      <c r="A30" s="8" t="s">
        <v>121</v>
      </c>
      <c r="B30" s="8" t="s">
        <v>610</v>
      </c>
      <c r="C30" s="26">
        <v>2.6000000000000001</v>
      </c>
      <c r="D30" s="8"/>
      <c r="E30" s="26">
        <v>1.7</v>
      </c>
      <c r="F30" s="8"/>
      <c r="G30" s="26">
        <v>0.69999999999999996</v>
      </c>
      <c r="H30" s="8"/>
      <c r="I30" s="26">
        <v>-3.3999999999999999</v>
      </c>
      <c r="J30" s="8"/>
      <c r="K30" s="26">
        <v>5.9000000000000004</v>
      </c>
      <c r="L30" s="8"/>
      <c r="M30" s="26">
        <v>-2.2999999999999998</v>
      </c>
      <c r="N30" s="8"/>
      <c r="O30" s="26">
        <v>9</v>
      </c>
      <c r="P30" s="8"/>
      <c r="Q30" s="26">
        <v>-3.8999999999999999</v>
      </c>
      <c r="R30" s="8"/>
      <c r="S30" s="26">
        <v>-6.5999999999999996</v>
      </c>
      <c r="T30" s="8"/>
      <c r="U30" s="26">
        <v>4.2999999999999998</v>
      </c>
      <c r="V30" s="8"/>
      <c r="W30" s="26">
        <v>3.7000000000000002</v>
      </c>
      <c r="X30" s="8"/>
      <c r="Y30" s="26">
        <v>-1</v>
      </c>
      <c r="Z30" s="8"/>
      <c r="AA30" s="26">
        <v>-2</v>
      </c>
      <c r="AB30" s="8"/>
      <c r="AC30" s="8"/>
    </row>
    <row r="31" ht="12" customHeight="1">
      <c r="A31" s="8" t="s">
        <v>123</v>
      </c>
      <c r="B31" s="8" t="s">
        <v>611</v>
      </c>
      <c r="C31" s="26">
        <v>0.90000000000000002</v>
      </c>
      <c r="D31" s="8"/>
      <c r="E31" s="26">
        <v>-1</v>
      </c>
      <c r="F31" s="8"/>
      <c r="G31" s="26">
        <v>3.3999999999999999</v>
      </c>
      <c r="H31" s="8"/>
      <c r="I31" s="26">
        <v>-1.8999999999999999</v>
      </c>
      <c r="J31" s="8"/>
      <c r="K31" s="26">
        <v>-0.90000000000000002</v>
      </c>
      <c r="L31" s="8"/>
      <c r="M31" s="26">
        <v>-1.7</v>
      </c>
      <c r="N31" s="8"/>
      <c r="O31" s="26">
        <v>-0.29999999999999999</v>
      </c>
      <c r="P31" s="8"/>
      <c r="Q31" s="26">
        <v>-1.3</v>
      </c>
      <c r="R31" s="8"/>
      <c r="S31" s="26">
        <v>1.2</v>
      </c>
      <c r="T31" s="8"/>
      <c r="U31" s="26">
        <v>-1.5</v>
      </c>
      <c r="V31" s="8"/>
      <c r="W31" s="26">
        <v>0.69999999999999996</v>
      </c>
      <c r="X31" s="8"/>
      <c r="Y31" s="26">
        <v>-0.59999999999999998</v>
      </c>
      <c r="Z31" s="8"/>
      <c r="AA31" s="26">
        <v>-0.10000000000000001</v>
      </c>
      <c r="AB31" s="8"/>
      <c r="AC31" s="8"/>
    </row>
    <row r="32" ht="12" customHeight="1">
      <c r="A32" s="8" t="s">
        <v>125</v>
      </c>
      <c r="B32" s="8" t="s">
        <v>612</v>
      </c>
      <c r="C32" s="26">
        <v>4.0999999999999996</v>
      </c>
      <c r="D32" s="8"/>
      <c r="E32" s="26">
        <v>-3.3999999999999999</v>
      </c>
      <c r="F32" s="8"/>
      <c r="G32" s="26">
        <v>3.3999999999999999</v>
      </c>
      <c r="H32" s="8"/>
      <c r="I32" s="26">
        <v>-1.5</v>
      </c>
      <c r="J32" s="8"/>
      <c r="K32" s="26">
        <v>4.2999999999999998</v>
      </c>
      <c r="L32" s="8"/>
      <c r="M32" s="26">
        <v>3.7000000000000002</v>
      </c>
      <c r="N32" s="8"/>
      <c r="O32" s="26">
        <v>-1.3</v>
      </c>
      <c r="P32" s="8"/>
      <c r="Q32" s="26">
        <v>-2.3999999999999999</v>
      </c>
      <c r="R32" s="8"/>
      <c r="S32" s="26">
        <v>3.2999999999999998</v>
      </c>
      <c r="T32" s="8"/>
      <c r="U32" s="26">
        <v>1.8</v>
      </c>
      <c r="V32" s="8"/>
      <c r="W32" s="26">
        <v>-1.3999999999999999</v>
      </c>
      <c r="X32" s="8"/>
      <c r="Y32" s="26">
        <v>-0.90000000000000002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613</v>
      </c>
      <c r="C33" s="26">
        <v>1.8999999999999999</v>
      </c>
      <c r="D33" s="8"/>
      <c r="E33" s="26">
        <v>0.40000000000000002</v>
      </c>
      <c r="F33" s="8"/>
      <c r="G33" s="26">
        <v>3.3999999999999999</v>
      </c>
      <c r="H33" s="8"/>
      <c r="I33" s="26">
        <v>0.20000000000000001</v>
      </c>
      <c r="J33" s="8"/>
      <c r="K33" s="26">
        <v>-0.5</v>
      </c>
      <c r="L33" s="8"/>
      <c r="M33" s="26">
        <v>0.90000000000000002</v>
      </c>
      <c r="N33" s="8"/>
      <c r="O33" s="26">
        <v>-3.2000000000000002</v>
      </c>
      <c r="P33" s="8"/>
      <c r="Q33" s="26">
        <v>-0.29999999999999999</v>
      </c>
      <c r="R33" s="8"/>
      <c r="S33" s="26">
        <v>-0.10000000000000001</v>
      </c>
      <c r="T33" s="8"/>
      <c r="U33" s="26">
        <v>-1</v>
      </c>
      <c r="V33" s="8"/>
      <c r="W33" s="26">
        <v>0.20000000000000001</v>
      </c>
      <c r="X33" s="8"/>
      <c r="Y33" s="26">
        <v>-0.20000000000000001</v>
      </c>
      <c r="Z33" s="8"/>
      <c r="AA33" s="26">
        <v>-2</v>
      </c>
      <c r="AB33" s="8"/>
      <c r="AC33" s="8"/>
    </row>
    <row r="34" ht="12" customHeight="1">
      <c r="A34" s="8" t="s">
        <v>129</v>
      </c>
      <c r="B34" s="8" t="s">
        <v>614</v>
      </c>
      <c r="C34" s="26">
        <v>3.1000000000000001</v>
      </c>
      <c r="D34" s="8"/>
      <c r="E34" s="26">
        <v>2</v>
      </c>
      <c r="F34" s="8"/>
      <c r="G34" s="26">
        <v>2.7000000000000002</v>
      </c>
      <c r="H34" s="8"/>
      <c r="I34" s="26">
        <v>-0.90000000000000002</v>
      </c>
      <c r="J34" s="8"/>
      <c r="K34" s="26">
        <v>-0.69999999999999996</v>
      </c>
      <c r="L34" s="8"/>
      <c r="M34" s="26">
        <v>0.59999999999999998</v>
      </c>
      <c r="N34" s="8"/>
      <c r="O34" s="26">
        <v>0.59999999999999998</v>
      </c>
      <c r="P34" s="8"/>
      <c r="Q34" s="26">
        <v>1.7</v>
      </c>
      <c r="R34" s="8"/>
      <c r="S34" s="26">
        <v>-0.80000000000000004</v>
      </c>
      <c r="T34" s="8"/>
      <c r="U34" s="26">
        <v>-1.1000000000000001</v>
      </c>
      <c r="V34" s="8"/>
      <c r="W34" s="26">
        <v>1.6000000000000001</v>
      </c>
      <c r="X34" s="8"/>
      <c r="Y34" s="26">
        <v>-0.40000000000000002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615</v>
      </c>
      <c r="C35" s="26">
        <v>1.5</v>
      </c>
      <c r="D35" s="8"/>
      <c r="E35" s="26">
        <v>0.59999999999999998</v>
      </c>
      <c r="F35" s="8"/>
      <c r="G35" s="26">
        <v>1.3999999999999999</v>
      </c>
      <c r="H35" s="8"/>
      <c r="I35" s="26">
        <v>-2.5</v>
      </c>
      <c r="J35" s="8"/>
      <c r="K35" s="26">
        <v>1.8999999999999999</v>
      </c>
      <c r="L35" s="8"/>
      <c r="M35" s="26">
        <v>1.8999999999999999</v>
      </c>
      <c r="N35" s="8"/>
      <c r="O35" s="26">
        <v>0.20000000000000001</v>
      </c>
      <c r="P35" s="8"/>
      <c r="Q35" s="26">
        <v>4.5999999999999996</v>
      </c>
      <c r="R35" s="8"/>
      <c r="S35" s="26">
        <v>-0.59999999999999998</v>
      </c>
      <c r="T35" s="8"/>
      <c r="U35" s="26">
        <v>0.29999999999999999</v>
      </c>
      <c r="V35" s="8"/>
      <c r="W35" s="26">
        <v>0</v>
      </c>
      <c r="X35" s="8"/>
      <c r="Y35" s="26">
        <v>-0.10000000000000001</v>
      </c>
      <c r="Z35" s="8"/>
      <c r="AA35" s="26">
        <v>-0.5</v>
      </c>
      <c r="AB35" s="8"/>
      <c r="AC35" s="8"/>
    </row>
    <row r="36" ht="12" customHeight="1">
      <c r="A36" s="8" t="s">
        <v>133</v>
      </c>
      <c r="B36" s="8" t="s">
        <v>616</v>
      </c>
      <c r="C36" s="26">
        <v>1.5</v>
      </c>
      <c r="D36" s="8"/>
      <c r="E36" s="26">
        <v>0.5</v>
      </c>
      <c r="F36" s="8"/>
      <c r="G36" s="26">
        <v>1.3999999999999999</v>
      </c>
      <c r="H36" s="8"/>
      <c r="I36" s="26">
        <v>-10.199999999999999</v>
      </c>
      <c r="J36" s="8"/>
      <c r="K36" s="26">
        <v>0.59999999999999998</v>
      </c>
      <c r="L36" s="8"/>
      <c r="M36" s="26">
        <v>-0.29999999999999999</v>
      </c>
      <c r="N36" s="8"/>
      <c r="O36" s="26">
        <v>0.10000000000000001</v>
      </c>
      <c r="P36" s="8"/>
      <c r="Q36" s="26">
        <v>13.6</v>
      </c>
      <c r="R36" s="8"/>
      <c r="S36" s="26">
        <v>-4.0999999999999996</v>
      </c>
      <c r="T36" s="8"/>
      <c r="U36" s="26">
        <v>0.29999999999999999</v>
      </c>
      <c r="V36" s="8"/>
      <c r="W36" s="26">
        <v>-0.69999999999999996</v>
      </c>
      <c r="X36" s="8"/>
      <c r="Y36" s="26">
        <v>-3.2999999999999998</v>
      </c>
      <c r="Z36" s="8"/>
      <c r="AA36" s="26">
        <v>-3</v>
      </c>
      <c r="AB36" s="8"/>
      <c r="AC36" s="8"/>
    </row>
    <row r="37" ht="12" customHeight="1">
      <c r="A37" s="8" t="s">
        <v>135</v>
      </c>
      <c r="B37" s="8" t="s">
        <v>617</v>
      </c>
      <c r="C37" s="26">
        <v>1.6000000000000001</v>
      </c>
      <c r="D37" s="8"/>
      <c r="E37" s="26">
        <v>0.59999999999999998</v>
      </c>
      <c r="F37" s="8"/>
      <c r="G37" s="26">
        <v>1.3999999999999999</v>
      </c>
      <c r="H37" s="8"/>
      <c r="I37" s="26">
        <v>1.3</v>
      </c>
      <c r="J37" s="8"/>
      <c r="K37" s="26">
        <v>2.2999999999999998</v>
      </c>
      <c r="L37" s="8"/>
      <c r="M37" s="26">
        <v>2.7999999999999998</v>
      </c>
      <c r="N37" s="8"/>
      <c r="O37" s="26">
        <v>0.10000000000000001</v>
      </c>
      <c r="P37" s="8"/>
      <c r="Q37" s="26">
        <v>0.90000000000000002</v>
      </c>
      <c r="R37" s="8"/>
      <c r="S37" s="26">
        <v>0.90000000000000002</v>
      </c>
      <c r="T37" s="8"/>
      <c r="U37" s="26">
        <v>0.40000000000000002</v>
      </c>
      <c r="V37" s="8"/>
      <c r="W37" s="26">
        <v>0.40000000000000002</v>
      </c>
      <c r="X37" s="8"/>
      <c r="Y37" s="26">
        <v>1.7</v>
      </c>
      <c r="Z37" s="8"/>
      <c r="AA37" s="26">
        <v>0.80000000000000004</v>
      </c>
      <c r="AB37" s="8"/>
      <c r="AC37" s="8"/>
    </row>
    <row r="38" ht="12" customHeight="1">
      <c r="A38" s="8" t="s">
        <v>137</v>
      </c>
      <c r="B38" s="8" t="s">
        <v>618</v>
      </c>
      <c r="C38" s="26">
        <v>1.3</v>
      </c>
      <c r="D38" s="8"/>
      <c r="E38" s="26">
        <v>1.7</v>
      </c>
      <c r="F38" s="8"/>
      <c r="G38" s="26">
        <v>2.6000000000000001</v>
      </c>
      <c r="H38" s="8"/>
      <c r="I38" s="26">
        <v>3.7999999999999998</v>
      </c>
      <c r="J38" s="8"/>
      <c r="K38" s="26">
        <v>4.2999999999999998</v>
      </c>
      <c r="L38" s="8"/>
      <c r="M38" s="26">
        <v>2.2000000000000002</v>
      </c>
      <c r="N38" s="8"/>
      <c r="O38" s="26">
        <v>0.80000000000000004</v>
      </c>
      <c r="P38" s="8"/>
      <c r="Q38" s="26">
        <v>6.9000000000000004</v>
      </c>
      <c r="R38" s="8"/>
      <c r="S38" s="26">
        <v>1.1000000000000001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619</v>
      </c>
      <c r="C39" s="26">
        <v>-0.80000000000000004</v>
      </c>
      <c r="D39" s="8"/>
      <c r="E39" s="26">
        <v>-1.3999999999999999</v>
      </c>
      <c r="F39" s="8"/>
      <c r="G39" s="26">
        <v>-1.2</v>
      </c>
      <c r="H39" s="8"/>
      <c r="I39" s="26">
        <v>7.9000000000000004</v>
      </c>
      <c r="J39" s="8"/>
      <c r="K39" s="26">
        <v>-0.20000000000000001</v>
      </c>
      <c r="L39" s="8"/>
      <c r="M39" s="26">
        <v>-2</v>
      </c>
      <c r="N39" s="8"/>
      <c r="O39" s="26">
        <v>-0.20000000000000001</v>
      </c>
      <c r="P39" s="8"/>
      <c r="Q39" s="26">
        <v>-2.5</v>
      </c>
      <c r="R39" s="8"/>
      <c r="S39" s="26">
        <v>0.90000000000000002</v>
      </c>
      <c r="T39" s="8"/>
      <c r="U39" s="26">
        <v>1.2</v>
      </c>
      <c r="V39" s="8"/>
      <c r="W39" s="26">
        <v>-1.2</v>
      </c>
      <c r="X39" s="8"/>
      <c r="Y39" s="26">
        <v>0.59999999999999998</v>
      </c>
      <c r="Z39" s="8"/>
      <c r="AA39" s="26">
        <v>2</v>
      </c>
      <c r="AB39" s="8"/>
      <c r="AC39" s="8"/>
    </row>
    <row r="40" ht="12" customHeight="1">
      <c r="A40" s="8" t="s">
        <v>141</v>
      </c>
      <c r="B40" s="8" t="s">
        <v>620</v>
      </c>
      <c r="C40" s="26">
        <v>0</v>
      </c>
      <c r="D40" s="8"/>
      <c r="E40" s="26">
        <v>1</v>
      </c>
      <c r="F40" s="8"/>
      <c r="G40" s="26">
        <v>1.3</v>
      </c>
      <c r="H40" s="8"/>
      <c r="I40" s="26">
        <v>2.5</v>
      </c>
      <c r="J40" s="8"/>
      <c r="K40" s="26">
        <v>-2.2000000000000002</v>
      </c>
      <c r="L40" s="8"/>
      <c r="M40" s="26">
        <v>-1.2</v>
      </c>
      <c r="N40" s="8"/>
      <c r="O40" s="26">
        <v>-2.8999999999999999</v>
      </c>
      <c r="P40" s="8"/>
      <c r="Q40" s="26">
        <v>-2</v>
      </c>
      <c r="R40" s="8"/>
      <c r="S40" s="26">
        <v>2.2999999999999998</v>
      </c>
      <c r="T40" s="8"/>
      <c r="U40" s="26">
        <v>0.29999999999999999</v>
      </c>
      <c r="V40" s="8"/>
      <c r="W40" s="26">
        <v>0.69999999999999996</v>
      </c>
      <c r="X40" s="8"/>
      <c r="Y40" s="26">
        <v>0</v>
      </c>
      <c r="Z40" s="8"/>
      <c r="AA40" s="26">
        <v>0.29999999999999999</v>
      </c>
      <c r="AB40" s="8"/>
      <c r="AC40" s="8"/>
    </row>
    <row r="41" ht="12" customHeight="1">
      <c r="A41" s="8" t="s">
        <v>143</v>
      </c>
      <c r="B41" s="8" t="s">
        <v>621</v>
      </c>
      <c r="C41" s="26">
        <v>-4.2999999999999998</v>
      </c>
      <c r="D41" s="8"/>
      <c r="E41" s="26">
        <v>-1.8999999999999999</v>
      </c>
      <c r="F41" s="8"/>
      <c r="G41" s="26">
        <v>-1.2</v>
      </c>
      <c r="H41" s="8"/>
      <c r="I41" s="26">
        <v>11.800000000000001</v>
      </c>
      <c r="J41" s="8"/>
      <c r="K41" s="26">
        <v>0.5</v>
      </c>
      <c r="L41" s="8"/>
      <c r="M41" s="26">
        <v>-1.3999999999999999</v>
      </c>
      <c r="N41" s="8"/>
      <c r="O41" s="26">
        <v>2</v>
      </c>
      <c r="P41" s="8"/>
      <c r="Q41" s="26">
        <v>-4.2000000000000002</v>
      </c>
      <c r="R41" s="8"/>
      <c r="S41" s="26">
        <v>-0.80000000000000004</v>
      </c>
      <c r="T41" s="8"/>
      <c r="U41" s="26">
        <v>3.1000000000000001</v>
      </c>
      <c r="V41" s="8"/>
      <c r="W41" s="26">
        <v>-1.6000000000000001</v>
      </c>
      <c r="X41" s="8"/>
      <c r="Y41" s="26">
        <v>0.40000000000000002</v>
      </c>
      <c r="Z41" s="8"/>
      <c r="AA41" s="26">
        <v>1.7</v>
      </c>
      <c r="AB41" s="8"/>
      <c r="AC41" s="8"/>
    </row>
    <row r="42" ht="12" customHeight="1">
      <c r="A42" s="8" t="s">
        <v>145</v>
      </c>
      <c r="B42" s="8" t="s">
        <v>622</v>
      </c>
      <c r="C42" s="26">
        <v>-7.2000000000000002</v>
      </c>
      <c r="D42" s="8"/>
      <c r="E42" s="26">
        <v>-2.5</v>
      </c>
      <c r="F42" s="8"/>
      <c r="G42" s="26">
        <v>-1.5</v>
      </c>
      <c r="H42" s="8"/>
      <c r="I42" s="26">
        <v>16.5</v>
      </c>
      <c r="J42" s="8"/>
      <c r="K42" s="26">
        <v>0</v>
      </c>
      <c r="L42" s="8"/>
      <c r="M42" s="26">
        <v>-2.2999999999999998</v>
      </c>
      <c r="N42" s="8"/>
      <c r="O42" s="26">
        <v>0.69999999999999996</v>
      </c>
      <c r="P42" s="8"/>
      <c r="Q42" s="26">
        <v>-6.4000000000000004</v>
      </c>
      <c r="R42" s="8"/>
      <c r="S42" s="26">
        <v>-1.3999999999999999</v>
      </c>
      <c r="T42" s="8"/>
      <c r="U42" s="26">
        <v>4.5999999999999996</v>
      </c>
      <c r="V42" s="8"/>
      <c r="W42" s="26">
        <v>-4.7999999999999998</v>
      </c>
      <c r="X42" s="8"/>
      <c r="Y42" s="26">
        <v>0.20000000000000001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623</v>
      </c>
      <c r="C43" s="26">
        <v>11.699999999999999</v>
      </c>
      <c r="D43" s="8"/>
      <c r="E43" s="26">
        <v>-2.7000000000000002</v>
      </c>
      <c r="F43" s="8"/>
      <c r="G43" s="26">
        <v>-5.2000000000000002</v>
      </c>
      <c r="H43" s="8"/>
      <c r="I43" s="26">
        <v>2.8999999999999999</v>
      </c>
      <c r="J43" s="8"/>
      <c r="K43" s="26">
        <v>-0.20000000000000001</v>
      </c>
      <c r="L43" s="8"/>
      <c r="M43" s="26">
        <v>-5.2000000000000002</v>
      </c>
      <c r="N43" s="8"/>
      <c r="O43" s="26">
        <v>-4.2000000000000002</v>
      </c>
      <c r="P43" s="8"/>
      <c r="Q43" s="26">
        <v>3.1000000000000001</v>
      </c>
      <c r="R43" s="8"/>
      <c r="S43" s="26">
        <v>5.2999999999999998</v>
      </c>
      <c r="T43" s="8"/>
      <c r="U43" s="26">
        <v>-3.2999999999999998</v>
      </c>
      <c r="V43" s="8"/>
      <c r="W43" s="26">
        <v>-2.1000000000000001</v>
      </c>
      <c r="X43" s="8"/>
      <c r="Y43" s="26">
        <v>1.7</v>
      </c>
      <c r="Z43" s="8"/>
      <c r="AA43" s="26">
        <v>5.5999999999999996</v>
      </c>
      <c r="AB43" s="8"/>
      <c r="AC43" s="8"/>
    </row>
    <row r="44" ht="12" customHeight="1">
      <c r="A44" s="11" t="s">
        <v>149</v>
      </c>
      <c r="B44" s="8" t="s">
        <v>624</v>
      </c>
      <c r="C44" s="26">
        <v>0.10000000000000001</v>
      </c>
      <c r="D44" s="8"/>
      <c r="E44" s="26">
        <v>0.40000000000000002</v>
      </c>
      <c r="F44" s="8"/>
      <c r="G44" s="26">
        <v>0.29999999999999999</v>
      </c>
      <c r="H44" s="8"/>
      <c r="I44" s="26">
        <v>1.3999999999999999</v>
      </c>
      <c r="J44" s="8"/>
      <c r="K44" s="26">
        <v>1.8</v>
      </c>
      <c r="L44" s="8"/>
      <c r="M44" s="26">
        <v>0.40000000000000002</v>
      </c>
      <c r="N44" s="8"/>
      <c r="O44" s="26">
        <v>0.59999999999999998</v>
      </c>
      <c r="P44" s="8"/>
      <c r="Q44" s="26">
        <v>0.80000000000000004</v>
      </c>
      <c r="R44" s="8"/>
      <c r="S44" s="26">
        <v>1.8999999999999999</v>
      </c>
      <c r="T44" s="8"/>
      <c r="U44" s="26">
        <v>0.20000000000000001</v>
      </c>
      <c r="V44" s="8"/>
      <c r="W44" s="26">
        <v>-0.20000000000000001</v>
      </c>
      <c r="X44" s="8"/>
      <c r="Y44" s="26">
        <v>0.5</v>
      </c>
      <c r="Z44" s="8"/>
      <c r="AA44" s="26">
        <v>4.0999999999999996</v>
      </c>
      <c r="AB44" s="8"/>
      <c r="AC44" s="8"/>
    </row>
    <row r="45" ht="12" customHeight="1">
      <c r="A45" s="8" t="s">
        <v>151</v>
      </c>
      <c r="B45" s="8" t="s">
        <v>625</v>
      </c>
      <c r="C45" s="26">
        <v>2.2000000000000002</v>
      </c>
      <c r="D45" s="8"/>
      <c r="E45" s="26">
        <v>1.5</v>
      </c>
      <c r="F45" s="8"/>
      <c r="G45" s="26">
        <v>-1.7</v>
      </c>
      <c r="H45" s="8"/>
      <c r="I45" s="26">
        <v>5.2999999999999998</v>
      </c>
      <c r="J45" s="8"/>
      <c r="K45" s="26">
        <v>2.2999999999999998</v>
      </c>
      <c r="L45" s="8"/>
      <c r="M45" s="26">
        <v>-3.1000000000000001</v>
      </c>
      <c r="N45" s="8"/>
      <c r="O45" s="26">
        <v>-0.20000000000000001</v>
      </c>
      <c r="P45" s="8"/>
      <c r="Q45" s="26">
        <v>1.8</v>
      </c>
      <c r="R45" s="8"/>
      <c r="S45" s="26">
        <v>0.29999999999999999</v>
      </c>
      <c r="T45" s="8"/>
      <c r="U45" s="26">
        <v>-0.40000000000000002</v>
      </c>
      <c r="V45" s="8"/>
      <c r="W45" s="26">
        <v>1</v>
      </c>
      <c r="X45" s="8"/>
      <c r="Y45" s="26">
        <v>7.5</v>
      </c>
      <c r="Z45" s="8"/>
      <c r="AA45" s="26">
        <v>0.29999999999999999</v>
      </c>
      <c r="AB45" s="8"/>
      <c r="AC45" s="8"/>
    </row>
    <row r="46" ht="12" customHeight="1">
      <c r="A46" s="8" t="s">
        <v>153</v>
      </c>
      <c r="B46" s="8" t="s">
        <v>626</v>
      </c>
      <c r="C46" s="26">
        <v>-0.29999999999999999</v>
      </c>
      <c r="D46" s="8"/>
      <c r="E46" s="26">
        <v>1.3999999999999999</v>
      </c>
      <c r="F46" s="8"/>
      <c r="G46" s="26">
        <v>-10</v>
      </c>
      <c r="H46" s="8"/>
      <c r="I46" s="26">
        <v>-6.0999999999999996</v>
      </c>
      <c r="J46" s="8"/>
      <c r="K46" s="26">
        <v>15.9</v>
      </c>
      <c r="L46" s="8"/>
      <c r="M46" s="26">
        <v>-2.7999999999999998</v>
      </c>
      <c r="N46" s="8"/>
      <c r="O46" s="26">
        <v>8</v>
      </c>
      <c r="P46" s="8"/>
      <c r="Q46" s="26">
        <v>-15.1</v>
      </c>
      <c r="R46" s="8"/>
      <c r="S46" s="26">
        <v>0</v>
      </c>
      <c r="T46" s="8"/>
      <c r="U46" s="26">
        <v>-5.0999999999999996</v>
      </c>
      <c r="V46" s="8"/>
      <c r="W46" s="26">
        <v>-7.0999999999999996</v>
      </c>
      <c r="X46" s="8"/>
      <c r="Y46" s="26">
        <v>-3.6000000000000001</v>
      </c>
      <c r="Z46" s="8"/>
      <c r="AA46" s="26">
        <v>11.199999999999999</v>
      </c>
      <c r="AB46" s="8"/>
      <c r="AC46" s="8"/>
    </row>
    <row r="47" ht="12" customHeight="1">
      <c r="A47" s="8" t="s">
        <v>155</v>
      </c>
      <c r="B47" s="8" t="s">
        <v>627</v>
      </c>
      <c r="C47" s="26">
        <v>0</v>
      </c>
      <c r="D47" s="8"/>
      <c r="E47" s="26">
        <v>0.40000000000000002</v>
      </c>
      <c r="F47" s="8"/>
      <c r="G47" s="26">
        <v>0.90000000000000002</v>
      </c>
      <c r="H47" s="8"/>
      <c r="I47" s="26">
        <v>1.5</v>
      </c>
      <c r="J47" s="8"/>
      <c r="K47" s="26">
        <v>1.3</v>
      </c>
      <c r="L47" s="8"/>
      <c r="M47" s="26">
        <v>0.59999999999999998</v>
      </c>
      <c r="N47" s="8"/>
      <c r="O47" s="26">
        <v>0.29999999999999999</v>
      </c>
      <c r="P47" s="8"/>
      <c r="Q47" s="26">
        <v>1.7</v>
      </c>
      <c r="R47" s="8"/>
      <c r="S47" s="26">
        <v>2.1000000000000001</v>
      </c>
      <c r="T47" s="8"/>
      <c r="U47" s="26">
        <v>1.6000000000000001</v>
      </c>
      <c r="V47" s="8"/>
      <c r="W47" s="26">
        <v>1.3999999999999999</v>
      </c>
      <c r="X47" s="8"/>
      <c r="Y47" s="26">
        <v>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628</v>
      </c>
      <c r="C48" s="26">
        <v>3.3999999999999999</v>
      </c>
      <c r="D48" s="8"/>
      <c r="E48" s="26">
        <v>0.90000000000000002</v>
      </c>
      <c r="F48" s="8"/>
      <c r="G48" s="26">
        <v>1.3999999999999999</v>
      </c>
      <c r="H48" s="8"/>
      <c r="I48" s="26">
        <v>1</v>
      </c>
      <c r="J48" s="8"/>
      <c r="K48" s="26">
        <v>1.5</v>
      </c>
      <c r="L48" s="8"/>
      <c r="M48" s="26">
        <v>1.8</v>
      </c>
      <c r="N48" s="8"/>
      <c r="O48" s="26">
        <v>-1.3</v>
      </c>
      <c r="P48" s="8"/>
      <c r="Q48" s="26">
        <v>0.29999999999999999</v>
      </c>
      <c r="R48" s="8"/>
      <c r="S48" s="26">
        <v>1.8</v>
      </c>
      <c r="T48" s="8"/>
      <c r="U48" s="26">
        <v>-0.20000000000000001</v>
      </c>
      <c r="V48" s="8"/>
      <c r="W48" s="26">
        <v>0.5</v>
      </c>
      <c r="X48" s="8"/>
      <c r="Y48" s="26">
        <v>0.80000000000000004</v>
      </c>
      <c r="Z48" s="8"/>
      <c r="AA48" s="26">
        <v>1.7</v>
      </c>
      <c r="AB48" s="8"/>
      <c r="AC48" s="8"/>
    </row>
    <row r="49" ht="12" customHeight="1">
      <c r="A49" s="8" t="s">
        <v>159</v>
      </c>
      <c r="B49" s="8" t="s">
        <v>629</v>
      </c>
      <c r="C49" s="26">
        <v>3.7999999999999998</v>
      </c>
      <c r="D49" s="8"/>
      <c r="E49" s="26">
        <v>-3.6000000000000001</v>
      </c>
      <c r="F49" s="8"/>
      <c r="G49" s="26">
        <v>-10.199999999999999</v>
      </c>
      <c r="H49" s="8"/>
      <c r="I49" s="26">
        <v>1.7</v>
      </c>
      <c r="J49" s="8"/>
      <c r="K49" s="26">
        <v>6.2999999999999998</v>
      </c>
      <c r="L49" s="8"/>
      <c r="M49" s="26">
        <v>-6.7000000000000002</v>
      </c>
      <c r="N49" s="8"/>
      <c r="O49" s="26">
        <v>-5.2000000000000002</v>
      </c>
      <c r="P49" s="8"/>
      <c r="Q49" s="26">
        <v>3.1000000000000001</v>
      </c>
      <c r="R49" s="8"/>
      <c r="S49" s="26">
        <v>3.5</v>
      </c>
      <c r="T49" s="8"/>
      <c r="U49" s="26">
        <v>-6.7999999999999998</v>
      </c>
      <c r="V49" s="8"/>
      <c r="W49" s="26">
        <v>-12.5</v>
      </c>
      <c r="X49" s="8"/>
      <c r="Y49" s="26">
        <v>2.1000000000000001</v>
      </c>
      <c r="Z49" s="8"/>
      <c r="AA49" s="26">
        <v>8.1999999999999993</v>
      </c>
      <c r="AB49" s="8"/>
      <c r="AC49" s="8"/>
    </row>
    <row r="50" ht="12" customHeight="1">
      <c r="A50" s="8" t="s">
        <v>161</v>
      </c>
      <c r="B50" s="8" t="s">
        <v>630</v>
      </c>
      <c r="C50" s="26">
        <v>1.6000000000000001</v>
      </c>
      <c r="D50" s="8"/>
      <c r="E50" s="26">
        <v>0.69999999999999996</v>
      </c>
      <c r="F50" s="8"/>
      <c r="G50" s="26">
        <v>-0.69999999999999996</v>
      </c>
      <c r="H50" s="8"/>
      <c r="I50" s="26">
        <v>0.59999999999999998</v>
      </c>
      <c r="J50" s="8"/>
      <c r="K50" s="26">
        <v>-0.80000000000000004</v>
      </c>
      <c r="L50" s="8"/>
      <c r="M50" s="26">
        <v>2</v>
      </c>
      <c r="N50" s="8"/>
      <c r="O50" s="26">
        <v>0</v>
      </c>
      <c r="P50" s="8"/>
      <c r="Q50" s="26">
        <v>-2.3999999999999999</v>
      </c>
      <c r="R50" s="8"/>
      <c r="S50" s="26">
        <v>0.5</v>
      </c>
      <c r="T50" s="8"/>
      <c r="U50" s="26">
        <v>0.80000000000000004</v>
      </c>
      <c r="V50" s="8"/>
      <c r="W50" s="26">
        <v>1.7</v>
      </c>
      <c r="X50" s="8"/>
      <c r="Y50" s="26">
        <v>-0.40000000000000002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631</v>
      </c>
      <c r="C51" s="26">
        <v>2.5</v>
      </c>
      <c r="D51" s="8"/>
      <c r="E51" s="26">
        <v>1.2</v>
      </c>
      <c r="F51" s="8"/>
      <c r="G51" s="26">
        <v>4.2000000000000002</v>
      </c>
      <c r="H51" s="8"/>
      <c r="I51" s="26">
        <v>-0.20000000000000001</v>
      </c>
      <c r="J51" s="8"/>
      <c r="K51" s="26">
        <v>0.40000000000000002</v>
      </c>
      <c r="L51" s="8"/>
      <c r="M51" s="26">
        <v>0.80000000000000004</v>
      </c>
      <c r="N51" s="8"/>
      <c r="O51" s="26">
        <v>-2.1000000000000001</v>
      </c>
      <c r="P51" s="8"/>
      <c r="Q51" s="26">
        <v>1.2</v>
      </c>
      <c r="R51" s="8"/>
      <c r="S51" s="26">
        <v>1.3</v>
      </c>
      <c r="T51" s="8"/>
      <c r="U51" s="26">
        <v>-1.1000000000000001</v>
      </c>
      <c r="V51" s="8"/>
      <c r="W51" s="26">
        <v>-2.2000000000000002</v>
      </c>
      <c r="X51" s="8"/>
      <c r="Y51" s="26">
        <v>1.3</v>
      </c>
      <c r="Z51" s="8"/>
      <c r="AA51" s="26">
        <v>0.80000000000000004</v>
      </c>
      <c r="AB51" s="8"/>
      <c r="AC51" s="8"/>
    </row>
    <row r="52" ht="12" customHeight="1">
      <c r="A52" s="8" t="s">
        <v>165</v>
      </c>
      <c r="B52" s="8" t="s">
        <v>632</v>
      </c>
      <c r="C52" s="26">
        <v>3.6000000000000001</v>
      </c>
      <c r="D52" s="8"/>
      <c r="E52" s="26">
        <v>1.1000000000000001</v>
      </c>
      <c r="F52" s="8"/>
      <c r="G52" s="26">
        <v>2.1000000000000001</v>
      </c>
      <c r="H52" s="8"/>
      <c r="I52" s="26">
        <v>1.6000000000000001</v>
      </c>
      <c r="J52" s="8"/>
      <c r="K52" s="26">
        <v>1.8</v>
      </c>
      <c r="L52" s="8"/>
      <c r="M52" s="26">
        <v>1.6000000000000001</v>
      </c>
      <c r="N52" s="8"/>
      <c r="O52" s="26">
        <v>2.2999999999999998</v>
      </c>
      <c r="P52" s="8"/>
      <c r="Q52" s="26">
        <v>0.69999999999999996</v>
      </c>
      <c r="R52" s="8"/>
      <c r="S52" s="26">
        <v>1.1000000000000001</v>
      </c>
      <c r="T52" s="8"/>
      <c r="U52" s="26">
        <v>0.5</v>
      </c>
      <c r="V52" s="8"/>
      <c r="W52" s="26">
        <v>5.4000000000000004</v>
      </c>
      <c r="X52" s="8"/>
      <c r="Y52" s="26">
        <v>0.5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633</v>
      </c>
      <c r="C53" s="26">
        <v>3.2999999999999998</v>
      </c>
      <c r="D53" s="8"/>
      <c r="E53" s="26">
        <v>2.2000000000000002</v>
      </c>
      <c r="F53" s="8"/>
      <c r="G53" s="26">
        <v>2.1000000000000001</v>
      </c>
      <c r="H53" s="8"/>
      <c r="I53" s="26">
        <v>2.2000000000000002</v>
      </c>
      <c r="J53" s="8"/>
      <c r="K53" s="26">
        <v>0.80000000000000004</v>
      </c>
      <c r="L53" s="8"/>
      <c r="M53" s="26">
        <v>-0.10000000000000001</v>
      </c>
      <c r="N53" s="8"/>
      <c r="O53" s="26">
        <v>1.3</v>
      </c>
      <c r="P53" s="8"/>
      <c r="Q53" s="26">
        <v>0.10000000000000001</v>
      </c>
      <c r="R53" s="8"/>
      <c r="S53" s="26">
        <v>1.7</v>
      </c>
      <c r="T53" s="8"/>
      <c r="U53" s="26">
        <v>-0.69999999999999996</v>
      </c>
      <c r="V53" s="8"/>
      <c r="W53" s="26">
        <v>0.29999999999999999</v>
      </c>
      <c r="X53" s="8"/>
      <c r="Y53" s="26">
        <v>2.2000000000000002</v>
      </c>
      <c r="Z53" s="8"/>
      <c r="AA53" s="26">
        <v>1.2</v>
      </c>
      <c r="AB53" s="8"/>
      <c r="AC53" s="8"/>
    </row>
    <row r="54" ht="12" customHeight="1">
      <c r="A54" s="8" t="s">
        <v>169</v>
      </c>
      <c r="B54" s="8" t="s">
        <v>634</v>
      </c>
      <c r="C54" s="26">
        <v>4.9000000000000004</v>
      </c>
      <c r="D54" s="8"/>
      <c r="E54" s="26">
        <v>1.3999999999999999</v>
      </c>
      <c r="F54" s="8"/>
      <c r="G54" s="26">
        <v>1.8</v>
      </c>
      <c r="H54" s="8"/>
      <c r="I54" s="26">
        <v>1</v>
      </c>
      <c r="J54" s="8"/>
      <c r="K54" s="26">
        <v>1.1000000000000001</v>
      </c>
      <c r="L54" s="8"/>
      <c r="M54" s="26">
        <v>6.5999999999999996</v>
      </c>
      <c r="N54" s="8"/>
      <c r="O54" s="26">
        <v>-4.7000000000000002</v>
      </c>
      <c r="P54" s="8"/>
      <c r="Q54" s="26">
        <v>-1.8</v>
      </c>
      <c r="R54" s="8"/>
      <c r="S54" s="26">
        <v>2.8999999999999999</v>
      </c>
      <c r="T54" s="8"/>
      <c r="U54" s="26">
        <v>2</v>
      </c>
      <c r="V54" s="8"/>
      <c r="W54" s="26">
        <v>0.20000000000000001</v>
      </c>
      <c r="X54" s="8"/>
      <c r="Y54" s="26">
        <v>0.5</v>
      </c>
      <c r="Z54" s="8"/>
      <c r="AA54" s="26">
        <v>3.7000000000000002</v>
      </c>
      <c r="AB54" s="8"/>
      <c r="AC54" s="8"/>
    </row>
    <row r="55" ht="12" customHeight="1">
      <c r="A55" s="11" t="s">
        <v>171</v>
      </c>
      <c r="B55" s="8" t="s">
        <v>635</v>
      </c>
      <c r="C55" s="26">
        <v>0</v>
      </c>
      <c r="D55" s="8"/>
      <c r="E55" s="26">
        <v>2.2999999999999998</v>
      </c>
      <c r="F55" s="8"/>
      <c r="G55" s="26">
        <v>0</v>
      </c>
      <c r="H55" s="8"/>
      <c r="I55" s="26">
        <v>1.8</v>
      </c>
      <c r="J55" s="8"/>
      <c r="K55" s="26">
        <v>0</v>
      </c>
      <c r="L55" s="8"/>
      <c r="M55" s="26">
        <v>2.5</v>
      </c>
      <c r="N55" s="8"/>
      <c r="O55" s="26">
        <v>0</v>
      </c>
      <c r="P55" s="8"/>
      <c r="Q55" s="26">
        <v>-11.199999999999999</v>
      </c>
      <c r="R55" s="8"/>
      <c r="S55" s="26">
        <v>0</v>
      </c>
      <c r="T55" s="8"/>
      <c r="U55" s="26">
        <v>9.3000000000000007</v>
      </c>
      <c r="V55" s="8"/>
      <c r="W55" s="26">
        <v>0</v>
      </c>
      <c r="X55" s="8"/>
      <c r="Y55" s="26">
        <v>0.80000000000000004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636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3.7000000000000002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-23.699999999999999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2.5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637</v>
      </c>
      <c r="C57" s="26">
        <v>0</v>
      </c>
      <c r="D57" s="8"/>
      <c r="E57" s="26">
        <v>3.2999999999999998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4.7999999999999998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638</v>
      </c>
      <c r="C58" s="26">
        <v>0</v>
      </c>
      <c r="D58" s="8"/>
      <c r="E58" s="26">
        <v>5.5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5.2000000000000002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22.699999999999999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639</v>
      </c>
      <c r="C59" s="26">
        <v>0</v>
      </c>
      <c r="D59" s="8"/>
      <c r="E59" s="26">
        <v>5.7000000000000002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4.2999999999999998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640</v>
      </c>
      <c r="C60" s="26">
        <v>1.6000000000000001</v>
      </c>
      <c r="D60" s="8"/>
      <c r="E60" s="26">
        <v>1.8999999999999999</v>
      </c>
      <c r="F60" s="8"/>
      <c r="G60" s="26">
        <v>2.8999999999999999</v>
      </c>
      <c r="H60" s="8"/>
      <c r="I60" s="26">
        <v>2.2000000000000002</v>
      </c>
      <c r="J60" s="8"/>
      <c r="K60" s="26">
        <v>2.1000000000000001</v>
      </c>
      <c r="L60" s="8"/>
      <c r="M60" s="26">
        <v>2.6000000000000001</v>
      </c>
      <c r="N60" s="8"/>
      <c r="O60" s="26">
        <v>2.6000000000000001</v>
      </c>
      <c r="P60" s="8"/>
      <c r="Q60" s="26">
        <v>1.5</v>
      </c>
      <c r="R60" s="8"/>
      <c r="S60" s="26">
        <v>1.3999999999999999</v>
      </c>
      <c r="T60" s="8"/>
      <c r="U60" s="26">
        <v>1.2</v>
      </c>
      <c r="V60" s="8"/>
      <c r="W60" s="26">
        <v>1.2</v>
      </c>
      <c r="X60" s="8"/>
      <c r="Y60" s="26">
        <v>0.59999999999999998</v>
      </c>
      <c r="Z60" s="8"/>
      <c r="AA60" s="26">
        <v>0.5</v>
      </c>
      <c r="AB60" s="8"/>
      <c r="AC60" s="8"/>
    </row>
    <row r="61" ht="12" customHeight="1">
      <c r="A61" s="8" t="s">
        <v>183</v>
      </c>
      <c r="B61" s="8" t="s">
        <v>641</v>
      </c>
      <c r="C61" s="26">
        <v>2.2000000000000002</v>
      </c>
      <c r="D61" s="8"/>
      <c r="E61" s="26">
        <v>1.8</v>
      </c>
      <c r="F61" s="8"/>
      <c r="G61" s="26">
        <v>2.2000000000000002</v>
      </c>
      <c r="H61" s="8"/>
      <c r="I61" s="26">
        <v>-0.29999999999999999</v>
      </c>
      <c r="J61" s="8"/>
      <c r="K61" s="26">
        <v>-0.80000000000000004</v>
      </c>
      <c r="L61" s="8"/>
      <c r="M61" s="26">
        <v>0.29999999999999999</v>
      </c>
      <c r="N61" s="8"/>
      <c r="O61" s="26">
        <v>0.29999999999999999</v>
      </c>
      <c r="P61" s="8"/>
      <c r="Q61" s="26">
        <v>-0.29999999999999999</v>
      </c>
      <c r="R61" s="8"/>
      <c r="S61" s="26">
        <v>0</v>
      </c>
      <c r="T61" s="8"/>
      <c r="U61" s="26">
        <v>0.5</v>
      </c>
      <c r="V61" s="8"/>
      <c r="W61" s="26">
        <v>1</v>
      </c>
      <c r="X61" s="8"/>
      <c r="Y61" s="26">
        <v>0.29999999999999999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642</v>
      </c>
      <c r="C62" s="26">
        <v>2</v>
      </c>
      <c r="D62" s="8"/>
      <c r="E62" s="26">
        <v>-0.69999999999999996</v>
      </c>
      <c r="F62" s="8"/>
      <c r="G62" s="26">
        <v>0.29999999999999999</v>
      </c>
      <c r="H62" s="8"/>
      <c r="I62" s="26">
        <v>0.90000000000000002</v>
      </c>
      <c r="J62" s="8"/>
      <c r="K62" s="26">
        <v>2</v>
      </c>
      <c r="L62" s="8"/>
      <c r="M62" s="26">
        <v>-0.69999999999999996</v>
      </c>
      <c r="N62" s="8"/>
      <c r="O62" s="26">
        <v>2.3999999999999999</v>
      </c>
      <c r="P62" s="8"/>
      <c r="Q62" s="26">
        <v>1.7</v>
      </c>
      <c r="R62" s="8"/>
      <c r="S62" s="26">
        <v>2.1000000000000001</v>
      </c>
      <c r="T62" s="8"/>
      <c r="U62" s="26">
        <v>0.20000000000000001</v>
      </c>
      <c r="V62" s="8"/>
      <c r="W62" s="26">
        <v>2.7999999999999998</v>
      </c>
      <c r="X62" s="8"/>
      <c r="Y62" s="26">
        <v>1.1000000000000001</v>
      </c>
      <c r="Z62" s="8"/>
      <c r="AA62" s="26">
        <v>3.3999999999999999</v>
      </c>
      <c r="AB62" s="8"/>
      <c r="AC62" s="8"/>
    </row>
    <row r="63" ht="12" customHeight="1">
      <c r="A63" s="8" t="s">
        <v>187</v>
      </c>
      <c r="B63" s="8" t="s">
        <v>643</v>
      </c>
      <c r="C63" s="26">
        <v>1.6000000000000001</v>
      </c>
      <c r="D63" s="8"/>
      <c r="E63" s="26">
        <v>2.3999999999999999</v>
      </c>
      <c r="F63" s="8"/>
      <c r="G63" s="26">
        <v>3.7999999999999998</v>
      </c>
      <c r="H63" s="8"/>
      <c r="I63" s="26">
        <v>4.0999999999999996</v>
      </c>
      <c r="J63" s="8"/>
      <c r="K63" s="26">
        <v>4.0999999999999996</v>
      </c>
      <c r="L63" s="8"/>
      <c r="M63" s="26">
        <v>4.4000000000000004</v>
      </c>
      <c r="N63" s="8"/>
      <c r="O63" s="26">
        <v>3.8999999999999999</v>
      </c>
      <c r="P63" s="8"/>
      <c r="Q63" s="26">
        <v>2.7000000000000002</v>
      </c>
      <c r="R63" s="8"/>
      <c r="S63" s="26">
        <v>2.2000000000000002</v>
      </c>
      <c r="T63" s="8"/>
      <c r="U63" s="26">
        <v>1.6000000000000001</v>
      </c>
      <c r="V63" s="8"/>
      <c r="W63" s="26">
        <v>1.3</v>
      </c>
      <c r="X63" s="8"/>
      <c r="Y63" s="26">
        <v>0.90000000000000002</v>
      </c>
      <c r="Z63" s="8"/>
      <c r="AA63" s="26">
        <v>0.59999999999999998</v>
      </c>
      <c r="AB63" s="8"/>
      <c r="AC63" s="8"/>
    </row>
    <row r="64" ht="12" customHeight="1">
      <c r="A64" s="8" t="s">
        <v>189</v>
      </c>
      <c r="B64" s="8" t="s">
        <v>644</v>
      </c>
      <c r="C64" s="26">
        <v>-2.2999999999999998</v>
      </c>
      <c r="D64" s="8"/>
      <c r="E64" s="26">
        <v>-0.80000000000000004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-2.8999999999999999</v>
      </c>
      <c r="R64" s="8"/>
      <c r="S64" s="26">
        <v>-0.90000000000000002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645</v>
      </c>
      <c r="C65" s="26">
        <v>0.29999999999999999</v>
      </c>
      <c r="D65" s="8"/>
      <c r="E65" s="26">
        <v>1.3</v>
      </c>
      <c r="F65" s="8"/>
      <c r="G65" s="26">
        <v>1.3999999999999999</v>
      </c>
      <c r="H65" s="8"/>
      <c r="I65" s="26">
        <v>0.69999999999999996</v>
      </c>
      <c r="J65" s="8"/>
      <c r="K65" s="26">
        <v>0.29999999999999999</v>
      </c>
      <c r="L65" s="8"/>
      <c r="M65" s="26">
        <v>0.29999999999999999</v>
      </c>
      <c r="N65" s="8"/>
      <c r="O65" s="26">
        <v>2.2999999999999998</v>
      </c>
      <c r="P65" s="8"/>
      <c r="Q65" s="26">
        <v>0.20000000000000001</v>
      </c>
      <c r="R65" s="8"/>
      <c r="S65" s="26">
        <v>0.5</v>
      </c>
      <c r="T65" s="8"/>
      <c r="U65" s="26">
        <v>0.69999999999999996</v>
      </c>
      <c r="V65" s="8"/>
      <c r="W65" s="26">
        <v>1.3</v>
      </c>
      <c r="X65" s="8"/>
      <c r="Y65" s="26">
        <v>-0.80000000000000004</v>
      </c>
      <c r="Z65" s="8"/>
      <c r="AA65" s="26">
        <v>0</v>
      </c>
      <c r="AB65" s="8"/>
      <c r="AC65" s="8"/>
    </row>
    <row r="66" ht="12" customHeight="1">
      <c r="A66" s="11" t="s">
        <v>193</v>
      </c>
      <c r="B66" s="8" t="s">
        <v>646</v>
      </c>
      <c r="C66" s="26">
        <v>6.4000000000000004</v>
      </c>
      <c r="D66" s="8"/>
      <c r="E66" s="26">
        <v>6.7999999999999998</v>
      </c>
      <c r="F66" s="8"/>
      <c r="G66" s="26">
        <v>3.2000000000000002</v>
      </c>
      <c r="H66" s="8"/>
      <c r="I66" s="26">
        <v>8.3000000000000007</v>
      </c>
      <c r="J66" s="8"/>
      <c r="K66" s="26">
        <v>9.8000000000000007</v>
      </c>
      <c r="L66" s="8"/>
      <c r="M66" s="26">
        <v>4.5</v>
      </c>
      <c r="N66" s="8"/>
      <c r="O66" s="26">
        <v>2.1000000000000001</v>
      </c>
      <c r="P66" s="8"/>
      <c r="Q66" s="26">
        <v>1</v>
      </c>
      <c r="R66" s="8"/>
      <c r="S66" s="26">
        <v>-0.69999999999999996</v>
      </c>
      <c r="T66" s="8"/>
      <c r="U66" s="26">
        <v>-1.8999999999999999</v>
      </c>
      <c r="V66" s="8"/>
      <c r="W66" s="26">
        <v>-6.2000000000000002</v>
      </c>
      <c r="X66" s="8"/>
      <c r="Y66" s="26">
        <v>-6.2000000000000002</v>
      </c>
      <c r="Z66" s="8"/>
      <c r="AA66" s="26">
        <v>-4</v>
      </c>
      <c r="AB66" s="8"/>
      <c r="AC66" s="8"/>
    </row>
    <row r="67" ht="12" customHeight="1">
      <c r="A67" s="8" t="s">
        <v>195</v>
      </c>
      <c r="B67" s="8" t="s">
        <v>647</v>
      </c>
      <c r="C67" s="26">
        <v>6.4000000000000004</v>
      </c>
      <c r="D67" s="8"/>
      <c r="E67" s="26">
        <v>6.7999999999999998</v>
      </c>
      <c r="F67" s="8"/>
      <c r="G67" s="26">
        <v>3.2000000000000002</v>
      </c>
      <c r="H67" s="8"/>
      <c r="I67" s="26">
        <v>8.3000000000000007</v>
      </c>
      <c r="J67" s="8"/>
      <c r="K67" s="26">
        <v>9.8000000000000007</v>
      </c>
      <c r="L67" s="8"/>
      <c r="M67" s="26">
        <v>4.5</v>
      </c>
      <c r="N67" s="8"/>
      <c r="O67" s="26">
        <v>2.1000000000000001</v>
      </c>
      <c r="P67" s="8"/>
      <c r="Q67" s="26">
        <v>1</v>
      </c>
      <c r="R67" s="8"/>
      <c r="S67" s="26">
        <v>-0.69999999999999996</v>
      </c>
      <c r="T67" s="8"/>
      <c r="U67" s="26">
        <v>-1.8999999999999999</v>
      </c>
      <c r="V67" s="8"/>
      <c r="W67" s="26">
        <v>-6.2000000000000002</v>
      </c>
      <c r="X67" s="8"/>
      <c r="Y67" s="26">
        <v>-6.2000000000000002</v>
      </c>
      <c r="Z67" s="8"/>
      <c r="AA67" s="26">
        <v>-4</v>
      </c>
      <c r="AB67" s="8"/>
      <c r="AC67" s="8"/>
    </row>
    <row r="68" ht="12" customHeight="1">
      <c r="A68" s="13" t="s">
        <v>69</v>
      </c>
      <c r="B68" s="10" t="s">
        <v>54</v>
      </c>
      <c r="C68" s="27">
        <v>1.5</v>
      </c>
      <c r="D68" s="10"/>
      <c r="E68" s="27">
        <v>1.8999999999999999</v>
      </c>
      <c r="F68" s="10"/>
      <c r="G68" s="27">
        <v>1.5</v>
      </c>
      <c r="H68" s="10"/>
      <c r="I68" s="27">
        <v>2.7000000000000002</v>
      </c>
      <c r="J68" s="10"/>
      <c r="K68" s="27">
        <v>1.1000000000000001</v>
      </c>
      <c r="L68" s="10"/>
      <c r="M68" s="27">
        <v>1.1000000000000001</v>
      </c>
      <c r="N68" s="10"/>
      <c r="O68" s="27">
        <v>0.69999999999999996</v>
      </c>
      <c r="P68" s="10"/>
      <c r="Q68" s="27">
        <v>0.80000000000000004</v>
      </c>
      <c r="R68" s="10"/>
      <c r="S68" s="27">
        <v>0.20000000000000001</v>
      </c>
      <c r="T68" s="10"/>
      <c r="U68" s="27">
        <v>0.69999999999999996</v>
      </c>
      <c r="V68" s="10"/>
      <c r="W68" s="27">
        <v>0</v>
      </c>
      <c r="X68" s="10"/>
      <c r="Y68" s="27">
        <v>0.40000000000000002</v>
      </c>
      <c r="Z68" s="10"/>
      <c r="AA68" s="27">
        <v>0.29999999999999999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649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587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588</v>
      </c>
      <c r="C8" s="22">
        <v>10.800000000000001</v>
      </c>
      <c r="D8" s="22"/>
      <c r="E8" s="22">
        <v>11.800000000000001</v>
      </c>
      <c r="F8" s="22"/>
      <c r="G8" s="22">
        <v>12.800000000000001</v>
      </c>
      <c r="H8" s="22"/>
      <c r="I8" s="22">
        <v>8.9000000000000004</v>
      </c>
      <c r="J8" s="22"/>
      <c r="K8" s="22">
        <v>5.7999999999999998</v>
      </c>
      <c r="L8" s="22"/>
      <c r="M8" s="22">
        <v>2.2000000000000002</v>
      </c>
      <c r="N8" s="22"/>
      <c r="O8" s="22">
        <v>0.10000000000000001</v>
      </c>
      <c r="P8" s="22"/>
      <c r="Q8" s="22">
        <v>0.59999999999999998</v>
      </c>
      <c r="R8" s="22"/>
      <c r="S8" s="22">
        <v>1</v>
      </c>
      <c r="T8" s="22"/>
      <c r="U8" s="22">
        <v>2.2999999999999998</v>
      </c>
      <c r="V8" s="22"/>
      <c r="W8" s="22">
        <v>3.7000000000000002</v>
      </c>
      <c r="X8" s="22"/>
      <c r="Y8" s="22">
        <v>4.2000000000000002</v>
      </c>
      <c r="Z8" s="22"/>
      <c r="AA8" s="22">
        <v>4.2999999999999998</v>
      </c>
      <c r="AB8" s="22"/>
      <c r="AC8" s="22"/>
    </row>
    <row r="9" ht="12" customHeight="1">
      <c r="A9" s="8" t="s">
        <v>79</v>
      </c>
      <c r="B9" s="8" t="s">
        <v>589</v>
      </c>
      <c r="C9" s="22">
        <v>20.199999999999999</v>
      </c>
      <c r="D9" s="22"/>
      <c r="E9" s="22">
        <v>21.699999999999999</v>
      </c>
      <c r="F9" s="22"/>
      <c r="G9" s="22">
        <v>22.699999999999999</v>
      </c>
      <c r="H9" s="22"/>
      <c r="I9" s="22">
        <v>4.0999999999999996</v>
      </c>
      <c r="J9" s="22"/>
      <c r="K9" s="22">
        <v>2.7000000000000002</v>
      </c>
      <c r="L9" s="22"/>
      <c r="M9" s="22">
        <v>-8.6999999999999993</v>
      </c>
      <c r="N9" s="22"/>
      <c r="O9" s="22">
        <v>-14.699999999999999</v>
      </c>
      <c r="P9" s="22"/>
      <c r="Q9" s="22">
        <v>-10.5</v>
      </c>
      <c r="R9" s="22"/>
      <c r="S9" s="22">
        <v>-9.3000000000000007</v>
      </c>
      <c r="T9" s="22"/>
      <c r="U9" s="22">
        <v>-5.5999999999999996</v>
      </c>
      <c r="V9" s="22"/>
      <c r="W9" s="22">
        <v>3</v>
      </c>
      <c r="X9" s="22"/>
      <c r="Y9" s="22">
        <v>6</v>
      </c>
      <c r="Z9" s="22"/>
      <c r="AA9" s="22">
        <v>3.8999999999999999</v>
      </c>
      <c r="AB9" s="22"/>
      <c r="AC9" s="22"/>
    </row>
    <row r="10" ht="12" customHeight="1">
      <c r="A10" s="8" t="s">
        <v>81</v>
      </c>
      <c r="B10" s="8" t="s">
        <v>590</v>
      </c>
      <c r="C10" s="26">
        <v>10.800000000000001</v>
      </c>
      <c r="D10" s="8"/>
      <c r="E10" s="26">
        <v>8.6999999999999993</v>
      </c>
      <c r="F10" s="8"/>
      <c r="G10" s="26">
        <v>10.300000000000001</v>
      </c>
      <c r="H10" s="8"/>
      <c r="I10" s="26">
        <v>7.7000000000000002</v>
      </c>
      <c r="J10" s="8"/>
      <c r="K10" s="26">
        <v>2.2999999999999998</v>
      </c>
      <c r="L10" s="8"/>
      <c r="M10" s="26">
        <v>0.29999999999999999</v>
      </c>
      <c r="N10" s="8"/>
      <c r="O10" s="26">
        <v>-1</v>
      </c>
      <c r="P10" s="8"/>
      <c r="Q10" s="26">
        <v>-0.20000000000000001</v>
      </c>
      <c r="R10" s="8"/>
      <c r="S10" s="26">
        <v>1.7</v>
      </c>
      <c r="T10" s="8"/>
      <c r="U10" s="26">
        <v>3.5</v>
      </c>
      <c r="V10" s="8"/>
      <c r="W10" s="26">
        <v>4.5</v>
      </c>
      <c r="X10" s="8"/>
      <c r="Y10" s="26">
        <v>7</v>
      </c>
      <c r="Z10" s="8"/>
      <c r="AA10" s="26">
        <v>7.0999999999999996</v>
      </c>
      <c r="AB10" s="8"/>
      <c r="AC10" s="8"/>
    </row>
    <row r="11" ht="12" customHeight="1">
      <c r="A11" s="8" t="s">
        <v>83</v>
      </c>
      <c r="B11" s="8" t="s">
        <v>591</v>
      </c>
      <c r="C11" s="26">
        <v>10.300000000000001</v>
      </c>
      <c r="D11" s="8"/>
      <c r="E11" s="26">
        <v>12.699999999999999</v>
      </c>
      <c r="F11" s="8"/>
      <c r="G11" s="26">
        <v>13.6</v>
      </c>
      <c r="H11" s="8"/>
      <c r="I11" s="26">
        <v>11.5</v>
      </c>
      <c r="J11" s="8"/>
      <c r="K11" s="26">
        <v>7.2999999999999998</v>
      </c>
      <c r="L11" s="8"/>
      <c r="M11" s="26">
        <v>4</v>
      </c>
      <c r="N11" s="8"/>
      <c r="O11" s="26">
        <v>2</v>
      </c>
      <c r="P11" s="8"/>
      <c r="Q11" s="26">
        <v>2.1000000000000001</v>
      </c>
      <c r="R11" s="8"/>
      <c r="S11" s="26">
        <v>2.1000000000000001</v>
      </c>
      <c r="T11" s="8"/>
      <c r="U11" s="26">
        <v>3.7000000000000002</v>
      </c>
      <c r="V11" s="8"/>
      <c r="W11" s="26">
        <v>4.2999999999999998</v>
      </c>
      <c r="X11" s="8"/>
      <c r="Y11" s="26">
        <v>4.0999999999999996</v>
      </c>
      <c r="Z11" s="8"/>
      <c r="AA11" s="26">
        <v>4.4000000000000004</v>
      </c>
      <c r="AB11" s="8"/>
      <c r="AC11" s="8"/>
    </row>
    <row r="12" ht="12" customHeight="1">
      <c r="A12" s="8" t="s">
        <v>85</v>
      </c>
      <c r="B12" s="8" t="s">
        <v>592</v>
      </c>
      <c r="C12" s="26">
        <v>8.1999999999999993</v>
      </c>
      <c r="D12" s="8"/>
      <c r="E12" s="26">
        <v>8.0999999999999996</v>
      </c>
      <c r="F12" s="8"/>
      <c r="G12" s="26">
        <v>10</v>
      </c>
      <c r="H12" s="8"/>
      <c r="I12" s="26">
        <v>8.9000000000000004</v>
      </c>
      <c r="J12" s="8"/>
      <c r="K12" s="26">
        <v>5.7999999999999998</v>
      </c>
      <c r="L12" s="8"/>
      <c r="M12" s="26">
        <v>4.5</v>
      </c>
      <c r="N12" s="8"/>
      <c r="O12" s="26">
        <v>4.0999999999999996</v>
      </c>
      <c r="P12" s="8"/>
      <c r="Q12" s="26">
        <v>4.0999999999999996</v>
      </c>
      <c r="R12" s="8"/>
      <c r="S12" s="26">
        <v>3.8999999999999999</v>
      </c>
      <c r="T12" s="8"/>
      <c r="U12" s="26">
        <v>5.5</v>
      </c>
      <c r="V12" s="8"/>
      <c r="W12" s="26">
        <v>5.7000000000000002</v>
      </c>
      <c r="X12" s="8"/>
      <c r="Y12" s="26">
        <v>4.0999999999999996</v>
      </c>
      <c r="Z12" s="8"/>
      <c r="AA12" s="26">
        <v>4.7999999999999998</v>
      </c>
      <c r="AB12" s="8"/>
      <c r="AC12" s="8"/>
    </row>
    <row r="13" ht="12" customHeight="1">
      <c r="A13" s="8" t="s">
        <v>87</v>
      </c>
      <c r="B13" s="8" t="s">
        <v>593</v>
      </c>
      <c r="C13" s="26">
        <v>7.9000000000000004</v>
      </c>
      <c r="D13" s="8"/>
      <c r="E13" s="26">
        <v>8.6999999999999993</v>
      </c>
      <c r="F13" s="8"/>
      <c r="G13" s="26">
        <v>9.0999999999999996</v>
      </c>
      <c r="H13" s="8"/>
      <c r="I13" s="26">
        <v>9</v>
      </c>
      <c r="J13" s="8"/>
      <c r="K13" s="26">
        <v>7.5</v>
      </c>
      <c r="L13" s="8"/>
      <c r="M13" s="26">
        <v>6.5</v>
      </c>
      <c r="N13" s="8"/>
      <c r="O13" s="26">
        <v>4.7999999999999998</v>
      </c>
      <c r="P13" s="8"/>
      <c r="Q13" s="26">
        <v>3.6000000000000001</v>
      </c>
      <c r="R13" s="8"/>
      <c r="S13" s="26">
        <v>3.2000000000000002</v>
      </c>
      <c r="T13" s="8"/>
      <c r="U13" s="26">
        <v>2.5</v>
      </c>
      <c r="V13" s="8"/>
      <c r="W13" s="26">
        <v>2.1000000000000001</v>
      </c>
      <c r="X13" s="8"/>
      <c r="Y13" s="26">
        <v>2.3999999999999999</v>
      </c>
      <c r="Z13" s="8"/>
      <c r="AA13" s="26">
        <v>2.3999999999999999</v>
      </c>
      <c r="AB13" s="8"/>
      <c r="AC13" s="8"/>
    </row>
    <row r="14" ht="12" customHeight="1">
      <c r="A14" s="11" t="s">
        <v>89</v>
      </c>
      <c r="B14" s="8" t="s">
        <v>594</v>
      </c>
      <c r="C14" s="26">
        <v>5.7000000000000002</v>
      </c>
      <c r="D14" s="8"/>
      <c r="E14" s="26">
        <v>7.2000000000000002</v>
      </c>
      <c r="F14" s="8"/>
      <c r="G14" s="26">
        <v>7.5</v>
      </c>
      <c r="H14" s="8"/>
      <c r="I14" s="26">
        <v>7.2999999999999998</v>
      </c>
      <c r="J14" s="8"/>
      <c r="K14" s="26">
        <v>8</v>
      </c>
      <c r="L14" s="8"/>
      <c r="M14" s="26">
        <v>7.2000000000000002</v>
      </c>
      <c r="N14" s="8"/>
      <c r="O14" s="26">
        <v>6.7999999999999998</v>
      </c>
      <c r="P14" s="8"/>
      <c r="Q14" s="26">
        <v>6.0999999999999996</v>
      </c>
      <c r="R14" s="8"/>
      <c r="S14" s="26">
        <v>5</v>
      </c>
      <c r="T14" s="8"/>
      <c r="U14" s="26">
        <v>3.5</v>
      </c>
      <c r="V14" s="8"/>
      <c r="W14" s="26">
        <v>2.3999999999999999</v>
      </c>
      <c r="X14" s="8"/>
      <c r="Y14" s="26">
        <v>2.3999999999999999</v>
      </c>
      <c r="Z14" s="8"/>
      <c r="AA14" s="26">
        <v>2.3999999999999999</v>
      </c>
      <c r="AB14" s="8"/>
      <c r="AC14" s="8"/>
    </row>
    <row r="15" ht="12" customHeight="1">
      <c r="A15" s="8" t="s">
        <v>91</v>
      </c>
      <c r="B15" s="8" t="s">
        <v>595</v>
      </c>
      <c r="C15" s="26">
        <v>6.2000000000000002</v>
      </c>
      <c r="D15" s="8"/>
      <c r="E15" s="26">
        <v>6.4000000000000004</v>
      </c>
      <c r="F15" s="8"/>
      <c r="G15" s="26">
        <v>6.9000000000000004</v>
      </c>
      <c r="H15" s="8"/>
      <c r="I15" s="26">
        <v>6.2999999999999998</v>
      </c>
      <c r="J15" s="8"/>
      <c r="K15" s="26">
        <v>5.7000000000000002</v>
      </c>
      <c r="L15" s="8"/>
      <c r="M15" s="26">
        <v>5.0999999999999996</v>
      </c>
      <c r="N15" s="8"/>
      <c r="O15" s="26">
        <v>4.5</v>
      </c>
      <c r="P15" s="8"/>
      <c r="Q15" s="26">
        <v>3.2999999999999998</v>
      </c>
      <c r="R15" s="8"/>
      <c r="S15" s="26">
        <v>3</v>
      </c>
      <c r="T15" s="8"/>
      <c r="U15" s="26">
        <v>2.7999999999999998</v>
      </c>
      <c r="V15" s="8"/>
      <c r="W15" s="26">
        <v>0.69999999999999996</v>
      </c>
      <c r="X15" s="8"/>
      <c r="Y15" s="26">
        <v>1</v>
      </c>
      <c r="Z15" s="8"/>
      <c r="AA15" s="26">
        <v>0.59999999999999998</v>
      </c>
      <c r="AB15" s="8"/>
      <c r="AC15" s="8"/>
    </row>
    <row r="16" ht="12" customHeight="1">
      <c r="A16" s="8" t="s">
        <v>93</v>
      </c>
      <c r="B16" s="8" t="s">
        <v>596</v>
      </c>
      <c r="C16" s="26">
        <v>5</v>
      </c>
      <c r="D16" s="8"/>
      <c r="E16" s="26">
        <v>8.1999999999999993</v>
      </c>
      <c r="F16" s="8"/>
      <c r="G16" s="26">
        <v>8.1999999999999993</v>
      </c>
      <c r="H16" s="8"/>
      <c r="I16" s="26">
        <v>8.8000000000000007</v>
      </c>
      <c r="J16" s="8"/>
      <c r="K16" s="26">
        <v>11.1</v>
      </c>
      <c r="L16" s="8"/>
      <c r="M16" s="26">
        <v>10.1</v>
      </c>
      <c r="N16" s="8"/>
      <c r="O16" s="26">
        <v>10.1</v>
      </c>
      <c r="P16" s="8"/>
      <c r="Q16" s="26">
        <v>9.9000000000000004</v>
      </c>
      <c r="R16" s="8"/>
      <c r="S16" s="26">
        <v>7.7000000000000002</v>
      </c>
      <c r="T16" s="8"/>
      <c r="U16" s="26">
        <v>5.0999999999999996</v>
      </c>
      <c r="V16" s="8"/>
      <c r="W16" s="26">
        <v>5.2999999999999998</v>
      </c>
      <c r="X16" s="8"/>
      <c r="Y16" s="26">
        <v>4.7999999999999998</v>
      </c>
      <c r="Z16" s="8"/>
      <c r="AA16" s="26">
        <v>5.7000000000000002</v>
      </c>
      <c r="AB16" s="8"/>
      <c r="AC16" s="8"/>
    </row>
    <row r="17" ht="12" customHeight="1">
      <c r="A17" s="11" t="s">
        <v>95</v>
      </c>
      <c r="B17" s="8" t="s">
        <v>597</v>
      </c>
      <c r="C17" s="26">
        <v>2.5</v>
      </c>
      <c r="D17" s="8"/>
      <c r="E17" s="26">
        <v>3.1000000000000001</v>
      </c>
      <c r="F17" s="8"/>
      <c r="G17" s="26">
        <v>5.4000000000000004</v>
      </c>
      <c r="H17" s="8"/>
      <c r="I17" s="26">
        <v>4.0999999999999996</v>
      </c>
      <c r="J17" s="8"/>
      <c r="K17" s="26">
        <v>3.6000000000000001</v>
      </c>
      <c r="L17" s="8"/>
      <c r="M17" s="26">
        <v>3.8999999999999999</v>
      </c>
      <c r="N17" s="8"/>
      <c r="O17" s="26">
        <v>0.5</v>
      </c>
      <c r="P17" s="8"/>
      <c r="Q17" s="26">
        <v>0.5</v>
      </c>
      <c r="R17" s="8"/>
      <c r="S17" s="26">
        <v>-1</v>
      </c>
      <c r="T17" s="8"/>
      <c r="U17" s="26">
        <v>-1</v>
      </c>
      <c r="V17" s="8"/>
      <c r="W17" s="26">
        <v>-0.59999999999999998</v>
      </c>
      <c r="X17" s="8"/>
      <c r="Y17" s="26">
        <v>-0.10000000000000001</v>
      </c>
      <c r="Z17" s="8"/>
      <c r="AA17" s="26">
        <v>1.7</v>
      </c>
      <c r="AB17" s="8"/>
      <c r="AC17" s="8"/>
    </row>
    <row r="18" ht="12" customHeight="1">
      <c r="A18" s="8" t="s">
        <v>97</v>
      </c>
      <c r="B18" s="8" t="s">
        <v>598</v>
      </c>
      <c r="C18" s="26">
        <v>2.2999999999999998</v>
      </c>
      <c r="D18" s="8"/>
      <c r="E18" s="26">
        <v>2.5</v>
      </c>
      <c r="F18" s="8"/>
      <c r="G18" s="26">
        <v>5.5999999999999996</v>
      </c>
      <c r="H18" s="8"/>
      <c r="I18" s="26">
        <v>4.7000000000000002</v>
      </c>
      <c r="J18" s="8"/>
      <c r="K18" s="26">
        <v>4</v>
      </c>
      <c r="L18" s="8"/>
      <c r="M18" s="26">
        <v>4.9000000000000004</v>
      </c>
      <c r="N18" s="8"/>
      <c r="O18" s="26">
        <v>0.59999999999999998</v>
      </c>
      <c r="P18" s="8"/>
      <c r="Q18" s="26">
        <v>0.40000000000000002</v>
      </c>
      <c r="R18" s="8"/>
      <c r="S18" s="26">
        <v>-1.3999999999999999</v>
      </c>
      <c r="T18" s="8"/>
      <c r="U18" s="26">
        <v>-2.1000000000000001</v>
      </c>
      <c r="V18" s="8"/>
      <c r="W18" s="26">
        <v>-0.69999999999999996</v>
      </c>
      <c r="X18" s="8"/>
      <c r="Y18" s="26">
        <v>-0.5</v>
      </c>
      <c r="Z18" s="8"/>
      <c r="AA18" s="26">
        <v>1.8</v>
      </c>
      <c r="AB18" s="8"/>
      <c r="AC18" s="8"/>
    </row>
    <row r="19" ht="12" customHeight="1">
      <c r="A19" s="8" t="s">
        <v>99</v>
      </c>
      <c r="B19" s="8" t="s">
        <v>599</v>
      </c>
      <c r="C19" s="26">
        <v>3.6000000000000001</v>
      </c>
      <c r="D19" s="8"/>
      <c r="E19" s="26">
        <v>5.5999999999999996</v>
      </c>
      <c r="F19" s="8"/>
      <c r="G19" s="26">
        <v>4.5999999999999996</v>
      </c>
      <c r="H19" s="8"/>
      <c r="I19" s="26">
        <v>1.8</v>
      </c>
      <c r="J19" s="8"/>
      <c r="K19" s="26">
        <v>1.8999999999999999</v>
      </c>
      <c r="L19" s="8"/>
      <c r="M19" s="26">
        <v>-0.10000000000000001</v>
      </c>
      <c r="N19" s="8"/>
      <c r="O19" s="26">
        <v>-0.40000000000000002</v>
      </c>
      <c r="P19" s="8"/>
      <c r="Q19" s="26">
        <v>0.90000000000000002</v>
      </c>
      <c r="R19" s="8"/>
      <c r="S19" s="26">
        <v>0.29999999999999999</v>
      </c>
      <c r="T19" s="8"/>
      <c r="U19" s="26">
        <v>3.6000000000000001</v>
      </c>
      <c r="V19" s="8"/>
      <c r="W19" s="26">
        <v>0.10000000000000001</v>
      </c>
      <c r="X19" s="8"/>
      <c r="Y19" s="26">
        <v>1.5</v>
      </c>
      <c r="Z19" s="8"/>
      <c r="AA19" s="26">
        <v>1.6000000000000001</v>
      </c>
      <c r="AB19" s="8"/>
      <c r="AC19" s="8"/>
    </row>
    <row r="20" ht="12" customHeight="1">
      <c r="A20" s="11" t="s">
        <v>101</v>
      </c>
      <c r="B20" s="8" t="s">
        <v>600</v>
      </c>
      <c r="C20" s="26">
        <v>5.2000000000000002</v>
      </c>
      <c r="D20" s="8"/>
      <c r="E20" s="26">
        <v>5.2000000000000002</v>
      </c>
      <c r="F20" s="8"/>
      <c r="G20" s="26">
        <v>5.2999999999999998</v>
      </c>
      <c r="H20" s="8"/>
      <c r="I20" s="26">
        <v>5.7999999999999998</v>
      </c>
      <c r="J20" s="8"/>
      <c r="K20" s="26">
        <v>5.9000000000000004</v>
      </c>
      <c r="L20" s="8"/>
      <c r="M20" s="26">
        <v>5.5999999999999996</v>
      </c>
      <c r="N20" s="8"/>
      <c r="O20" s="26">
        <v>5.5</v>
      </c>
      <c r="P20" s="8"/>
      <c r="Q20" s="26">
        <v>6.2999999999999998</v>
      </c>
      <c r="R20" s="8"/>
      <c r="S20" s="26">
        <v>5.9000000000000004</v>
      </c>
      <c r="T20" s="8"/>
      <c r="U20" s="26">
        <v>6</v>
      </c>
      <c r="V20" s="8"/>
      <c r="W20" s="26">
        <v>6</v>
      </c>
      <c r="X20" s="8"/>
      <c r="Y20" s="26">
        <v>5.0999999999999996</v>
      </c>
      <c r="Z20" s="8"/>
      <c r="AA20" s="26">
        <v>4.9000000000000004</v>
      </c>
      <c r="AB20" s="8"/>
      <c r="AC20" s="8"/>
    </row>
    <row r="21" ht="12" customHeight="1">
      <c r="A21" s="8" t="s">
        <v>103</v>
      </c>
      <c r="B21" s="8" t="s">
        <v>601</v>
      </c>
      <c r="C21" s="26">
        <v>4.9000000000000004</v>
      </c>
      <c r="D21" s="8"/>
      <c r="E21" s="26">
        <v>5</v>
      </c>
      <c r="F21" s="8"/>
      <c r="G21" s="26">
        <v>4.7999999999999998</v>
      </c>
      <c r="H21" s="8"/>
      <c r="I21" s="26">
        <v>5</v>
      </c>
      <c r="J21" s="8"/>
      <c r="K21" s="26">
        <v>5.0999999999999996</v>
      </c>
      <c r="L21" s="8"/>
      <c r="M21" s="26">
        <v>5.0999999999999996</v>
      </c>
      <c r="N21" s="8"/>
      <c r="O21" s="26">
        <v>5.0999999999999996</v>
      </c>
      <c r="P21" s="8"/>
      <c r="Q21" s="26">
        <v>4.7999999999999998</v>
      </c>
      <c r="R21" s="8"/>
      <c r="S21" s="26">
        <v>4.4000000000000004</v>
      </c>
      <c r="T21" s="8"/>
      <c r="U21" s="26">
        <v>3.8999999999999999</v>
      </c>
      <c r="V21" s="8"/>
      <c r="W21" s="26">
        <v>3.3999999999999999</v>
      </c>
      <c r="X21" s="8"/>
      <c r="Y21" s="26">
        <v>2.6000000000000001</v>
      </c>
      <c r="Z21" s="8"/>
      <c r="AA21" s="26">
        <v>1.8999999999999999</v>
      </c>
      <c r="AB21" s="8"/>
      <c r="AC21" s="8"/>
    </row>
    <row r="22" ht="12" customHeight="1">
      <c r="A22" s="8" t="s">
        <v>105</v>
      </c>
      <c r="B22" s="8" t="s">
        <v>602</v>
      </c>
      <c r="C22" s="26">
        <v>4.9000000000000004</v>
      </c>
      <c r="D22" s="8"/>
      <c r="E22" s="26">
        <v>5</v>
      </c>
      <c r="F22" s="8"/>
      <c r="G22" s="26">
        <v>4.7999999999999998</v>
      </c>
      <c r="H22" s="8"/>
      <c r="I22" s="26">
        <v>5</v>
      </c>
      <c r="J22" s="8"/>
      <c r="K22" s="26">
        <v>5.0999999999999996</v>
      </c>
      <c r="L22" s="8"/>
      <c r="M22" s="26">
        <v>5.0999999999999996</v>
      </c>
      <c r="N22" s="8"/>
      <c r="O22" s="26">
        <v>5.0999999999999996</v>
      </c>
      <c r="P22" s="8"/>
      <c r="Q22" s="26">
        <v>4.7999999999999998</v>
      </c>
      <c r="R22" s="8"/>
      <c r="S22" s="26">
        <v>4.4000000000000004</v>
      </c>
      <c r="T22" s="8"/>
      <c r="U22" s="26">
        <v>3.8999999999999999</v>
      </c>
      <c r="V22" s="8"/>
      <c r="W22" s="26">
        <v>3.3999999999999999</v>
      </c>
      <c r="X22" s="8"/>
      <c r="Y22" s="26">
        <v>2.6000000000000001</v>
      </c>
      <c r="Z22" s="8"/>
      <c r="AA22" s="26">
        <v>1.8999999999999999</v>
      </c>
      <c r="AB22" s="8"/>
      <c r="AC22" s="8"/>
    </row>
    <row r="23" ht="12" customHeight="1">
      <c r="A23" s="8" t="s">
        <v>107</v>
      </c>
      <c r="B23" s="8" t="s">
        <v>603</v>
      </c>
      <c r="C23" s="26">
        <v>7.2000000000000002</v>
      </c>
      <c r="D23" s="8"/>
      <c r="E23" s="26">
        <v>5</v>
      </c>
      <c r="F23" s="8"/>
      <c r="G23" s="26">
        <v>5</v>
      </c>
      <c r="H23" s="8"/>
      <c r="I23" s="26">
        <v>3.6000000000000001</v>
      </c>
      <c r="J23" s="8"/>
      <c r="K23" s="26">
        <v>2.3999999999999999</v>
      </c>
      <c r="L23" s="8"/>
      <c r="M23" s="26">
        <v>2.8999999999999999</v>
      </c>
      <c r="N23" s="8"/>
      <c r="O23" s="26">
        <v>2.2999999999999998</v>
      </c>
      <c r="P23" s="8"/>
      <c r="Q23" s="26">
        <v>3</v>
      </c>
      <c r="R23" s="8"/>
      <c r="S23" s="26">
        <v>2.7000000000000002</v>
      </c>
      <c r="T23" s="8"/>
      <c r="U23" s="26">
        <v>2.8999999999999999</v>
      </c>
      <c r="V23" s="8"/>
      <c r="W23" s="26">
        <v>1.7</v>
      </c>
      <c r="X23" s="8"/>
      <c r="Y23" s="26">
        <v>1.1000000000000001</v>
      </c>
      <c r="Z23" s="8"/>
      <c r="AA23" s="26">
        <v>2.1000000000000001</v>
      </c>
      <c r="AB23" s="8"/>
      <c r="AC23" s="8"/>
    </row>
    <row r="24" ht="12" customHeight="1">
      <c r="A24" s="8" t="s">
        <v>109</v>
      </c>
      <c r="B24" s="8" t="s">
        <v>604</v>
      </c>
      <c r="C24" s="26">
        <v>7.2000000000000002</v>
      </c>
      <c r="D24" s="8"/>
      <c r="E24" s="26">
        <v>7.2000000000000002</v>
      </c>
      <c r="F24" s="8"/>
      <c r="G24" s="26">
        <v>7.2000000000000002</v>
      </c>
      <c r="H24" s="8"/>
      <c r="I24" s="26">
        <v>9.5999999999999996</v>
      </c>
      <c r="J24" s="8"/>
      <c r="K24" s="26">
        <v>9.5999999999999996</v>
      </c>
      <c r="L24" s="8"/>
      <c r="M24" s="26">
        <v>9.5999999999999996</v>
      </c>
      <c r="N24" s="8"/>
      <c r="O24" s="26">
        <v>9.5999999999999996</v>
      </c>
      <c r="P24" s="8"/>
      <c r="Q24" s="26">
        <v>12</v>
      </c>
      <c r="R24" s="8"/>
      <c r="S24" s="26">
        <v>12</v>
      </c>
      <c r="T24" s="8"/>
      <c r="U24" s="26">
        <v>12</v>
      </c>
      <c r="V24" s="8"/>
      <c r="W24" s="26">
        <v>11.9</v>
      </c>
      <c r="X24" s="8"/>
      <c r="Y24" s="26">
        <v>8.3000000000000007</v>
      </c>
      <c r="Z24" s="8"/>
      <c r="AA24" s="26">
        <v>8.1999999999999993</v>
      </c>
      <c r="AB24" s="8"/>
      <c r="AC24" s="8"/>
    </row>
    <row r="25" ht="12" customHeight="1">
      <c r="A25" s="8" t="s">
        <v>111</v>
      </c>
      <c r="B25" s="8" t="s">
        <v>605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9.8000000000000007</v>
      </c>
      <c r="J25" s="8"/>
      <c r="K25" s="26">
        <v>9.8000000000000007</v>
      </c>
      <c r="L25" s="8"/>
      <c r="M25" s="26">
        <v>9.8000000000000007</v>
      </c>
      <c r="N25" s="8"/>
      <c r="O25" s="26">
        <v>9.8000000000000007</v>
      </c>
      <c r="P25" s="8"/>
      <c r="Q25" s="26">
        <v>12.1</v>
      </c>
      <c r="R25" s="8"/>
      <c r="S25" s="26">
        <v>12.1</v>
      </c>
      <c r="T25" s="8"/>
      <c r="U25" s="26">
        <v>12.1</v>
      </c>
      <c r="V25" s="8"/>
      <c r="W25" s="26">
        <v>12.1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606</v>
      </c>
      <c r="C26" s="26">
        <v>2.7999999999999998</v>
      </c>
      <c r="D26" s="8"/>
      <c r="E26" s="26">
        <v>3.7999999999999998</v>
      </c>
      <c r="F26" s="8"/>
      <c r="G26" s="26">
        <v>4.7000000000000002</v>
      </c>
      <c r="H26" s="8"/>
      <c r="I26" s="26">
        <v>5.2000000000000002</v>
      </c>
      <c r="J26" s="8"/>
      <c r="K26" s="26">
        <v>5.7000000000000002</v>
      </c>
      <c r="L26" s="8"/>
      <c r="M26" s="26">
        <v>3.7000000000000002</v>
      </c>
      <c r="N26" s="8"/>
      <c r="O26" s="26">
        <v>3.7000000000000002</v>
      </c>
      <c r="P26" s="8"/>
      <c r="Q26" s="26">
        <v>5.7000000000000002</v>
      </c>
      <c r="R26" s="8"/>
      <c r="S26" s="26">
        <v>4.7000000000000002</v>
      </c>
      <c r="T26" s="8"/>
      <c r="U26" s="26">
        <v>6.9000000000000004</v>
      </c>
      <c r="V26" s="8"/>
      <c r="W26" s="26">
        <v>9.0999999999999996</v>
      </c>
      <c r="X26" s="8"/>
      <c r="Y26" s="26">
        <v>11.4</v>
      </c>
      <c r="Z26" s="8"/>
      <c r="AA26" s="26">
        <v>12.300000000000001</v>
      </c>
      <c r="AB26" s="8"/>
      <c r="AC26" s="8"/>
    </row>
    <row r="27" ht="12" customHeight="1">
      <c r="A27" s="8" t="s">
        <v>115</v>
      </c>
      <c r="B27" s="8" t="s">
        <v>607</v>
      </c>
      <c r="C27" s="26">
        <v>2.3999999999999999</v>
      </c>
      <c r="D27" s="8"/>
      <c r="E27" s="26">
        <v>3.2999999999999998</v>
      </c>
      <c r="F27" s="8"/>
      <c r="G27" s="26">
        <v>4.0999999999999996</v>
      </c>
      <c r="H27" s="8"/>
      <c r="I27" s="26">
        <v>4.0999999999999996</v>
      </c>
      <c r="J27" s="8"/>
      <c r="K27" s="26">
        <v>4.7999999999999998</v>
      </c>
      <c r="L27" s="8"/>
      <c r="M27" s="26">
        <v>2.7999999999999998</v>
      </c>
      <c r="N27" s="8"/>
      <c r="O27" s="26">
        <v>3.2000000000000002</v>
      </c>
      <c r="P27" s="8"/>
      <c r="Q27" s="26">
        <v>5.5999999999999996</v>
      </c>
      <c r="R27" s="8"/>
      <c r="S27" s="26">
        <v>4.4000000000000004</v>
      </c>
      <c r="T27" s="8"/>
      <c r="U27" s="26">
        <v>6.2999999999999998</v>
      </c>
      <c r="V27" s="8"/>
      <c r="W27" s="26">
        <v>8.5</v>
      </c>
      <c r="X27" s="8"/>
      <c r="Y27" s="26">
        <v>11.300000000000001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608</v>
      </c>
      <c r="C28" s="26">
        <v>7.7999999999999998</v>
      </c>
      <c r="D28" s="8"/>
      <c r="E28" s="26">
        <v>6.5999999999999996</v>
      </c>
      <c r="F28" s="8"/>
      <c r="G28" s="26">
        <v>7.0999999999999996</v>
      </c>
      <c r="H28" s="8"/>
      <c r="I28" s="26">
        <v>3.7999999999999998</v>
      </c>
      <c r="J28" s="8"/>
      <c r="K28" s="26">
        <v>1.1000000000000001</v>
      </c>
      <c r="L28" s="8"/>
      <c r="M28" s="26">
        <v>0.59999999999999998</v>
      </c>
      <c r="N28" s="8"/>
      <c r="O28" s="26">
        <v>-1.6000000000000001</v>
      </c>
      <c r="P28" s="8"/>
      <c r="Q28" s="26">
        <v>0.20000000000000001</v>
      </c>
      <c r="R28" s="8"/>
      <c r="S28" s="26">
        <v>-0.90000000000000002</v>
      </c>
      <c r="T28" s="8"/>
      <c r="U28" s="26">
        <v>-0.29999999999999999</v>
      </c>
      <c r="V28" s="8"/>
      <c r="W28" s="26">
        <v>-0.69999999999999996</v>
      </c>
      <c r="X28" s="8"/>
      <c r="Y28" s="26">
        <v>-2</v>
      </c>
      <c r="Z28" s="8"/>
      <c r="AA28" s="26">
        <v>-0.90000000000000002</v>
      </c>
      <c r="AB28" s="8"/>
      <c r="AC28" s="8"/>
    </row>
    <row r="29" ht="12" customHeight="1">
      <c r="A29" s="8" t="s">
        <v>119</v>
      </c>
      <c r="B29" s="8" t="s">
        <v>609</v>
      </c>
      <c r="C29" s="26">
        <v>7.0999999999999996</v>
      </c>
      <c r="D29" s="8"/>
      <c r="E29" s="26">
        <v>6.4000000000000004</v>
      </c>
      <c r="F29" s="8"/>
      <c r="G29" s="26">
        <v>7.5999999999999996</v>
      </c>
      <c r="H29" s="8"/>
      <c r="I29" s="26">
        <v>3.5</v>
      </c>
      <c r="J29" s="8"/>
      <c r="K29" s="26">
        <v>-2.5</v>
      </c>
      <c r="L29" s="8"/>
      <c r="M29" s="26">
        <v>-3.2999999999999998</v>
      </c>
      <c r="N29" s="8"/>
      <c r="O29" s="26">
        <v>-6.7000000000000002</v>
      </c>
      <c r="P29" s="8"/>
      <c r="Q29" s="26">
        <v>-1.7</v>
      </c>
      <c r="R29" s="8"/>
      <c r="S29" s="26">
        <v>-1.8</v>
      </c>
      <c r="T29" s="8"/>
      <c r="U29" s="26">
        <v>1.7</v>
      </c>
      <c r="V29" s="8"/>
      <c r="W29" s="26">
        <v>-0.10000000000000001</v>
      </c>
      <c r="X29" s="8"/>
      <c r="Y29" s="26">
        <v>-6.2999999999999998</v>
      </c>
      <c r="Z29" s="8"/>
      <c r="AA29" s="26">
        <v>-0.80000000000000004</v>
      </c>
      <c r="AB29" s="8"/>
      <c r="AC29" s="8"/>
    </row>
    <row r="30" ht="12" customHeight="1">
      <c r="A30" s="8" t="s">
        <v>121</v>
      </c>
      <c r="B30" s="8" t="s">
        <v>610</v>
      </c>
      <c r="C30" s="26">
        <v>3.3999999999999999</v>
      </c>
      <c r="D30" s="8"/>
      <c r="E30" s="26">
        <v>6.5</v>
      </c>
      <c r="F30" s="8"/>
      <c r="G30" s="26">
        <v>1.5</v>
      </c>
      <c r="H30" s="8"/>
      <c r="I30" s="26">
        <v>1.6000000000000001</v>
      </c>
      <c r="J30" s="8"/>
      <c r="K30" s="26">
        <v>4.7999999999999998</v>
      </c>
      <c r="L30" s="8"/>
      <c r="M30" s="26">
        <v>0.69999999999999996</v>
      </c>
      <c r="N30" s="8"/>
      <c r="O30" s="26">
        <v>9</v>
      </c>
      <c r="P30" s="8"/>
      <c r="Q30" s="26">
        <v>8.4000000000000004</v>
      </c>
      <c r="R30" s="8"/>
      <c r="S30" s="26">
        <v>-4.4000000000000004</v>
      </c>
      <c r="T30" s="8"/>
      <c r="U30" s="26">
        <v>2</v>
      </c>
      <c r="V30" s="8"/>
      <c r="W30" s="26">
        <v>-3</v>
      </c>
      <c r="X30" s="8"/>
      <c r="Y30" s="26">
        <v>-0.10000000000000001</v>
      </c>
      <c r="Z30" s="8"/>
      <c r="AA30" s="26">
        <v>4.7999999999999998</v>
      </c>
      <c r="AB30" s="8"/>
      <c r="AC30" s="8"/>
    </row>
    <row r="31" ht="12" customHeight="1">
      <c r="A31" s="8" t="s">
        <v>123</v>
      </c>
      <c r="B31" s="8" t="s">
        <v>611</v>
      </c>
      <c r="C31" s="26">
        <v>3.5</v>
      </c>
      <c r="D31" s="8"/>
      <c r="E31" s="26">
        <v>0.20000000000000001</v>
      </c>
      <c r="F31" s="8"/>
      <c r="G31" s="26">
        <v>3.1000000000000001</v>
      </c>
      <c r="H31" s="8"/>
      <c r="I31" s="26">
        <v>1.2</v>
      </c>
      <c r="J31" s="8"/>
      <c r="K31" s="26">
        <v>-0.59999999999999998</v>
      </c>
      <c r="L31" s="8"/>
      <c r="M31" s="26">
        <v>-1.2</v>
      </c>
      <c r="N31" s="8"/>
      <c r="O31" s="26">
        <v>-4.7999999999999998</v>
      </c>
      <c r="P31" s="8"/>
      <c r="Q31" s="26">
        <v>-4.0999999999999996</v>
      </c>
      <c r="R31" s="8"/>
      <c r="S31" s="26">
        <v>-2.1000000000000001</v>
      </c>
      <c r="T31" s="8"/>
      <c r="U31" s="26">
        <v>-1.8999999999999999</v>
      </c>
      <c r="V31" s="8"/>
      <c r="W31" s="26">
        <v>-1</v>
      </c>
      <c r="X31" s="8"/>
      <c r="Y31" s="26">
        <v>-0.29999999999999999</v>
      </c>
      <c r="Z31" s="8"/>
      <c r="AA31" s="26">
        <v>-1.5</v>
      </c>
      <c r="AB31" s="8"/>
      <c r="AC31" s="8"/>
    </row>
    <row r="32" ht="12" customHeight="1">
      <c r="A32" s="8" t="s">
        <v>125</v>
      </c>
      <c r="B32" s="8" t="s">
        <v>612</v>
      </c>
      <c r="C32" s="26">
        <v>14.5</v>
      </c>
      <c r="D32" s="8"/>
      <c r="E32" s="26">
        <v>10.300000000000001</v>
      </c>
      <c r="F32" s="8"/>
      <c r="G32" s="26">
        <v>8.6999999999999993</v>
      </c>
      <c r="H32" s="8"/>
      <c r="I32" s="26">
        <v>2.2999999999999998</v>
      </c>
      <c r="J32" s="8"/>
      <c r="K32" s="26">
        <v>2.5</v>
      </c>
      <c r="L32" s="8"/>
      <c r="M32" s="26">
        <v>10.1</v>
      </c>
      <c r="N32" s="8"/>
      <c r="O32" s="26">
        <v>5.0999999999999996</v>
      </c>
      <c r="P32" s="8"/>
      <c r="Q32" s="26">
        <v>4.2000000000000002</v>
      </c>
      <c r="R32" s="8"/>
      <c r="S32" s="26">
        <v>3.2000000000000002</v>
      </c>
      <c r="T32" s="8"/>
      <c r="U32" s="26">
        <v>1.3</v>
      </c>
      <c r="V32" s="8"/>
      <c r="W32" s="26">
        <v>1.2</v>
      </c>
      <c r="X32" s="8"/>
      <c r="Y32" s="26">
        <v>2.7999999999999998</v>
      </c>
      <c r="Z32" s="8"/>
      <c r="AA32" s="26">
        <v>-2.7000000000000002</v>
      </c>
      <c r="AB32" s="8"/>
      <c r="AC32" s="8"/>
    </row>
    <row r="33" ht="12" customHeight="1">
      <c r="A33" s="8" t="s">
        <v>127</v>
      </c>
      <c r="B33" s="8" t="s">
        <v>613</v>
      </c>
      <c r="C33" s="26">
        <v>8.5999999999999996</v>
      </c>
      <c r="D33" s="8"/>
      <c r="E33" s="26">
        <v>7.7999999999999998</v>
      </c>
      <c r="F33" s="8"/>
      <c r="G33" s="26">
        <v>7.7000000000000002</v>
      </c>
      <c r="H33" s="8"/>
      <c r="I33" s="26">
        <v>6</v>
      </c>
      <c r="J33" s="8"/>
      <c r="K33" s="26">
        <v>3.5</v>
      </c>
      <c r="L33" s="8"/>
      <c r="M33" s="26">
        <v>3.8999999999999999</v>
      </c>
      <c r="N33" s="8"/>
      <c r="O33" s="26">
        <v>-2.7000000000000002</v>
      </c>
      <c r="P33" s="8"/>
      <c r="Q33" s="26">
        <v>-3.1000000000000001</v>
      </c>
      <c r="R33" s="8"/>
      <c r="S33" s="26">
        <v>-2.7000000000000002</v>
      </c>
      <c r="T33" s="8"/>
      <c r="U33" s="26">
        <v>-4.4000000000000004</v>
      </c>
      <c r="V33" s="8"/>
      <c r="W33" s="26">
        <v>-1.1000000000000001</v>
      </c>
      <c r="X33" s="8"/>
      <c r="Y33" s="26">
        <v>-1.1000000000000001</v>
      </c>
      <c r="Z33" s="8"/>
      <c r="AA33" s="26">
        <v>-3</v>
      </c>
      <c r="AB33" s="8"/>
      <c r="AC33" s="8"/>
    </row>
    <row r="34" ht="12" customHeight="1">
      <c r="A34" s="8" t="s">
        <v>129</v>
      </c>
      <c r="B34" s="8" t="s">
        <v>614</v>
      </c>
      <c r="C34" s="26">
        <v>12.4</v>
      </c>
      <c r="D34" s="8"/>
      <c r="E34" s="26">
        <v>11.4</v>
      </c>
      <c r="F34" s="8"/>
      <c r="G34" s="26">
        <v>12.6</v>
      </c>
      <c r="H34" s="8"/>
      <c r="I34" s="26">
        <v>7</v>
      </c>
      <c r="J34" s="8"/>
      <c r="K34" s="26">
        <v>3</v>
      </c>
      <c r="L34" s="8"/>
      <c r="M34" s="26">
        <v>1.7</v>
      </c>
      <c r="N34" s="8"/>
      <c r="O34" s="26">
        <v>-0.40000000000000002</v>
      </c>
      <c r="P34" s="8"/>
      <c r="Q34" s="26">
        <v>2.2999999999999998</v>
      </c>
      <c r="R34" s="8"/>
      <c r="S34" s="26">
        <v>2.2000000000000002</v>
      </c>
      <c r="T34" s="8"/>
      <c r="U34" s="26">
        <v>0.5</v>
      </c>
      <c r="V34" s="8"/>
      <c r="W34" s="26">
        <v>1.3999999999999999</v>
      </c>
      <c r="X34" s="8"/>
      <c r="Y34" s="26">
        <v>-0.69999999999999996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615</v>
      </c>
      <c r="C35" s="26">
        <v>5.0999999999999996</v>
      </c>
      <c r="D35" s="8"/>
      <c r="E35" s="26">
        <v>4.7000000000000002</v>
      </c>
      <c r="F35" s="8"/>
      <c r="G35" s="26">
        <v>5</v>
      </c>
      <c r="H35" s="8"/>
      <c r="I35" s="26">
        <v>1</v>
      </c>
      <c r="J35" s="8"/>
      <c r="K35" s="26">
        <v>1.3999999999999999</v>
      </c>
      <c r="L35" s="8"/>
      <c r="M35" s="26">
        <v>2.7000000000000002</v>
      </c>
      <c r="N35" s="8"/>
      <c r="O35" s="26">
        <v>1.3999999999999999</v>
      </c>
      <c r="P35" s="8"/>
      <c r="Q35" s="26">
        <v>8.8000000000000007</v>
      </c>
      <c r="R35" s="8"/>
      <c r="S35" s="26">
        <v>6.2000000000000002</v>
      </c>
      <c r="T35" s="8"/>
      <c r="U35" s="26">
        <v>4.5</v>
      </c>
      <c r="V35" s="8"/>
      <c r="W35" s="26">
        <v>4.2999999999999998</v>
      </c>
      <c r="X35" s="8"/>
      <c r="Y35" s="26">
        <v>-0.40000000000000002</v>
      </c>
      <c r="Z35" s="8"/>
      <c r="AA35" s="26">
        <v>-0.29999999999999999</v>
      </c>
      <c r="AB35" s="8"/>
      <c r="AC35" s="8"/>
    </row>
    <row r="36" ht="12" customHeight="1">
      <c r="A36" s="8" t="s">
        <v>133</v>
      </c>
      <c r="B36" s="8" t="s">
        <v>616</v>
      </c>
      <c r="C36" s="26">
        <v>4.5999999999999996</v>
      </c>
      <c r="D36" s="8"/>
      <c r="E36" s="26">
        <v>3.2999999999999998</v>
      </c>
      <c r="F36" s="8"/>
      <c r="G36" s="26">
        <v>4.7999999999999998</v>
      </c>
      <c r="H36" s="8"/>
      <c r="I36" s="26">
        <v>-7.2000000000000002</v>
      </c>
      <c r="J36" s="8"/>
      <c r="K36" s="26">
        <v>-7.9000000000000004</v>
      </c>
      <c r="L36" s="8"/>
      <c r="M36" s="26">
        <v>-8.6999999999999993</v>
      </c>
      <c r="N36" s="8"/>
      <c r="O36" s="26">
        <v>-9.8000000000000007</v>
      </c>
      <c r="P36" s="8"/>
      <c r="Q36" s="26">
        <v>14.1</v>
      </c>
      <c r="R36" s="8"/>
      <c r="S36" s="26">
        <v>8.6999999999999993</v>
      </c>
      <c r="T36" s="8"/>
      <c r="U36" s="26">
        <v>9.4000000000000004</v>
      </c>
      <c r="V36" s="8"/>
      <c r="W36" s="26">
        <v>8.5</v>
      </c>
      <c r="X36" s="8"/>
      <c r="Y36" s="26">
        <v>-7.5999999999999996</v>
      </c>
      <c r="Z36" s="8"/>
      <c r="AA36" s="26">
        <v>-6.5</v>
      </c>
      <c r="AB36" s="8"/>
      <c r="AC36" s="8"/>
    </row>
    <row r="37" ht="12" customHeight="1">
      <c r="A37" s="8" t="s">
        <v>135</v>
      </c>
      <c r="B37" s="8" t="s">
        <v>617</v>
      </c>
      <c r="C37" s="26">
        <v>5.2999999999999998</v>
      </c>
      <c r="D37" s="8"/>
      <c r="E37" s="26">
        <v>5.2999999999999998</v>
      </c>
      <c r="F37" s="8"/>
      <c r="G37" s="26">
        <v>5</v>
      </c>
      <c r="H37" s="8"/>
      <c r="I37" s="26">
        <v>4.9000000000000004</v>
      </c>
      <c r="J37" s="8"/>
      <c r="K37" s="26">
        <v>5.5999999999999996</v>
      </c>
      <c r="L37" s="8"/>
      <c r="M37" s="26">
        <v>8</v>
      </c>
      <c r="N37" s="8"/>
      <c r="O37" s="26">
        <v>6.7000000000000002</v>
      </c>
      <c r="P37" s="8"/>
      <c r="Q37" s="26">
        <v>6.2999999999999998</v>
      </c>
      <c r="R37" s="8"/>
      <c r="S37" s="26">
        <v>4.9000000000000004</v>
      </c>
      <c r="T37" s="8"/>
      <c r="U37" s="26">
        <v>2.3999999999999999</v>
      </c>
      <c r="V37" s="8"/>
      <c r="W37" s="26">
        <v>2.7000000000000002</v>
      </c>
      <c r="X37" s="8"/>
      <c r="Y37" s="26">
        <v>3.5</v>
      </c>
      <c r="Z37" s="8"/>
      <c r="AA37" s="26">
        <v>3.3999999999999999</v>
      </c>
      <c r="AB37" s="8"/>
      <c r="AC37" s="8"/>
    </row>
    <row r="38" ht="12" customHeight="1">
      <c r="A38" s="8" t="s">
        <v>137</v>
      </c>
      <c r="B38" s="8" t="s">
        <v>618</v>
      </c>
      <c r="C38" s="26">
        <v>8.3000000000000007</v>
      </c>
      <c r="D38" s="8"/>
      <c r="E38" s="26">
        <v>10.199999999999999</v>
      </c>
      <c r="F38" s="8"/>
      <c r="G38" s="26">
        <v>7.5999999999999996</v>
      </c>
      <c r="H38" s="8"/>
      <c r="I38" s="26">
        <v>9.6999999999999993</v>
      </c>
      <c r="J38" s="8"/>
      <c r="K38" s="26">
        <v>12.9</v>
      </c>
      <c r="L38" s="8"/>
      <c r="M38" s="26">
        <v>13.5</v>
      </c>
      <c r="N38" s="8"/>
      <c r="O38" s="26">
        <v>11.5</v>
      </c>
      <c r="P38" s="8"/>
      <c r="Q38" s="26">
        <v>14.800000000000001</v>
      </c>
      <c r="R38" s="8"/>
      <c r="S38" s="26">
        <v>11.300000000000001</v>
      </c>
      <c r="T38" s="8"/>
      <c r="U38" s="26">
        <v>9</v>
      </c>
      <c r="V38" s="8"/>
      <c r="W38" s="26">
        <v>9</v>
      </c>
      <c r="X38" s="8"/>
      <c r="Y38" s="26">
        <v>3.5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619</v>
      </c>
      <c r="C39" s="26">
        <v>7.0999999999999996</v>
      </c>
      <c r="D39" s="8"/>
      <c r="E39" s="26">
        <v>1.3</v>
      </c>
      <c r="F39" s="8"/>
      <c r="G39" s="26">
        <v>-2.6000000000000001</v>
      </c>
      <c r="H39" s="8"/>
      <c r="I39" s="26">
        <v>4.2999999999999998</v>
      </c>
      <c r="J39" s="8"/>
      <c r="K39" s="26">
        <v>4.9000000000000004</v>
      </c>
      <c r="L39" s="8"/>
      <c r="M39" s="26">
        <v>4.2000000000000002</v>
      </c>
      <c r="N39" s="8"/>
      <c r="O39" s="26">
        <v>5.2999999999999998</v>
      </c>
      <c r="P39" s="8"/>
      <c r="Q39" s="26">
        <v>-4.9000000000000004</v>
      </c>
      <c r="R39" s="8"/>
      <c r="S39" s="26">
        <v>-3.7999999999999998</v>
      </c>
      <c r="T39" s="8"/>
      <c r="U39" s="26">
        <v>-0.69999999999999996</v>
      </c>
      <c r="V39" s="8"/>
      <c r="W39" s="26">
        <v>-1.7</v>
      </c>
      <c r="X39" s="8"/>
      <c r="Y39" s="26">
        <v>1.5</v>
      </c>
      <c r="Z39" s="8"/>
      <c r="AA39" s="26">
        <v>2.7000000000000002</v>
      </c>
      <c r="AB39" s="8"/>
      <c r="AC39" s="8"/>
    </row>
    <row r="40" ht="12" customHeight="1">
      <c r="A40" s="8" t="s">
        <v>141</v>
      </c>
      <c r="B40" s="8" t="s">
        <v>620</v>
      </c>
      <c r="C40" s="26">
        <v>2.2000000000000002</v>
      </c>
      <c r="D40" s="8"/>
      <c r="E40" s="26">
        <v>0.59999999999999998</v>
      </c>
      <c r="F40" s="8"/>
      <c r="G40" s="26">
        <v>1.8999999999999999</v>
      </c>
      <c r="H40" s="8"/>
      <c r="I40" s="26">
        <v>4.9000000000000004</v>
      </c>
      <c r="J40" s="8"/>
      <c r="K40" s="26">
        <v>2.6000000000000001</v>
      </c>
      <c r="L40" s="8"/>
      <c r="M40" s="26">
        <v>0.40000000000000002</v>
      </c>
      <c r="N40" s="8"/>
      <c r="O40" s="26">
        <v>-3.7999999999999998</v>
      </c>
      <c r="P40" s="8"/>
      <c r="Q40" s="26">
        <v>-8</v>
      </c>
      <c r="R40" s="8"/>
      <c r="S40" s="26">
        <v>-3.7999999999999998</v>
      </c>
      <c r="T40" s="8"/>
      <c r="U40" s="26">
        <v>-2.3999999999999999</v>
      </c>
      <c r="V40" s="8"/>
      <c r="W40" s="26">
        <v>1.2</v>
      </c>
      <c r="X40" s="8"/>
      <c r="Y40" s="26">
        <v>3.2999999999999998</v>
      </c>
      <c r="Z40" s="8"/>
      <c r="AA40" s="26">
        <v>1.2</v>
      </c>
      <c r="AB40" s="8"/>
      <c r="AC40" s="8"/>
    </row>
    <row r="41" ht="12" customHeight="1">
      <c r="A41" s="8" t="s">
        <v>143</v>
      </c>
      <c r="B41" s="8" t="s">
        <v>621</v>
      </c>
      <c r="C41" s="26">
        <v>4.7000000000000002</v>
      </c>
      <c r="D41" s="8"/>
      <c r="E41" s="26">
        <v>-3.6000000000000001</v>
      </c>
      <c r="F41" s="8"/>
      <c r="G41" s="26">
        <v>-9.6999999999999993</v>
      </c>
      <c r="H41" s="8"/>
      <c r="I41" s="26">
        <v>3.7000000000000002</v>
      </c>
      <c r="J41" s="8"/>
      <c r="K41" s="26">
        <v>8.9000000000000004</v>
      </c>
      <c r="L41" s="8"/>
      <c r="M41" s="26">
        <v>9.5</v>
      </c>
      <c r="N41" s="8"/>
      <c r="O41" s="26">
        <v>13.1</v>
      </c>
      <c r="P41" s="8"/>
      <c r="Q41" s="26">
        <v>-3.1000000000000001</v>
      </c>
      <c r="R41" s="8"/>
      <c r="S41" s="26">
        <v>-4.4000000000000004</v>
      </c>
      <c r="T41" s="8"/>
      <c r="U41" s="26">
        <v>0</v>
      </c>
      <c r="V41" s="8"/>
      <c r="W41" s="26">
        <v>-3.6000000000000001</v>
      </c>
      <c r="X41" s="8"/>
      <c r="Y41" s="26">
        <v>1</v>
      </c>
      <c r="Z41" s="8"/>
      <c r="AA41" s="26">
        <v>3.5</v>
      </c>
      <c r="AB41" s="8"/>
      <c r="AC41" s="8"/>
    </row>
    <row r="42" ht="12" customHeight="1">
      <c r="A42" s="8" t="s">
        <v>145</v>
      </c>
      <c r="B42" s="8" t="s">
        <v>622</v>
      </c>
      <c r="C42" s="26">
        <v>2.2999999999999998</v>
      </c>
      <c r="D42" s="8"/>
      <c r="E42" s="26">
        <v>-8.1999999999999993</v>
      </c>
      <c r="F42" s="8"/>
      <c r="G42" s="26">
        <v>-15</v>
      </c>
      <c r="H42" s="8"/>
      <c r="I42" s="26">
        <v>3.7999999999999998</v>
      </c>
      <c r="J42" s="8"/>
      <c r="K42" s="26">
        <v>11.9</v>
      </c>
      <c r="L42" s="8"/>
      <c r="M42" s="26">
        <v>12.199999999999999</v>
      </c>
      <c r="N42" s="8"/>
      <c r="O42" s="26">
        <v>14.6</v>
      </c>
      <c r="P42" s="8"/>
      <c r="Q42" s="26">
        <v>-7.9000000000000004</v>
      </c>
      <c r="R42" s="8"/>
      <c r="S42" s="26">
        <v>-9.1999999999999993</v>
      </c>
      <c r="T42" s="8"/>
      <c r="U42" s="26">
        <v>-2.7999999999999998</v>
      </c>
      <c r="V42" s="8"/>
      <c r="W42" s="26">
        <v>-8.0999999999999996</v>
      </c>
      <c r="X42" s="8"/>
      <c r="Y42" s="26">
        <v>-1.6000000000000001</v>
      </c>
      <c r="Z42" s="8"/>
      <c r="AA42" s="26">
        <v>2.2000000000000002</v>
      </c>
      <c r="AB42" s="8"/>
      <c r="AC42" s="8"/>
    </row>
    <row r="43" ht="12" customHeight="1">
      <c r="A43" s="8" t="s">
        <v>147</v>
      </c>
      <c r="B43" s="8" t="s">
        <v>623</v>
      </c>
      <c r="C43" s="26">
        <v>11.4</v>
      </c>
      <c r="D43" s="8"/>
      <c r="E43" s="26">
        <v>17.300000000000001</v>
      </c>
      <c r="F43" s="8"/>
      <c r="G43" s="26">
        <v>22.399999999999999</v>
      </c>
      <c r="H43" s="8"/>
      <c r="I43" s="26">
        <v>6.0999999999999996</v>
      </c>
      <c r="J43" s="8"/>
      <c r="K43" s="26">
        <v>-5.2999999999999998</v>
      </c>
      <c r="L43" s="8"/>
      <c r="M43" s="26">
        <v>-7.7000000000000002</v>
      </c>
      <c r="N43" s="8"/>
      <c r="O43" s="26">
        <v>-6.7999999999999998</v>
      </c>
      <c r="P43" s="8"/>
      <c r="Q43" s="26">
        <v>-6.5999999999999996</v>
      </c>
      <c r="R43" s="8"/>
      <c r="S43" s="26">
        <v>-1.3999999999999999</v>
      </c>
      <c r="T43" s="8"/>
      <c r="U43" s="26">
        <v>0.5</v>
      </c>
      <c r="V43" s="8"/>
      <c r="W43" s="26">
        <v>2.7000000000000002</v>
      </c>
      <c r="X43" s="8"/>
      <c r="Y43" s="26">
        <v>1.3</v>
      </c>
      <c r="Z43" s="8"/>
      <c r="AA43" s="26">
        <v>1.6000000000000001</v>
      </c>
      <c r="AB43" s="8"/>
      <c r="AC43" s="8"/>
    </row>
    <row r="44" ht="12" customHeight="1">
      <c r="A44" s="11" t="s">
        <v>149</v>
      </c>
      <c r="B44" s="8" t="s">
        <v>624</v>
      </c>
      <c r="C44" s="26">
        <v>1.3</v>
      </c>
      <c r="D44" s="8"/>
      <c r="E44" s="26">
        <v>1.3999999999999999</v>
      </c>
      <c r="F44" s="8"/>
      <c r="G44" s="26">
        <v>2.2000000000000002</v>
      </c>
      <c r="H44" s="8"/>
      <c r="I44" s="26">
        <v>2.1000000000000001</v>
      </c>
      <c r="J44" s="8"/>
      <c r="K44" s="26">
        <v>3.8999999999999999</v>
      </c>
      <c r="L44" s="8"/>
      <c r="M44" s="26">
        <v>3.8999999999999999</v>
      </c>
      <c r="N44" s="8"/>
      <c r="O44" s="26">
        <v>4.2000000000000002</v>
      </c>
      <c r="P44" s="8"/>
      <c r="Q44" s="26">
        <v>3.7000000000000002</v>
      </c>
      <c r="R44" s="8"/>
      <c r="S44" s="26">
        <v>3.7000000000000002</v>
      </c>
      <c r="T44" s="8"/>
      <c r="U44" s="26">
        <v>3.6000000000000001</v>
      </c>
      <c r="V44" s="8"/>
      <c r="W44" s="26">
        <v>2.7999999999999998</v>
      </c>
      <c r="X44" s="8"/>
      <c r="Y44" s="26">
        <v>2.3999999999999999</v>
      </c>
      <c r="Z44" s="8"/>
      <c r="AA44" s="26">
        <v>4.5</v>
      </c>
      <c r="AB44" s="8"/>
      <c r="AC44" s="8"/>
    </row>
    <row r="45" ht="12" customHeight="1">
      <c r="A45" s="8" t="s">
        <v>151</v>
      </c>
      <c r="B45" s="8" t="s">
        <v>625</v>
      </c>
      <c r="C45" s="26">
        <v>13.300000000000001</v>
      </c>
      <c r="D45" s="8"/>
      <c r="E45" s="26">
        <v>13</v>
      </c>
      <c r="F45" s="8"/>
      <c r="G45" s="26">
        <v>6.2000000000000002</v>
      </c>
      <c r="H45" s="8"/>
      <c r="I45" s="26">
        <v>7.2000000000000002</v>
      </c>
      <c r="J45" s="8"/>
      <c r="K45" s="26">
        <v>7.4000000000000004</v>
      </c>
      <c r="L45" s="8"/>
      <c r="M45" s="26">
        <v>2.6000000000000001</v>
      </c>
      <c r="N45" s="8"/>
      <c r="O45" s="26">
        <v>4.2000000000000002</v>
      </c>
      <c r="P45" s="8"/>
      <c r="Q45" s="26">
        <v>0.80000000000000004</v>
      </c>
      <c r="R45" s="8"/>
      <c r="S45" s="26">
        <v>-1.2</v>
      </c>
      <c r="T45" s="8"/>
      <c r="U45" s="26">
        <v>1.5</v>
      </c>
      <c r="V45" s="8"/>
      <c r="W45" s="26">
        <v>2.7000000000000002</v>
      </c>
      <c r="X45" s="8"/>
      <c r="Y45" s="26">
        <v>8.4000000000000004</v>
      </c>
      <c r="Z45" s="8"/>
      <c r="AA45" s="26">
        <v>8.4000000000000004</v>
      </c>
      <c r="AB45" s="8"/>
      <c r="AC45" s="8"/>
    </row>
    <row r="46" ht="12" customHeight="1">
      <c r="A46" s="8" t="s">
        <v>153</v>
      </c>
      <c r="B46" s="8" t="s">
        <v>626</v>
      </c>
      <c r="C46" s="26">
        <v>-15.4</v>
      </c>
      <c r="D46" s="8"/>
      <c r="E46" s="26">
        <v>-10.5</v>
      </c>
      <c r="F46" s="8"/>
      <c r="G46" s="26">
        <v>-25</v>
      </c>
      <c r="H46" s="8"/>
      <c r="I46" s="26">
        <v>-14.6</v>
      </c>
      <c r="J46" s="8"/>
      <c r="K46" s="26">
        <v>-0.69999999999999996</v>
      </c>
      <c r="L46" s="8"/>
      <c r="M46" s="26">
        <v>-4.7999999999999998</v>
      </c>
      <c r="N46" s="8"/>
      <c r="O46" s="26">
        <v>14.199999999999999</v>
      </c>
      <c r="P46" s="8"/>
      <c r="Q46" s="26">
        <v>3.2999999999999998</v>
      </c>
      <c r="R46" s="8"/>
      <c r="S46" s="26">
        <v>-10.9</v>
      </c>
      <c r="T46" s="8"/>
      <c r="U46" s="26">
        <v>-13</v>
      </c>
      <c r="V46" s="8"/>
      <c r="W46" s="26">
        <v>-25.199999999999999</v>
      </c>
      <c r="X46" s="8"/>
      <c r="Y46" s="26">
        <v>-15</v>
      </c>
      <c r="Z46" s="8"/>
      <c r="AA46" s="26">
        <v>-5.5</v>
      </c>
      <c r="AB46" s="8"/>
      <c r="AC46" s="8"/>
    </row>
    <row r="47" ht="12" customHeight="1">
      <c r="A47" s="8" t="s">
        <v>155</v>
      </c>
      <c r="B47" s="8" t="s">
        <v>627</v>
      </c>
      <c r="C47" s="26">
        <v>1.8</v>
      </c>
      <c r="D47" s="8"/>
      <c r="E47" s="26">
        <v>1.7</v>
      </c>
      <c r="F47" s="8"/>
      <c r="G47" s="26">
        <v>4</v>
      </c>
      <c r="H47" s="8"/>
      <c r="I47" s="26">
        <v>2.7999999999999998</v>
      </c>
      <c r="J47" s="8"/>
      <c r="K47" s="26">
        <v>4.0999999999999996</v>
      </c>
      <c r="L47" s="8"/>
      <c r="M47" s="26">
        <v>4.2999999999999998</v>
      </c>
      <c r="N47" s="8"/>
      <c r="O47" s="26">
        <v>3.7000000000000002</v>
      </c>
      <c r="P47" s="8"/>
      <c r="Q47" s="26">
        <v>3.8999999999999999</v>
      </c>
      <c r="R47" s="8"/>
      <c r="S47" s="26">
        <v>4.7000000000000002</v>
      </c>
      <c r="T47" s="8"/>
      <c r="U47" s="26">
        <v>5.7999999999999998</v>
      </c>
      <c r="V47" s="8"/>
      <c r="W47" s="26">
        <v>6.9000000000000004</v>
      </c>
      <c r="X47" s="8"/>
      <c r="Y47" s="26">
        <v>6.2999999999999998</v>
      </c>
      <c r="Z47" s="8"/>
      <c r="AA47" s="26">
        <v>7</v>
      </c>
      <c r="AB47" s="8"/>
      <c r="AC47" s="8"/>
    </row>
    <row r="48" ht="12" customHeight="1">
      <c r="A48" s="11" t="s">
        <v>157</v>
      </c>
      <c r="B48" s="8" t="s">
        <v>628</v>
      </c>
      <c r="C48" s="26">
        <v>4.9000000000000004</v>
      </c>
      <c r="D48" s="8"/>
      <c r="E48" s="26">
        <v>6.2999999999999998</v>
      </c>
      <c r="F48" s="8"/>
      <c r="G48" s="26">
        <v>7.0999999999999996</v>
      </c>
      <c r="H48" s="8"/>
      <c r="I48" s="26">
        <v>6.7999999999999998</v>
      </c>
      <c r="J48" s="8"/>
      <c r="K48" s="26">
        <v>4.9000000000000004</v>
      </c>
      <c r="L48" s="8"/>
      <c r="M48" s="26">
        <v>5.7999999999999998</v>
      </c>
      <c r="N48" s="8"/>
      <c r="O48" s="26">
        <v>2.8999999999999999</v>
      </c>
      <c r="P48" s="8"/>
      <c r="Q48" s="26">
        <v>2.2999999999999998</v>
      </c>
      <c r="R48" s="8"/>
      <c r="S48" s="26">
        <v>2.5</v>
      </c>
      <c r="T48" s="8"/>
      <c r="U48" s="26">
        <v>0.5</v>
      </c>
      <c r="V48" s="8"/>
      <c r="W48" s="26">
        <v>2.3999999999999999</v>
      </c>
      <c r="X48" s="8"/>
      <c r="Y48" s="26">
        <v>2.7999999999999998</v>
      </c>
      <c r="Z48" s="8"/>
      <c r="AA48" s="26">
        <v>2.7999999999999998</v>
      </c>
      <c r="AB48" s="8"/>
      <c r="AC48" s="8"/>
    </row>
    <row r="49" ht="12" customHeight="1">
      <c r="A49" s="8" t="s">
        <v>159</v>
      </c>
      <c r="B49" s="8" t="s">
        <v>629</v>
      </c>
      <c r="C49" s="26">
        <v>-4.5</v>
      </c>
      <c r="D49" s="8"/>
      <c r="E49" s="26">
        <v>-2.3999999999999999</v>
      </c>
      <c r="F49" s="8"/>
      <c r="G49" s="26">
        <v>-5.5999999999999996</v>
      </c>
      <c r="H49" s="8"/>
      <c r="I49" s="26">
        <v>-8.6999999999999993</v>
      </c>
      <c r="J49" s="8"/>
      <c r="K49" s="26">
        <v>-6.4000000000000004</v>
      </c>
      <c r="L49" s="8"/>
      <c r="M49" s="26">
        <v>-9.4000000000000004</v>
      </c>
      <c r="N49" s="8"/>
      <c r="O49" s="26">
        <v>-4.2000000000000002</v>
      </c>
      <c r="P49" s="8"/>
      <c r="Q49" s="26">
        <v>-2.8999999999999999</v>
      </c>
      <c r="R49" s="8"/>
      <c r="S49" s="26">
        <v>-5.5</v>
      </c>
      <c r="T49" s="8"/>
      <c r="U49" s="26">
        <v>-5.7000000000000002</v>
      </c>
      <c r="V49" s="8"/>
      <c r="W49" s="26">
        <v>-13</v>
      </c>
      <c r="X49" s="8"/>
      <c r="Y49" s="26">
        <v>-13.800000000000001</v>
      </c>
      <c r="Z49" s="8"/>
      <c r="AA49" s="26">
        <v>-10</v>
      </c>
      <c r="AB49" s="8"/>
      <c r="AC49" s="8"/>
    </row>
    <row r="50" ht="12" customHeight="1">
      <c r="A50" s="8" t="s">
        <v>161</v>
      </c>
      <c r="B50" s="8" t="s">
        <v>630</v>
      </c>
      <c r="C50" s="26">
        <v>7.2000000000000002</v>
      </c>
      <c r="D50" s="8"/>
      <c r="E50" s="26">
        <v>7</v>
      </c>
      <c r="F50" s="8"/>
      <c r="G50" s="26">
        <v>1.5</v>
      </c>
      <c r="H50" s="8"/>
      <c r="I50" s="26">
        <v>2.1000000000000001</v>
      </c>
      <c r="J50" s="8"/>
      <c r="K50" s="26">
        <v>-0.29999999999999999</v>
      </c>
      <c r="L50" s="8"/>
      <c r="M50" s="26">
        <v>1.1000000000000001</v>
      </c>
      <c r="N50" s="8"/>
      <c r="O50" s="26">
        <v>1.8</v>
      </c>
      <c r="P50" s="8"/>
      <c r="Q50" s="26">
        <v>-1.2</v>
      </c>
      <c r="R50" s="8"/>
      <c r="S50" s="26">
        <v>0.10000000000000001</v>
      </c>
      <c r="T50" s="8"/>
      <c r="U50" s="26">
        <v>-1.1000000000000001</v>
      </c>
      <c r="V50" s="8"/>
      <c r="W50" s="26">
        <v>0.59999999999999998</v>
      </c>
      <c r="X50" s="8"/>
      <c r="Y50" s="26">
        <v>2.7000000000000002</v>
      </c>
      <c r="Z50" s="8"/>
      <c r="AA50" s="26">
        <v>3</v>
      </c>
      <c r="AB50" s="8"/>
      <c r="AC50" s="8"/>
    </row>
    <row r="51" ht="12" customHeight="1">
      <c r="A51" s="8" t="s">
        <v>163</v>
      </c>
      <c r="B51" s="8" t="s">
        <v>631</v>
      </c>
      <c r="C51" s="26">
        <v>8</v>
      </c>
      <c r="D51" s="8"/>
      <c r="E51" s="26">
        <v>9.0999999999999996</v>
      </c>
      <c r="F51" s="8"/>
      <c r="G51" s="26">
        <v>11.5</v>
      </c>
      <c r="H51" s="8"/>
      <c r="I51" s="26">
        <v>7.9000000000000004</v>
      </c>
      <c r="J51" s="8"/>
      <c r="K51" s="26">
        <v>5.7000000000000002</v>
      </c>
      <c r="L51" s="8"/>
      <c r="M51" s="26">
        <v>5.2000000000000002</v>
      </c>
      <c r="N51" s="8"/>
      <c r="O51" s="26">
        <v>-1.2</v>
      </c>
      <c r="P51" s="8"/>
      <c r="Q51" s="26">
        <v>0.20000000000000001</v>
      </c>
      <c r="R51" s="8"/>
      <c r="S51" s="26">
        <v>1.1000000000000001</v>
      </c>
      <c r="T51" s="8"/>
      <c r="U51" s="26">
        <v>-0.80000000000000004</v>
      </c>
      <c r="V51" s="8"/>
      <c r="W51" s="26">
        <v>-0.90000000000000002</v>
      </c>
      <c r="X51" s="8"/>
      <c r="Y51" s="26">
        <v>-0.80000000000000004</v>
      </c>
      <c r="Z51" s="8"/>
      <c r="AA51" s="26">
        <v>-1.3</v>
      </c>
      <c r="AB51" s="8"/>
      <c r="AC51" s="8"/>
    </row>
    <row r="52" ht="12" customHeight="1">
      <c r="A52" s="8" t="s">
        <v>165</v>
      </c>
      <c r="B52" s="8" t="s">
        <v>632</v>
      </c>
      <c r="C52" s="26">
        <v>2.5</v>
      </c>
      <c r="D52" s="8"/>
      <c r="E52" s="26">
        <v>3.7000000000000002</v>
      </c>
      <c r="F52" s="8"/>
      <c r="G52" s="26">
        <v>4.5999999999999996</v>
      </c>
      <c r="H52" s="8"/>
      <c r="I52" s="26">
        <v>8.6999999999999993</v>
      </c>
      <c r="J52" s="8"/>
      <c r="K52" s="26">
        <v>6.9000000000000004</v>
      </c>
      <c r="L52" s="8"/>
      <c r="M52" s="26">
        <v>7.2999999999999998</v>
      </c>
      <c r="N52" s="8"/>
      <c r="O52" s="26">
        <v>7.5</v>
      </c>
      <c r="P52" s="8"/>
      <c r="Q52" s="26">
        <v>6.5</v>
      </c>
      <c r="R52" s="8"/>
      <c r="S52" s="26">
        <v>5.7999999999999998</v>
      </c>
      <c r="T52" s="8"/>
      <c r="U52" s="26">
        <v>4.5999999999999996</v>
      </c>
      <c r="V52" s="8"/>
      <c r="W52" s="26">
        <v>7.7999999999999998</v>
      </c>
      <c r="X52" s="8"/>
      <c r="Y52" s="26">
        <v>7.5999999999999996</v>
      </c>
      <c r="Z52" s="8"/>
      <c r="AA52" s="26">
        <v>6.5</v>
      </c>
      <c r="AB52" s="8"/>
      <c r="AC52" s="8"/>
    </row>
    <row r="53" ht="12" customHeight="1">
      <c r="A53" s="8" t="s">
        <v>167</v>
      </c>
      <c r="B53" s="8" t="s">
        <v>633</v>
      </c>
      <c r="C53" s="26">
        <v>5.2000000000000002</v>
      </c>
      <c r="D53" s="8"/>
      <c r="E53" s="26">
        <v>9.5999999999999996</v>
      </c>
      <c r="F53" s="8"/>
      <c r="G53" s="26">
        <v>7.0999999999999996</v>
      </c>
      <c r="H53" s="8"/>
      <c r="I53" s="26">
        <v>10.1</v>
      </c>
      <c r="J53" s="8"/>
      <c r="K53" s="26">
        <v>7.4000000000000004</v>
      </c>
      <c r="L53" s="8"/>
      <c r="M53" s="26">
        <v>5</v>
      </c>
      <c r="N53" s="8"/>
      <c r="O53" s="26">
        <v>4.2000000000000002</v>
      </c>
      <c r="P53" s="8"/>
      <c r="Q53" s="26">
        <v>2</v>
      </c>
      <c r="R53" s="8"/>
      <c r="S53" s="26">
        <v>2.8999999999999999</v>
      </c>
      <c r="T53" s="8"/>
      <c r="U53" s="26">
        <v>2.3999999999999999</v>
      </c>
      <c r="V53" s="8"/>
      <c r="W53" s="26">
        <v>1.3999999999999999</v>
      </c>
      <c r="X53" s="8"/>
      <c r="Y53" s="26">
        <v>3.5</v>
      </c>
      <c r="Z53" s="8"/>
      <c r="AA53" s="26">
        <v>3</v>
      </c>
      <c r="AB53" s="8"/>
      <c r="AC53" s="8"/>
    </row>
    <row r="54" ht="12" customHeight="1">
      <c r="A54" s="8" t="s">
        <v>169</v>
      </c>
      <c r="B54" s="8" t="s">
        <v>634</v>
      </c>
      <c r="C54" s="26">
        <v>12.300000000000001</v>
      </c>
      <c r="D54" s="8"/>
      <c r="E54" s="26">
        <v>11</v>
      </c>
      <c r="F54" s="8"/>
      <c r="G54" s="26">
        <v>14</v>
      </c>
      <c r="H54" s="8"/>
      <c r="I54" s="26">
        <v>9.4000000000000004</v>
      </c>
      <c r="J54" s="8"/>
      <c r="K54" s="26">
        <v>5.5</v>
      </c>
      <c r="L54" s="8"/>
      <c r="M54" s="26">
        <v>10.9</v>
      </c>
      <c r="N54" s="8"/>
      <c r="O54" s="26">
        <v>3.7000000000000002</v>
      </c>
      <c r="P54" s="8"/>
      <c r="Q54" s="26">
        <v>0.90000000000000002</v>
      </c>
      <c r="R54" s="8"/>
      <c r="S54" s="26">
        <v>2.6000000000000001</v>
      </c>
      <c r="T54" s="8"/>
      <c r="U54" s="26">
        <v>-1.8</v>
      </c>
      <c r="V54" s="8"/>
      <c r="W54" s="26">
        <v>3.2999999999999998</v>
      </c>
      <c r="X54" s="8"/>
      <c r="Y54" s="26">
        <v>5.7000000000000002</v>
      </c>
      <c r="Z54" s="8"/>
      <c r="AA54" s="26">
        <v>6.5999999999999996</v>
      </c>
      <c r="AB54" s="8"/>
      <c r="AC54" s="8"/>
    </row>
    <row r="55" ht="12" customHeight="1">
      <c r="A55" s="11" t="s">
        <v>171</v>
      </c>
      <c r="B55" s="8" t="s">
        <v>635</v>
      </c>
      <c r="C55" s="26">
        <v>3.2000000000000002</v>
      </c>
      <c r="D55" s="8"/>
      <c r="E55" s="26">
        <v>4.2999999999999998</v>
      </c>
      <c r="F55" s="8"/>
      <c r="G55" s="26">
        <v>4.2999999999999998</v>
      </c>
      <c r="H55" s="8"/>
      <c r="I55" s="26">
        <v>4.0999999999999996</v>
      </c>
      <c r="J55" s="8"/>
      <c r="K55" s="26">
        <v>4.0999999999999996</v>
      </c>
      <c r="L55" s="8"/>
      <c r="M55" s="26">
        <v>4.4000000000000004</v>
      </c>
      <c r="N55" s="8"/>
      <c r="O55" s="26">
        <v>4.4000000000000004</v>
      </c>
      <c r="P55" s="8"/>
      <c r="Q55" s="26">
        <v>-8.9000000000000004</v>
      </c>
      <c r="R55" s="8"/>
      <c r="S55" s="26">
        <v>-8.9000000000000004</v>
      </c>
      <c r="T55" s="8"/>
      <c r="U55" s="26">
        <v>-2.8999999999999999</v>
      </c>
      <c r="V55" s="8"/>
      <c r="W55" s="26">
        <v>-2.8999999999999999</v>
      </c>
      <c r="X55" s="8"/>
      <c r="Y55" s="26">
        <v>10.199999999999999</v>
      </c>
      <c r="Z55" s="8"/>
      <c r="AA55" s="26">
        <v>10.199999999999999</v>
      </c>
      <c r="AB55" s="8"/>
      <c r="AC55" s="8"/>
    </row>
    <row r="56" ht="12" customHeight="1">
      <c r="A56" s="8" t="s">
        <v>173</v>
      </c>
      <c r="B56" s="8" t="s">
        <v>636</v>
      </c>
      <c r="C56" s="26">
        <v>4</v>
      </c>
      <c r="D56" s="8"/>
      <c r="E56" s="26">
        <v>4</v>
      </c>
      <c r="F56" s="8"/>
      <c r="G56" s="26">
        <v>4</v>
      </c>
      <c r="H56" s="8"/>
      <c r="I56" s="26">
        <v>3.7000000000000002</v>
      </c>
      <c r="J56" s="8"/>
      <c r="K56" s="26">
        <v>3.7000000000000002</v>
      </c>
      <c r="L56" s="8"/>
      <c r="M56" s="26">
        <v>3.7000000000000002</v>
      </c>
      <c r="N56" s="8"/>
      <c r="O56" s="26">
        <v>3.7000000000000002</v>
      </c>
      <c r="P56" s="8"/>
      <c r="Q56" s="26">
        <v>-23.699999999999999</v>
      </c>
      <c r="R56" s="8"/>
      <c r="S56" s="26">
        <v>-23.699999999999999</v>
      </c>
      <c r="T56" s="8"/>
      <c r="U56" s="26">
        <v>-23.699999999999999</v>
      </c>
      <c r="V56" s="8"/>
      <c r="W56" s="26">
        <v>-23.699999999999999</v>
      </c>
      <c r="X56" s="8"/>
      <c r="Y56" s="26">
        <v>2.5</v>
      </c>
      <c r="Z56" s="8"/>
      <c r="AA56" s="26">
        <v>2.5</v>
      </c>
      <c r="AB56" s="8"/>
      <c r="AC56" s="8"/>
    </row>
    <row r="57" ht="12" customHeight="1">
      <c r="A57" s="8" t="s">
        <v>175</v>
      </c>
      <c r="B57" s="8" t="s">
        <v>637</v>
      </c>
      <c r="C57" s="26">
        <v>3.7000000000000002</v>
      </c>
      <c r="D57" s="8"/>
      <c r="E57" s="26">
        <v>3.2999999999999998</v>
      </c>
      <c r="F57" s="8"/>
      <c r="G57" s="26">
        <v>3.2999999999999998</v>
      </c>
      <c r="H57" s="8"/>
      <c r="I57" s="26">
        <v>3.2999999999999998</v>
      </c>
      <c r="J57" s="8"/>
      <c r="K57" s="26">
        <v>3.2999999999999998</v>
      </c>
      <c r="L57" s="8"/>
      <c r="M57" s="26">
        <v>4.7999999999999998</v>
      </c>
      <c r="N57" s="8"/>
      <c r="O57" s="26">
        <v>4.7999999999999998</v>
      </c>
      <c r="P57" s="8"/>
      <c r="Q57" s="26">
        <v>4.7999999999999998</v>
      </c>
      <c r="R57" s="8"/>
      <c r="S57" s="26">
        <v>4.7999999999999998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  <c r="AC57" s="8"/>
    </row>
    <row r="58" ht="12" customHeight="1">
      <c r="A58" s="8" t="s">
        <v>177</v>
      </c>
      <c r="B58" s="8" t="s">
        <v>638</v>
      </c>
      <c r="C58" s="26">
        <v>1.5</v>
      </c>
      <c r="D58" s="8"/>
      <c r="E58" s="26">
        <v>5.5</v>
      </c>
      <c r="F58" s="8"/>
      <c r="G58" s="26">
        <v>5.5</v>
      </c>
      <c r="H58" s="8"/>
      <c r="I58" s="26">
        <v>5.5</v>
      </c>
      <c r="J58" s="8"/>
      <c r="K58" s="26">
        <v>5.5</v>
      </c>
      <c r="L58" s="8"/>
      <c r="M58" s="26">
        <v>5.2000000000000002</v>
      </c>
      <c r="N58" s="8"/>
      <c r="O58" s="26">
        <v>5.2000000000000002</v>
      </c>
      <c r="P58" s="8"/>
      <c r="Q58" s="26">
        <v>5.2000000000000002</v>
      </c>
      <c r="R58" s="8"/>
      <c r="S58" s="26">
        <v>5.2000000000000002</v>
      </c>
      <c r="T58" s="8"/>
      <c r="U58" s="26">
        <v>22.699999999999999</v>
      </c>
      <c r="V58" s="8"/>
      <c r="W58" s="26">
        <v>22.699999999999999</v>
      </c>
      <c r="X58" s="8"/>
      <c r="Y58" s="26">
        <v>22.699999999999999</v>
      </c>
      <c r="Z58" s="8"/>
      <c r="AA58" s="26">
        <v>22.699999999999999</v>
      </c>
      <c r="AB58" s="8"/>
      <c r="AC58" s="8"/>
    </row>
    <row r="59" ht="12" customHeight="1">
      <c r="A59" s="8" t="s">
        <v>179</v>
      </c>
      <c r="B59" s="8" t="s">
        <v>639</v>
      </c>
      <c r="C59" s="26">
        <v>0.90000000000000002</v>
      </c>
      <c r="D59" s="8"/>
      <c r="E59" s="26">
        <v>5.7000000000000002</v>
      </c>
      <c r="F59" s="8"/>
      <c r="G59" s="26">
        <v>5.7000000000000002</v>
      </c>
      <c r="H59" s="8"/>
      <c r="I59" s="26">
        <v>5.7000000000000002</v>
      </c>
      <c r="J59" s="8"/>
      <c r="K59" s="26">
        <v>5.7000000000000002</v>
      </c>
      <c r="L59" s="8"/>
      <c r="M59" s="26">
        <v>4.2999999999999998</v>
      </c>
      <c r="N59" s="8"/>
      <c r="O59" s="26">
        <v>4.2999999999999998</v>
      </c>
      <c r="P59" s="8"/>
      <c r="Q59" s="26">
        <v>4.2999999999999998</v>
      </c>
      <c r="R59" s="8"/>
      <c r="S59" s="26">
        <v>4.2999999999999998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640</v>
      </c>
      <c r="C60" s="26">
        <v>4.4000000000000004</v>
      </c>
      <c r="D60" s="8"/>
      <c r="E60" s="26">
        <v>5.4000000000000004</v>
      </c>
      <c r="F60" s="8"/>
      <c r="G60" s="26">
        <v>7.5</v>
      </c>
      <c r="H60" s="8"/>
      <c r="I60" s="26">
        <v>8.8000000000000007</v>
      </c>
      <c r="J60" s="8"/>
      <c r="K60" s="26">
        <v>9.4000000000000004</v>
      </c>
      <c r="L60" s="8"/>
      <c r="M60" s="26">
        <v>10.1</v>
      </c>
      <c r="N60" s="8"/>
      <c r="O60" s="26">
        <v>9.8000000000000007</v>
      </c>
      <c r="P60" s="8"/>
      <c r="Q60" s="26">
        <v>9</v>
      </c>
      <c r="R60" s="8"/>
      <c r="S60" s="26">
        <v>8.3000000000000007</v>
      </c>
      <c r="T60" s="8"/>
      <c r="U60" s="26">
        <v>6.9000000000000004</v>
      </c>
      <c r="V60" s="8"/>
      <c r="W60" s="26">
        <v>5.5</v>
      </c>
      <c r="X60" s="8"/>
      <c r="Y60" s="26">
        <v>4.5999999999999996</v>
      </c>
      <c r="Z60" s="8"/>
      <c r="AA60" s="26">
        <v>3.7000000000000002</v>
      </c>
      <c r="AB60" s="8"/>
      <c r="AC60" s="8"/>
    </row>
    <row r="61" ht="12" customHeight="1">
      <c r="A61" s="8" t="s">
        <v>183</v>
      </c>
      <c r="B61" s="8" t="s">
        <v>641</v>
      </c>
      <c r="C61" s="26">
        <v>6.9000000000000004</v>
      </c>
      <c r="D61" s="8"/>
      <c r="E61" s="26">
        <v>6.7999999999999998</v>
      </c>
      <c r="F61" s="8"/>
      <c r="G61" s="26">
        <v>7.2999999999999998</v>
      </c>
      <c r="H61" s="8"/>
      <c r="I61" s="26">
        <v>5.9000000000000004</v>
      </c>
      <c r="J61" s="8"/>
      <c r="K61" s="26">
        <v>2.7999999999999998</v>
      </c>
      <c r="L61" s="8"/>
      <c r="M61" s="26">
        <v>1.3</v>
      </c>
      <c r="N61" s="8"/>
      <c r="O61" s="26">
        <v>-0.69999999999999996</v>
      </c>
      <c r="P61" s="8"/>
      <c r="Q61" s="26">
        <v>-0.69999999999999996</v>
      </c>
      <c r="R61" s="8"/>
      <c r="S61" s="26">
        <v>0.20000000000000001</v>
      </c>
      <c r="T61" s="8"/>
      <c r="U61" s="26">
        <v>0.40000000000000002</v>
      </c>
      <c r="V61" s="8"/>
      <c r="W61" s="26">
        <v>1.2</v>
      </c>
      <c r="X61" s="8"/>
      <c r="Y61" s="26">
        <v>1.8</v>
      </c>
      <c r="Z61" s="8"/>
      <c r="AA61" s="26">
        <v>1.7</v>
      </c>
      <c r="AB61" s="8"/>
      <c r="AC61" s="8"/>
    </row>
    <row r="62" ht="12" customHeight="1">
      <c r="A62" s="8" t="s">
        <v>185</v>
      </c>
      <c r="B62" s="8" t="s">
        <v>642</v>
      </c>
      <c r="C62" s="26">
        <v>4.0999999999999996</v>
      </c>
      <c r="D62" s="8"/>
      <c r="E62" s="26">
        <v>5.0999999999999996</v>
      </c>
      <c r="F62" s="8"/>
      <c r="G62" s="26">
        <v>5.5</v>
      </c>
      <c r="H62" s="8"/>
      <c r="I62" s="26">
        <v>2.5</v>
      </c>
      <c r="J62" s="8"/>
      <c r="K62" s="26">
        <v>2.5</v>
      </c>
      <c r="L62" s="8"/>
      <c r="M62" s="26">
        <v>2.5</v>
      </c>
      <c r="N62" s="8"/>
      <c r="O62" s="26">
        <v>4.5999999999999996</v>
      </c>
      <c r="P62" s="8"/>
      <c r="Q62" s="26">
        <v>5.4000000000000004</v>
      </c>
      <c r="R62" s="8"/>
      <c r="S62" s="26">
        <v>5.5999999999999996</v>
      </c>
      <c r="T62" s="8"/>
      <c r="U62" s="26">
        <v>6.5999999999999996</v>
      </c>
      <c r="V62" s="8"/>
      <c r="W62" s="26">
        <v>7</v>
      </c>
      <c r="X62" s="8"/>
      <c r="Y62" s="26">
        <v>6.4000000000000004</v>
      </c>
      <c r="Z62" s="8"/>
      <c r="AA62" s="26">
        <v>7.7000000000000002</v>
      </c>
      <c r="AB62" s="8"/>
      <c r="AC62" s="8"/>
    </row>
    <row r="63" ht="12" customHeight="1">
      <c r="A63" s="8" t="s">
        <v>187</v>
      </c>
      <c r="B63" s="8" t="s">
        <v>643</v>
      </c>
      <c r="C63" s="26">
        <v>3.2000000000000002</v>
      </c>
      <c r="D63" s="8"/>
      <c r="E63" s="26">
        <v>4.9000000000000004</v>
      </c>
      <c r="F63" s="8"/>
      <c r="G63" s="26">
        <v>8.5</v>
      </c>
      <c r="H63" s="8"/>
      <c r="I63" s="26">
        <v>12.4</v>
      </c>
      <c r="J63" s="8"/>
      <c r="K63" s="26">
        <v>15.1</v>
      </c>
      <c r="L63" s="8"/>
      <c r="M63" s="26">
        <v>17.399999999999999</v>
      </c>
      <c r="N63" s="8"/>
      <c r="O63" s="26">
        <v>17.5</v>
      </c>
      <c r="P63" s="8"/>
      <c r="Q63" s="26">
        <v>15.9</v>
      </c>
      <c r="R63" s="8"/>
      <c r="S63" s="26">
        <v>13.9</v>
      </c>
      <c r="T63" s="8"/>
      <c r="U63" s="26">
        <v>10.800000000000001</v>
      </c>
      <c r="V63" s="8"/>
      <c r="W63" s="26">
        <v>8.0999999999999996</v>
      </c>
      <c r="X63" s="8"/>
      <c r="Y63" s="26">
        <v>6.2000000000000002</v>
      </c>
      <c r="Z63" s="8"/>
      <c r="AA63" s="26">
        <v>4.5</v>
      </c>
      <c r="AB63" s="8"/>
      <c r="AC63" s="8"/>
    </row>
    <row r="64" ht="12" customHeight="1">
      <c r="A64" s="8" t="s">
        <v>189</v>
      </c>
      <c r="B64" s="8" t="s">
        <v>644</v>
      </c>
      <c r="C64" s="26">
        <v>0</v>
      </c>
      <c r="D64" s="8"/>
      <c r="E64" s="26">
        <v>-0.80000000000000004</v>
      </c>
      <c r="F64" s="8"/>
      <c r="G64" s="26">
        <v>3.5</v>
      </c>
      <c r="H64" s="8"/>
      <c r="I64" s="26">
        <v>-3.1000000000000001</v>
      </c>
      <c r="J64" s="8"/>
      <c r="K64" s="26">
        <v>-0.80000000000000004</v>
      </c>
      <c r="L64" s="8"/>
      <c r="M64" s="26">
        <v>0</v>
      </c>
      <c r="N64" s="8"/>
      <c r="O64" s="26">
        <v>0</v>
      </c>
      <c r="P64" s="8"/>
      <c r="Q64" s="26">
        <v>-2.8999999999999999</v>
      </c>
      <c r="R64" s="8"/>
      <c r="S64" s="26">
        <v>-3.7999999999999998</v>
      </c>
      <c r="T64" s="8"/>
      <c r="U64" s="26">
        <v>-3.7999999999999998</v>
      </c>
      <c r="V64" s="8"/>
      <c r="W64" s="26">
        <v>-4.5</v>
      </c>
      <c r="X64" s="8"/>
      <c r="Y64" s="26">
        <v>-1.6000000000000001</v>
      </c>
      <c r="Z64" s="8"/>
      <c r="AA64" s="26">
        <v>-0.69999999999999996</v>
      </c>
      <c r="AB64" s="8"/>
      <c r="AC64" s="8"/>
    </row>
    <row r="65" ht="12" customHeight="1">
      <c r="A65" s="8" t="s">
        <v>191</v>
      </c>
      <c r="B65" s="8" t="s">
        <v>645</v>
      </c>
      <c r="C65" s="26">
        <v>4.7999999999999998</v>
      </c>
      <c r="D65" s="8"/>
      <c r="E65" s="26">
        <v>5</v>
      </c>
      <c r="F65" s="8"/>
      <c r="G65" s="26">
        <v>3.8999999999999999</v>
      </c>
      <c r="H65" s="8"/>
      <c r="I65" s="26">
        <v>3.7999999999999998</v>
      </c>
      <c r="J65" s="8"/>
      <c r="K65" s="26">
        <v>3.7999999999999998</v>
      </c>
      <c r="L65" s="8"/>
      <c r="M65" s="26">
        <v>2.7999999999999998</v>
      </c>
      <c r="N65" s="8"/>
      <c r="O65" s="26">
        <v>3.7000000000000002</v>
      </c>
      <c r="P65" s="8"/>
      <c r="Q65" s="26">
        <v>3.1000000000000001</v>
      </c>
      <c r="R65" s="8"/>
      <c r="S65" s="26">
        <v>3.2999999999999998</v>
      </c>
      <c r="T65" s="8"/>
      <c r="U65" s="26">
        <v>3.7999999999999998</v>
      </c>
      <c r="V65" s="8"/>
      <c r="W65" s="26">
        <v>2.7000000000000002</v>
      </c>
      <c r="X65" s="8"/>
      <c r="Y65" s="26">
        <v>1.7</v>
      </c>
      <c r="Z65" s="8"/>
      <c r="AA65" s="26">
        <v>1.2</v>
      </c>
      <c r="AB65" s="8"/>
      <c r="AC65" s="8"/>
    </row>
    <row r="66" ht="12" customHeight="1">
      <c r="A66" s="11" t="s">
        <v>193</v>
      </c>
      <c r="B66" s="8" t="s">
        <v>646</v>
      </c>
      <c r="C66" s="26">
        <v>45.200000000000003</v>
      </c>
      <c r="D66" s="8"/>
      <c r="E66" s="26">
        <v>37.5</v>
      </c>
      <c r="F66" s="8"/>
      <c r="G66" s="26">
        <v>28.5</v>
      </c>
      <c r="H66" s="8"/>
      <c r="I66" s="26">
        <v>27.100000000000001</v>
      </c>
      <c r="J66" s="8"/>
      <c r="K66" s="26">
        <v>31.100000000000001</v>
      </c>
      <c r="L66" s="8"/>
      <c r="M66" s="26">
        <v>28.300000000000001</v>
      </c>
      <c r="N66" s="8"/>
      <c r="O66" s="26">
        <v>26.800000000000001</v>
      </c>
      <c r="P66" s="8"/>
      <c r="Q66" s="26">
        <v>18.199999999999999</v>
      </c>
      <c r="R66" s="8"/>
      <c r="S66" s="26">
        <v>7</v>
      </c>
      <c r="T66" s="8"/>
      <c r="U66" s="26">
        <v>0.40000000000000002</v>
      </c>
      <c r="V66" s="8"/>
      <c r="W66" s="26">
        <v>-7.7000000000000002</v>
      </c>
      <c r="X66" s="8"/>
      <c r="Y66" s="26">
        <v>-14.300000000000001</v>
      </c>
      <c r="Z66" s="8"/>
      <c r="AA66" s="26">
        <v>-17.199999999999999</v>
      </c>
      <c r="AB66" s="8"/>
      <c r="AC66" s="8"/>
    </row>
    <row r="67" ht="12" customHeight="1">
      <c r="A67" s="8" t="s">
        <v>195</v>
      </c>
      <c r="B67" s="8" t="s">
        <v>647</v>
      </c>
      <c r="C67" s="26">
        <v>45.200000000000003</v>
      </c>
      <c r="D67" s="8"/>
      <c r="E67" s="26">
        <v>37.5</v>
      </c>
      <c r="F67" s="8"/>
      <c r="G67" s="26">
        <v>28.5</v>
      </c>
      <c r="H67" s="8"/>
      <c r="I67" s="26">
        <v>27.100000000000001</v>
      </c>
      <c r="J67" s="8"/>
      <c r="K67" s="26">
        <v>31.100000000000001</v>
      </c>
      <c r="L67" s="8"/>
      <c r="M67" s="26">
        <v>28.300000000000001</v>
      </c>
      <c r="N67" s="8"/>
      <c r="O67" s="26">
        <v>26.800000000000001</v>
      </c>
      <c r="P67" s="8"/>
      <c r="Q67" s="26">
        <v>18.199999999999999</v>
      </c>
      <c r="R67" s="8"/>
      <c r="S67" s="26">
        <v>7</v>
      </c>
      <c r="T67" s="8"/>
      <c r="U67" s="26">
        <v>0.40000000000000002</v>
      </c>
      <c r="V67" s="8"/>
      <c r="W67" s="26">
        <v>-7.7000000000000002</v>
      </c>
      <c r="X67" s="8"/>
      <c r="Y67" s="26">
        <v>-14.300000000000001</v>
      </c>
      <c r="Z67" s="8"/>
      <c r="AA67" s="26">
        <v>-17.199999999999999</v>
      </c>
      <c r="AB67" s="8"/>
      <c r="AC67" s="8"/>
    </row>
    <row r="68" ht="12" customHeight="1">
      <c r="A68" s="13" t="s">
        <v>69</v>
      </c>
      <c r="B68" s="10" t="s">
        <v>54</v>
      </c>
      <c r="C68" s="27">
        <v>8.5999999999999996</v>
      </c>
      <c r="D68" s="10"/>
      <c r="E68" s="27">
        <v>8</v>
      </c>
      <c r="F68" s="10"/>
      <c r="G68" s="27">
        <v>7.5</v>
      </c>
      <c r="H68" s="10"/>
      <c r="I68" s="27">
        <v>7.7000000000000002</v>
      </c>
      <c r="J68" s="10"/>
      <c r="K68" s="27">
        <v>7.4000000000000004</v>
      </c>
      <c r="L68" s="10"/>
      <c r="M68" s="27">
        <v>6.5</v>
      </c>
      <c r="N68" s="10"/>
      <c r="O68" s="27">
        <v>5.7000000000000002</v>
      </c>
      <c r="P68" s="10"/>
      <c r="Q68" s="27">
        <v>3.7000000000000002</v>
      </c>
      <c r="R68" s="10"/>
      <c r="S68" s="27">
        <v>2.7999999999999998</v>
      </c>
      <c r="T68" s="10"/>
      <c r="U68" s="27">
        <v>2.5</v>
      </c>
      <c r="V68" s="10"/>
      <c r="W68" s="27">
        <v>1.8</v>
      </c>
      <c r="X68" s="10"/>
      <c r="Y68" s="27">
        <v>1.3999999999999999</v>
      </c>
      <c r="Z68" s="10"/>
      <c r="AA68" s="27">
        <v>1.5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650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651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652</v>
      </c>
      <c r="C8" s="19">
        <v>1243</v>
      </c>
      <c r="D8" s="19"/>
      <c r="E8" s="19">
        <v>1287</v>
      </c>
      <c r="F8" s="19"/>
      <c r="G8" s="19">
        <v>1317</v>
      </c>
      <c r="H8" s="19"/>
      <c r="I8" s="19">
        <v>1330</v>
      </c>
      <c r="J8" s="19"/>
      <c r="K8" s="19">
        <v>1316</v>
      </c>
      <c r="L8" s="19"/>
      <c r="M8" s="19">
        <v>1321</v>
      </c>
      <c r="N8" s="19"/>
      <c r="O8" s="19">
        <v>1322</v>
      </c>
      <c r="P8" s="19"/>
      <c r="Q8" s="19">
        <v>1341</v>
      </c>
      <c r="R8" s="19"/>
      <c r="S8" s="19">
        <v>1333</v>
      </c>
      <c r="T8" s="19"/>
      <c r="U8" s="19">
        <v>1356</v>
      </c>
      <c r="V8" s="19"/>
      <c r="W8" s="19">
        <v>1377</v>
      </c>
      <c r="X8" s="19"/>
      <c r="Y8" s="19">
        <v>1401</v>
      </c>
      <c r="Z8" s="19"/>
      <c r="AA8" s="19">
        <v>1390</v>
      </c>
      <c r="AB8" s="19"/>
      <c r="AC8" s="18"/>
      <c r="AE8" s="18"/>
      <c r="AG8" s="18"/>
    </row>
    <row r="9" ht="12" customHeight="1">
      <c r="A9" s="8" t="s">
        <v>79</v>
      </c>
      <c r="B9" s="8" t="s">
        <v>653</v>
      </c>
      <c r="C9" s="24">
        <v>1379</v>
      </c>
      <c r="D9" s="8"/>
      <c r="E9" s="24">
        <v>1507</v>
      </c>
      <c r="F9" s="8"/>
      <c r="G9" s="24">
        <v>1516</v>
      </c>
      <c r="H9" s="8"/>
      <c r="I9" s="24">
        <v>1546</v>
      </c>
      <c r="J9" s="8"/>
      <c r="K9" s="24">
        <v>1446</v>
      </c>
      <c r="L9" s="8"/>
      <c r="M9" s="24">
        <v>1399</v>
      </c>
      <c r="N9" s="8"/>
      <c r="O9" s="24">
        <v>1306</v>
      </c>
      <c r="P9" s="8"/>
      <c r="Q9" s="24">
        <v>1385</v>
      </c>
      <c r="R9" s="8"/>
      <c r="S9" s="24">
        <v>1316</v>
      </c>
      <c r="T9" s="8"/>
      <c r="U9" s="24">
        <v>1336</v>
      </c>
      <c r="V9" s="8"/>
      <c r="W9" s="24">
        <v>1376</v>
      </c>
      <c r="X9" s="8"/>
      <c r="Y9" s="24">
        <v>1491</v>
      </c>
      <c r="Z9" s="8"/>
      <c r="AA9" s="24">
        <v>1367</v>
      </c>
      <c r="AB9" s="8"/>
      <c r="AC9" s="8"/>
      <c r="AE9" s="8"/>
      <c r="AG9" s="8"/>
    </row>
    <row r="10" ht="12" customHeight="1">
      <c r="A10" s="8" t="s">
        <v>81</v>
      </c>
      <c r="B10" s="8" t="s">
        <v>654</v>
      </c>
      <c r="C10" s="24">
        <v>1216</v>
      </c>
      <c r="D10" s="8"/>
      <c r="E10" s="24">
        <v>1235</v>
      </c>
      <c r="F10" s="8"/>
      <c r="G10" s="24">
        <v>1254</v>
      </c>
      <c r="H10" s="8"/>
      <c r="I10" s="24">
        <v>1260</v>
      </c>
      <c r="J10" s="8"/>
      <c r="K10" s="24">
        <v>1244</v>
      </c>
      <c r="L10" s="8"/>
      <c r="M10" s="24">
        <v>1239</v>
      </c>
      <c r="N10" s="8"/>
      <c r="O10" s="24">
        <v>1246</v>
      </c>
      <c r="P10" s="8"/>
      <c r="Q10" s="24">
        <v>1259</v>
      </c>
      <c r="R10" s="8"/>
      <c r="S10" s="24">
        <v>1267</v>
      </c>
      <c r="T10" s="8"/>
      <c r="U10" s="24">
        <v>1285</v>
      </c>
      <c r="V10" s="8"/>
      <c r="W10" s="24">
        <v>1302</v>
      </c>
      <c r="X10" s="8"/>
      <c r="Y10" s="24">
        <v>1348</v>
      </c>
      <c r="Z10" s="8"/>
      <c r="AA10" s="24">
        <v>1358</v>
      </c>
      <c r="AB10" s="8"/>
      <c r="AC10" s="8"/>
      <c r="AE10" s="8"/>
      <c r="AG10" s="8"/>
    </row>
    <row r="11" ht="12" customHeight="1">
      <c r="A11" s="8" t="s">
        <v>83</v>
      </c>
      <c r="B11" s="8" t="s">
        <v>655</v>
      </c>
      <c r="C11" s="24">
        <v>1163</v>
      </c>
      <c r="D11" s="8"/>
      <c r="E11" s="24">
        <v>1212</v>
      </c>
      <c r="F11" s="8"/>
      <c r="G11" s="24">
        <v>1244</v>
      </c>
      <c r="H11" s="8"/>
      <c r="I11" s="24">
        <v>1247</v>
      </c>
      <c r="J11" s="8"/>
      <c r="K11" s="24">
        <v>1240</v>
      </c>
      <c r="L11" s="8"/>
      <c r="M11" s="24">
        <v>1256</v>
      </c>
      <c r="N11" s="8"/>
      <c r="O11" s="24">
        <v>1270</v>
      </c>
      <c r="P11" s="8"/>
      <c r="Q11" s="24">
        <v>1279</v>
      </c>
      <c r="R11" s="8"/>
      <c r="S11" s="24">
        <v>1275</v>
      </c>
      <c r="T11" s="8"/>
      <c r="U11" s="24">
        <v>1312</v>
      </c>
      <c r="V11" s="8"/>
      <c r="W11" s="24">
        <v>1332</v>
      </c>
      <c r="X11" s="8"/>
      <c r="Y11" s="24">
        <v>1337</v>
      </c>
      <c r="Z11" s="8"/>
      <c r="AA11" s="24">
        <v>1333</v>
      </c>
      <c r="AB11" s="8"/>
      <c r="AC11" s="8"/>
      <c r="AE11" s="8"/>
      <c r="AG11" s="8"/>
    </row>
    <row r="12" ht="12" customHeight="1">
      <c r="A12" s="8" t="s">
        <v>85</v>
      </c>
      <c r="B12" s="8" t="s">
        <v>656</v>
      </c>
      <c r="C12" s="24">
        <v>1129</v>
      </c>
      <c r="D12" s="8"/>
      <c r="E12" s="24">
        <v>1155</v>
      </c>
      <c r="F12" s="8"/>
      <c r="G12" s="24">
        <v>1185</v>
      </c>
      <c r="H12" s="8"/>
      <c r="I12" s="24">
        <v>1193</v>
      </c>
      <c r="J12" s="8"/>
      <c r="K12" s="24">
        <v>1192</v>
      </c>
      <c r="L12" s="8"/>
      <c r="M12" s="24">
        <v>1204</v>
      </c>
      <c r="N12" s="8"/>
      <c r="O12" s="24">
        <v>1231</v>
      </c>
      <c r="P12" s="8"/>
      <c r="Q12" s="24">
        <v>1241</v>
      </c>
      <c r="R12" s="8"/>
      <c r="S12" s="24">
        <v>1240</v>
      </c>
      <c r="T12" s="8"/>
      <c r="U12" s="24">
        <v>1271</v>
      </c>
      <c r="V12" s="8"/>
      <c r="W12" s="24">
        <v>1306</v>
      </c>
      <c r="X12" s="8"/>
      <c r="Y12" s="24">
        <v>1296</v>
      </c>
      <c r="Z12" s="8"/>
      <c r="AA12" s="24">
        <v>1304</v>
      </c>
      <c r="AB12" s="8"/>
      <c r="AC12" s="8"/>
      <c r="AE12" s="8"/>
      <c r="AG12" s="8"/>
    </row>
    <row r="13" ht="12" customHeight="1">
      <c r="A13" s="8" t="s">
        <v>87</v>
      </c>
      <c r="B13" s="8" t="s">
        <v>657</v>
      </c>
      <c r="C13" s="24">
        <v>1327</v>
      </c>
      <c r="D13" s="8"/>
      <c r="E13" s="24">
        <v>1350</v>
      </c>
      <c r="F13" s="8"/>
      <c r="G13" s="24">
        <v>1391</v>
      </c>
      <c r="H13" s="8"/>
      <c r="I13" s="24">
        <v>1414</v>
      </c>
      <c r="J13" s="8"/>
      <c r="K13" s="24">
        <v>1425</v>
      </c>
      <c r="L13" s="8"/>
      <c r="M13" s="24">
        <v>1439</v>
      </c>
      <c r="N13" s="8"/>
      <c r="O13" s="24">
        <v>1457</v>
      </c>
      <c r="P13" s="8"/>
      <c r="Q13" s="24">
        <v>1464</v>
      </c>
      <c r="R13" s="8"/>
      <c r="S13" s="24">
        <v>1470</v>
      </c>
      <c r="T13" s="8"/>
      <c r="U13" s="24">
        <v>1474</v>
      </c>
      <c r="V13" s="8"/>
      <c r="W13" s="24">
        <v>1487</v>
      </c>
      <c r="X13" s="8"/>
      <c r="Y13" s="24">
        <v>1498</v>
      </c>
      <c r="Z13" s="8"/>
      <c r="AA13" s="24">
        <v>1505</v>
      </c>
      <c r="AB13" s="8"/>
      <c r="AC13" s="8"/>
      <c r="AE13" s="8"/>
      <c r="AG13" s="8"/>
    </row>
    <row r="14" ht="12" customHeight="1">
      <c r="A14" s="11" t="s">
        <v>89</v>
      </c>
      <c r="B14" s="8" t="s">
        <v>658</v>
      </c>
      <c r="C14" s="24">
        <v>1310</v>
      </c>
      <c r="D14" s="8"/>
      <c r="E14" s="24">
        <v>1354</v>
      </c>
      <c r="F14" s="8"/>
      <c r="G14" s="24">
        <v>1373</v>
      </c>
      <c r="H14" s="8"/>
      <c r="I14" s="24">
        <v>1390</v>
      </c>
      <c r="J14" s="8"/>
      <c r="K14" s="24">
        <v>1404</v>
      </c>
      <c r="L14" s="8"/>
      <c r="M14" s="24">
        <v>1440</v>
      </c>
      <c r="N14" s="8"/>
      <c r="O14" s="24">
        <v>1455</v>
      </c>
      <c r="P14" s="8"/>
      <c r="Q14" s="24">
        <v>1463</v>
      </c>
      <c r="R14" s="8"/>
      <c r="S14" s="24">
        <v>1464</v>
      </c>
      <c r="T14" s="8"/>
      <c r="U14" s="24">
        <v>1485</v>
      </c>
      <c r="V14" s="8"/>
      <c r="W14" s="24">
        <v>1480</v>
      </c>
      <c r="X14" s="8"/>
      <c r="Y14" s="24">
        <v>1489</v>
      </c>
      <c r="Z14" s="8"/>
      <c r="AA14" s="24">
        <v>1485</v>
      </c>
      <c r="AB14" s="8"/>
      <c r="AC14" s="8"/>
      <c r="AE14" s="8"/>
      <c r="AG14" s="8"/>
    </row>
    <row r="15" ht="12" customHeight="1">
      <c r="A15" s="8" t="s">
        <v>91</v>
      </c>
      <c r="B15" s="8" t="s">
        <v>659</v>
      </c>
      <c r="C15" s="24">
        <v>1142</v>
      </c>
      <c r="D15" s="8"/>
      <c r="E15" s="24">
        <v>1162</v>
      </c>
      <c r="F15" s="8"/>
      <c r="G15" s="24">
        <v>1185</v>
      </c>
      <c r="H15" s="8"/>
      <c r="I15" s="24">
        <v>1204</v>
      </c>
      <c r="J15" s="8"/>
      <c r="K15" s="24">
        <v>1204</v>
      </c>
      <c r="L15" s="8"/>
      <c r="M15" s="24">
        <v>1216</v>
      </c>
      <c r="N15" s="8"/>
      <c r="O15" s="24">
        <v>1234</v>
      </c>
      <c r="P15" s="8"/>
      <c r="Q15" s="24">
        <v>1243</v>
      </c>
      <c r="R15" s="8"/>
      <c r="S15" s="24">
        <v>1240</v>
      </c>
      <c r="T15" s="8"/>
      <c r="U15" s="24">
        <v>1250</v>
      </c>
      <c r="V15" s="8"/>
      <c r="W15" s="24">
        <v>1244</v>
      </c>
      <c r="X15" s="8"/>
      <c r="Y15" s="24">
        <v>1254</v>
      </c>
      <c r="Z15" s="8"/>
      <c r="AA15" s="24">
        <v>1244</v>
      </c>
      <c r="AB15" s="8"/>
      <c r="AC15" s="8"/>
      <c r="AE15" s="8"/>
      <c r="AG15" s="8"/>
    </row>
    <row r="16" ht="12" customHeight="1">
      <c r="A16" s="8" t="s">
        <v>93</v>
      </c>
      <c r="B16" s="8" t="s">
        <v>660</v>
      </c>
      <c r="C16" s="24">
        <v>1959</v>
      </c>
      <c r="D16" s="8"/>
      <c r="E16" s="24">
        <v>2104</v>
      </c>
      <c r="F16" s="8"/>
      <c r="G16" s="24">
        <v>2107</v>
      </c>
      <c r="H16" s="8"/>
      <c r="I16" s="24">
        <v>2116</v>
      </c>
      <c r="J16" s="8"/>
      <c r="K16" s="24">
        <v>2185</v>
      </c>
      <c r="L16" s="8"/>
      <c r="M16" s="24">
        <v>2322</v>
      </c>
      <c r="N16" s="8"/>
      <c r="O16" s="24">
        <v>2321</v>
      </c>
      <c r="P16" s="8"/>
      <c r="Q16" s="24">
        <v>2328</v>
      </c>
      <c r="R16" s="8"/>
      <c r="S16" s="24">
        <v>2344</v>
      </c>
      <c r="T16" s="8"/>
      <c r="U16" s="24">
        <v>2436</v>
      </c>
      <c r="V16" s="8"/>
      <c r="W16" s="24">
        <v>2442</v>
      </c>
      <c r="X16" s="8"/>
      <c r="Y16" s="24">
        <v>2441</v>
      </c>
      <c r="Z16" s="8"/>
      <c r="AA16" s="24">
        <v>2479</v>
      </c>
      <c r="AB16" s="8"/>
      <c r="AC16" s="8"/>
      <c r="AE16" s="8"/>
      <c r="AG16" s="8"/>
    </row>
    <row r="17" ht="12" customHeight="1">
      <c r="A17" s="11" t="s">
        <v>95</v>
      </c>
      <c r="B17" s="8" t="s">
        <v>661</v>
      </c>
      <c r="C17" s="24">
        <v>1044</v>
      </c>
      <c r="D17" s="8"/>
      <c r="E17" s="24">
        <v>1039</v>
      </c>
      <c r="F17" s="8"/>
      <c r="G17" s="24">
        <v>1074</v>
      </c>
      <c r="H17" s="8"/>
      <c r="I17" s="24">
        <v>1077</v>
      </c>
      <c r="J17" s="8"/>
      <c r="K17" s="24">
        <v>1089</v>
      </c>
      <c r="L17" s="8"/>
      <c r="M17" s="24">
        <v>1091</v>
      </c>
      <c r="N17" s="8"/>
      <c r="O17" s="24">
        <v>1094</v>
      </c>
      <c r="P17" s="8"/>
      <c r="Q17" s="24">
        <v>1090</v>
      </c>
      <c r="R17" s="8"/>
      <c r="S17" s="24">
        <v>1079</v>
      </c>
      <c r="T17" s="8"/>
      <c r="U17" s="24">
        <v>1081</v>
      </c>
      <c r="V17" s="8"/>
      <c r="W17" s="24">
        <v>1082</v>
      </c>
      <c r="X17" s="8"/>
      <c r="Y17" s="24">
        <v>1087</v>
      </c>
      <c r="Z17" s="8"/>
      <c r="AA17" s="24">
        <v>1096</v>
      </c>
      <c r="AB17" s="8"/>
      <c r="AC17" s="8"/>
      <c r="AE17" s="8"/>
      <c r="AG17" s="8"/>
    </row>
    <row r="18" ht="12" customHeight="1">
      <c r="A18" s="8" t="s">
        <v>97</v>
      </c>
      <c r="B18" s="8" t="s">
        <v>662</v>
      </c>
      <c r="C18" s="24">
        <v>1034</v>
      </c>
      <c r="D18" s="8"/>
      <c r="E18" s="24">
        <v>1027</v>
      </c>
      <c r="F18" s="8"/>
      <c r="G18" s="24">
        <v>1066</v>
      </c>
      <c r="H18" s="8"/>
      <c r="I18" s="24">
        <v>1073</v>
      </c>
      <c r="J18" s="8"/>
      <c r="K18" s="24">
        <v>1087</v>
      </c>
      <c r="L18" s="8"/>
      <c r="M18" s="24">
        <v>1089</v>
      </c>
      <c r="N18" s="8"/>
      <c r="O18" s="24">
        <v>1085</v>
      </c>
      <c r="P18" s="8"/>
      <c r="Q18" s="24">
        <v>1083</v>
      </c>
      <c r="R18" s="8"/>
      <c r="S18" s="24">
        <v>1071</v>
      </c>
      <c r="T18" s="8"/>
      <c r="U18" s="24">
        <v>1068</v>
      </c>
      <c r="V18" s="8"/>
      <c r="W18" s="24">
        <v>1076</v>
      </c>
      <c r="X18" s="8"/>
      <c r="Y18" s="24">
        <v>1078</v>
      </c>
      <c r="Z18" s="8"/>
      <c r="AA18" s="24">
        <v>1090</v>
      </c>
      <c r="AB18" s="8"/>
      <c r="AC18" s="8"/>
      <c r="AE18" s="8"/>
      <c r="AG18" s="8"/>
    </row>
    <row r="19" ht="12" customHeight="1">
      <c r="A19" s="8" t="s">
        <v>99</v>
      </c>
      <c r="B19" s="8" t="s">
        <v>663</v>
      </c>
      <c r="C19" s="24">
        <v>1077</v>
      </c>
      <c r="D19" s="8"/>
      <c r="E19" s="24">
        <v>1080</v>
      </c>
      <c r="F19" s="8"/>
      <c r="G19" s="24">
        <v>1096</v>
      </c>
      <c r="H19" s="8"/>
      <c r="I19" s="24">
        <v>1090</v>
      </c>
      <c r="J19" s="8"/>
      <c r="K19" s="24">
        <v>1090</v>
      </c>
      <c r="L19" s="8"/>
      <c r="M19" s="24">
        <v>1090</v>
      </c>
      <c r="N19" s="8"/>
      <c r="O19" s="24">
        <v>1123</v>
      </c>
      <c r="P19" s="8"/>
      <c r="Q19" s="24">
        <v>1112</v>
      </c>
      <c r="R19" s="8"/>
      <c r="S19" s="24">
        <v>1106</v>
      </c>
      <c r="T19" s="8"/>
      <c r="U19" s="24">
        <v>1129</v>
      </c>
      <c r="V19" s="8"/>
      <c r="W19" s="24">
        <v>1097</v>
      </c>
      <c r="X19" s="8"/>
      <c r="Y19" s="24">
        <v>1114</v>
      </c>
      <c r="Z19" s="8"/>
      <c r="AA19" s="24">
        <v>1111</v>
      </c>
      <c r="AB19" s="8"/>
      <c r="AC19" s="8"/>
      <c r="AE19" s="8"/>
      <c r="AG19" s="8"/>
    </row>
    <row r="20" ht="12" customHeight="1">
      <c r="A20" s="11" t="s">
        <v>101</v>
      </c>
      <c r="B20" s="8" t="s">
        <v>664</v>
      </c>
      <c r="C20" s="24">
        <v>1312</v>
      </c>
      <c r="D20" s="8"/>
      <c r="E20" s="24">
        <v>1324</v>
      </c>
      <c r="F20" s="8"/>
      <c r="G20" s="24">
        <v>1341</v>
      </c>
      <c r="H20" s="8"/>
      <c r="I20" s="24">
        <v>1378</v>
      </c>
      <c r="J20" s="8"/>
      <c r="K20" s="24">
        <v>1389</v>
      </c>
      <c r="L20" s="8"/>
      <c r="M20" s="24">
        <v>1395</v>
      </c>
      <c r="N20" s="8"/>
      <c r="O20" s="24">
        <v>1412</v>
      </c>
      <c r="P20" s="8"/>
      <c r="Q20" s="24">
        <v>1463</v>
      </c>
      <c r="R20" s="8"/>
      <c r="S20" s="24">
        <v>1471</v>
      </c>
      <c r="T20" s="8"/>
      <c r="U20" s="24">
        <v>1483</v>
      </c>
      <c r="V20" s="8"/>
      <c r="W20" s="24">
        <v>1502</v>
      </c>
      <c r="X20" s="8"/>
      <c r="Y20" s="24">
        <v>1544</v>
      </c>
      <c r="Z20" s="8"/>
      <c r="AA20" s="24">
        <v>1551</v>
      </c>
      <c r="AB20" s="8"/>
      <c r="AC20" s="8"/>
      <c r="AE20" s="8"/>
      <c r="AG20" s="8"/>
    </row>
    <row r="21" ht="12" customHeight="1">
      <c r="A21" s="8" t="s">
        <v>103</v>
      </c>
      <c r="B21" s="8" t="s">
        <v>665</v>
      </c>
      <c r="C21" s="24">
        <v>1275</v>
      </c>
      <c r="D21" s="8"/>
      <c r="E21" s="24">
        <v>1289</v>
      </c>
      <c r="F21" s="8"/>
      <c r="G21" s="24">
        <v>1304</v>
      </c>
      <c r="H21" s="8"/>
      <c r="I21" s="24">
        <v>1320</v>
      </c>
      <c r="J21" s="8"/>
      <c r="K21" s="24">
        <v>1334</v>
      </c>
      <c r="L21" s="8"/>
      <c r="M21" s="24">
        <v>1350</v>
      </c>
      <c r="N21" s="8"/>
      <c r="O21" s="24">
        <v>1367</v>
      </c>
      <c r="P21" s="8"/>
      <c r="Q21" s="24">
        <v>1379</v>
      </c>
      <c r="R21" s="8"/>
      <c r="S21" s="24">
        <v>1390</v>
      </c>
      <c r="T21" s="8"/>
      <c r="U21" s="24">
        <v>1400</v>
      </c>
      <c r="V21" s="8"/>
      <c r="W21" s="24">
        <v>1411</v>
      </c>
      <c r="X21" s="8"/>
      <c r="Y21" s="24">
        <v>1415</v>
      </c>
      <c r="Z21" s="8"/>
      <c r="AA21" s="24">
        <v>1417</v>
      </c>
      <c r="AB21" s="8"/>
      <c r="AC21" s="8"/>
      <c r="AE21" s="8"/>
      <c r="AG21" s="8"/>
    </row>
    <row r="22" ht="12" customHeight="1">
      <c r="A22" s="8" t="s">
        <v>105</v>
      </c>
      <c r="B22" s="8" t="s">
        <v>666</v>
      </c>
      <c r="C22" s="24">
        <v>1275</v>
      </c>
      <c r="D22" s="8"/>
      <c r="E22" s="24">
        <v>1289</v>
      </c>
      <c r="F22" s="8"/>
      <c r="G22" s="24">
        <v>1304</v>
      </c>
      <c r="H22" s="8"/>
      <c r="I22" s="24">
        <v>1320</v>
      </c>
      <c r="J22" s="8"/>
      <c r="K22" s="24">
        <v>1334</v>
      </c>
      <c r="L22" s="8"/>
      <c r="M22" s="24">
        <v>1350</v>
      </c>
      <c r="N22" s="8"/>
      <c r="O22" s="24">
        <v>1367</v>
      </c>
      <c r="P22" s="8"/>
      <c r="Q22" s="24">
        <v>1379</v>
      </c>
      <c r="R22" s="8"/>
      <c r="S22" s="24">
        <v>1390</v>
      </c>
      <c r="T22" s="8"/>
      <c r="U22" s="24">
        <v>1400</v>
      </c>
      <c r="V22" s="8"/>
      <c r="W22" s="24">
        <v>1411</v>
      </c>
      <c r="X22" s="8"/>
      <c r="Y22" s="24">
        <v>1415</v>
      </c>
      <c r="Z22" s="8"/>
      <c r="AA22" s="24">
        <v>1417</v>
      </c>
      <c r="AB22" s="8"/>
      <c r="AC22" s="8"/>
      <c r="AE22" s="8"/>
      <c r="AG22" s="8"/>
    </row>
    <row r="23" ht="12" customHeight="1">
      <c r="A23" s="8" t="s">
        <v>107</v>
      </c>
      <c r="B23" s="8" t="s">
        <v>667</v>
      </c>
      <c r="C23" s="24">
        <v>1375</v>
      </c>
      <c r="D23" s="8"/>
      <c r="E23" s="24">
        <v>1375</v>
      </c>
      <c r="F23" s="8"/>
      <c r="G23" s="24">
        <v>1399</v>
      </c>
      <c r="H23" s="8"/>
      <c r="I23" s="24">
        <v>1409</v>
      </c>
      <c r="J23" s="8"/>
      <c r="K23" s="24">
        <v>1410</v>
      </c>
      <c r="L23" s="8"/>
      <c r="M23" s="24">
        <v>1411</v>
      </c>
      <c r="N23" s="8"/>
      <c r="O23" s="24">
        <v>1429</v>
      </c>
      <c r="P23" s="8"/>
      <c r="Q23" s="24">
        <v>1434</v>
      </c>
      <c r="R23" s="8"/>
      <c r="S23" s="24">
        <v>1434</v>
      </c>
      <c r="T23" s="8"/>
      <c r="U23" s="24">
        <v>1441</v>
      </c>
      <c r="V23" s="8"/>
      <c r="W23" s="24">
        <v>1445</v>
      </c>
      <c r="X23" s="8"/>
      <c r="Y23" s="24">
        <v>1455</v>
      </c>
      <c r="Z23" s="8"/>
      <c r="AA23" s="24">
        <v>1466</v>
      </c>
      <c r="AB23" s="8"/>
      <c r="AC23" s="8"/>
      <c r="AE23" s="8"/>
      <c r="AG23" s="8"/>
    </row>
    <row r="24" ht="12" customHeight="1">
      <c r="A24" s="8" t="s">
        <v>109</v>
      </c>
      <c r="B24" s="8" t="s">
        <v>668</v>
      </c>
      <c r="C24" s="24">
        <v>1514</v>
      </c>
      <c r="D24" s="8"/>
      <c r="E24" s="24">
        <v>1514</v>
      </c>
      <c r="F24" s="8"/>
      <c r="G24" s="24">
        <v>1515</v>
      </c>
      <c r="H24" s="8"/>
      <c r="I24" s="24">
        <v>1658</v>
      </c>
      <c r="J24" s="8"/>
      <c r="K24" s="24">
        <v>1658</v>
      </c>
      <c r="L24" s="8"/>
      <c r="M24" s="24">
        <v>1658</v>
      </c>
      <c r="N24" s="8"/>
      <c r="O24" s="24">
        <v>1659</v>
      </c>
      <c r="P24" s="8"/>
      <c r="Q24" s="24">
        <v>1847</v>
      </c>
      <c r="R24" s="8"/>
      <c r="S24" s="24">
        <v>1850</v>
      </c>
      <c r="T24" s="8"/>
      <c r="U24" s="24">
        <v>1851</v>
      </c>
      <c r="V24" s="8"/>
      <c r="W24" s="24">
        <v>1851</v>
      </c>
      <c r="X24" s="8"/>
      <c r="Y24" s="24">
        <v>2003</v>
      </c>
      <c r="Z24" s="8"/>
      <c r="AA24" s="24">
        <v>2003</v>
      </c>
      <c r="AB24" s="8"/>
      <c r="AC24" s="8"/>
      <c r="AE24" s="8"/>
      <c r="AG24" s="8"/>
    </row>
    <row r="25" ht="12" customHeight="1">
      <c r="A25" s="8" t="s">
        <v>111</v>
      </c>
      <c r="B25" s="8" t="s">
        <v>669</v>
      </c>
      <c r="C25" s="24">
        <v>1539</v>
      </c>
      <c r="D25" s="8"/>
      <c r="E25" s="24">
        <v>1539</v>
      </c>
      <c r="F25" s="8"/>
      <c r="G25" s="24">
        <v>1539</v>
      </c>
      <c r="H25" s="8"/>
      <c r="I25" s="24">
        <v>1688</v>
      </c>
      <c r="J25" s="8"/>
      <c r="K25" s="24">
        <v>1688</v>
      </c>
      <c r="L25" s="8"/>
      <c r="M25" s="24">
        <v>1688</v>
      </c>
      <c r="N25" s="8"/>
      <c r="O25" s="24">
        <v>1688</v>
      </c>
      <c r="P25" s="8"/>
      <c r="Q25" s="24">
        <v>1884</v>
      </c>
      <c r="R25" s="8"/>
      <c r="S25" s="24">
        <v>1884</v>
      </c>
      <c r="T25" s="8"/>
      <c r="U25" s="24">
        <v>1884</v>
      </c>
      <c r="V25" s="8"/>
      <c r="W25" s="24">
        <v>1884</v>
      </c>
      <c r="X25" s="8"/>
      <c r="Y25" s="24">
        <v>2050</v>
      </c>
      <c r="Z25" s="8"/>
      <c r="AA25" s="24">
        <v>2050</v>
      </c>
      <c r="AB25" s="8"/>
      <c r="AC25" s="8"/>
      <c r="AE25" s="8"/>
      <c r="AG25" s="8"/>
    </row>
    <row r="26" ht="12" customHeight="1">
      <c r="A26" s="8" t="s">
        <v>113</v>
      </c>
      <c r="B26" s="8" t="s">
        <v>670</v>
      </c>
      <c r="C26" s="24">
        <v>1123</v>
      </c>
      <c r="D26" s="8"/>
      <c r="E26" s="24">
        <v>1153</v>
      </c>
      <c r="F26" s="8"/>
      <c r="G26" s="24">
        <v>1183</v>
      </c>
      <c r="H26" s="8"/>
      <c r="I26" s="24">
        <v>1172</v>
      </c>
      <c r="J26" s="8"/>
      <c r="K26" s="24">
        <v>1192</v>
      </c>
      <c r="L26" s="8"/>
      <c r="M26" s="24">
        <v>1194</v>
      </c>
      <c r="N26" s="8"/>
      <c r="O26" s="24">
        <v>1226</v>
      </c>
      <c r="P26" s="8"/>
      <c r="Q26" s="24">
        <v>1238</v>
      </c>
      <c r="R26" s="8"/>
      <c r="S26" s="24">
        <v>1249</v>
      </c>
      <c r="T26" s="8"/>
      <c r="U26" s="24">
        <v>1281</v>
      </c>
      <c r="V26" s="8"/>
      <c r="W26" s="24">
        <v>1341</v>
      </c>
      <c r="X26" s="8"/>
      <c r="Y26" s="24">
        <v>1380</v>
      </c>
      <c r="Z26" s="8"/>
      <c r="AA26" s="24">
        <v>1404</v>
      </c>
      <c r="AB26" s="8"/>
      <c r="AC26" s="8"/>
      <c r="AE26" s="8"/>
      <c r="AG26" s="8"/>
    </row>
    <row r="27" ht="12" customHeight="1">
      <c r="A27" s="8" t="s">
        <v>115</v>
      </c>
      <c r="B27" s="8" t="s">
        <v>671</v>
      </c>
      <c r="C27" s="24">
        <v>1102</v>
      </c>
      <c r="D27" s="8"/>
      <c r="E27" s="24">
        <v>1130</v>
      </c>
      <c r="F27" s="8"/>
      <c r="G27" s="24">
        <v>1158</v>
      </c>
      <c r="H27" s="8"/>
      <c r="I27" s="24">
        <v>1137</v>
      </c>
      <c r="J27" s="8"/>
      <c r="K27" s="24">
        <v>1156</v>
      </c>
      <c r="L27" s="8"/>
      <c r="M27" s="24">
        <v>1157</v>
      </c>
      <c r="N27" s="8"/>
      <c r="O27" s="24">
        <v>1192</v>
      </c>
      <c r="P27" s="8"/>
      <c r="Q27" s="24">
        <v>1200</v>
      </c>
      <c r="R27" s="8"/>
      <c r="S27" s="24">
        <v>1206</v>
      </c>
      <c r="T27" s="8"/>
      <c r="U27" s="24">
        <v>1232</v>
      </c>
      <c r="V27" s="8"/>
      <c r="W27" s="24">
        <v>1294</v>
      </c>
      <c r="X27" s="8"/>
      <c r="Y27" s="24">
        <v>1335</v>
      </c>
      <c r="Z27" s="8"/>
      <c r="AA27" s="24">
        <v>1352</v>
      </c>
      <c r="AB27" s="8"/>
      <c r="AC27" s="8"/>
      <c r="AE27" s="8"/>
      <c r="AG27" s="8"/>
    </row>
    <row r="28" ht="12" customHeight="1">
      <c r="A28" s="11" t="s">
        <v>117</v>
      </c>
      <c r="B28" s="8" t="s">
        <v>672</v>
      </c>
      <c r="C28" s="24">
        <v>1171</v>
      </c>
      <c r="D28" s="8"/>
      <c r="E28" s="24">
        <v>1163</v>
      </c>
      <c r="F28" s="8"/>
      <c r="G28" s="24">
        <v>1196</v>
      </c>
      <c r="H28" s="8"/>
      <c r="I28" s="24">
        <v>1181</v>
      </c>
      <c r="J28" s="8"/>
      <c r="K28" s="24">
        <v>1185</v>
      </c>
      <c r="L28" s="8"/>
      <c r="M28" s="24">
        <v>1175</v>
      </c>
      <c r="N28" s="8"/>
      <c r="O28" s="24">
        <v>1176</v>
      </c>
      <c r="P28" s="8"/>
      <c r="Q28" s="24">
        <v>1180</v>
      </c>
      <c r="R28" s="8"/>
      <c r="S28" s="24">
        <v>1170</v>
      </c>
      <c r="T28" s="8"/>
      <c r="U28" s="24">
        <v>1165</v>
      </c>
      <c r="V28" s="8"/>
      <c r="W28" s="24">
        <v>1167</v>
      </c>
      <c r="X28" s="8"/>
      <c r="Y28" s="24">
        <v>1156</v>
      </c>
      <c r="Z28" s="8"/>
      <c r="AA28" s="24">
        <v>1163</v>
      </c>
      <c r="AB28" s="8"/>
      <c r="AC28" s="8"/>
      <c r="AE28" s="8"/>
      <c r="AG28" s="8"/>
    </row>
    <row r="29" ht="12" customHeight="1">
      <c r="A29" s="8" t="s">
        <v>119</v>
      </c>
      <c r="B29" s="8" t="s">
        <v>673</v>
      </c>
      <c r="C29" s="24">
        <v>1214</v>
      </c>
      <c r="D29" s="8"/>
      <c r="E29" s="24">
        <v>1178</v>
      </c>
      <c r="F29" s="8"/>
      <c r="G29" s="24">
        <v>1205</v>
      </c>
      <c r="H29" s="8"/>
      <c r="I29" s="24">
        <v>1210</v>
      </c>
      <c r="J29" s="8"/>
      <c r="K29" s="24">
        <v>1180</v>
      </c>
      <c r="L29" s="8"/>
      <c r="M29" s="24">
        <v>1148</v>
      </c>
      <c r="N29" s="8"/>
      <c r="O29" s="24">
        <v>1152</v>
      </c>
      <c r="P29" s="8"/>
      <c r="Q29" s="24">
        <v>1193</v>
      </c>
      <c r="R29" s="8"/>
      <c r="S29" s="24">
        <v>1174</v>
      </c>
      <c r="T29" s="8"/>
      <c r="U29" s="24">
        <v>1161</v>
      </c>
      <c r="V29" s="8"/>
      <c r="W29" s="24">
        <v>1142</v>
      </c>
      <c r="X29" s="8"/>
      <c r="Y29" s="24">
        <v>1117</v>
      </c>
      <c r="Z29" s="8"/>
      <c r="AA29" s="24">
        <v>1166</v>
      </c>
      <c r="AB29" s="8"/>
      <c r="AC29" s="8"/>
      <c r="AE29" s="8"/>
      <c r="AG29" s="8"/>
    </row>
    <row r="30" ht="12" customHeight="1">
      <c r="A30" s="8" t="s">
        <v>121</v>
      </c>
      <c r="B30" s="8" t="s">
        <v>674</v>
      </c>
      <c r="C30" s="24">
        <v>1082</v>
      </c>
      <c r="D30" s="8"/>
      <c r="E30" s="24">
        <v>1105</v>
      </c>
      <c r="F30" s="8"/>
      <c r="G30" s="24">
        <v>1116</v>
      </c>
      <c r="H30" s="8"/>
      <c r="I30" s="24">
        <v>1070</v>
      </c>
      <c r="J30" s="8"/>
      <c r="K30" s="24">
        <v>1135</v>
      </c>
      <c r="L30" s="8"/>
      <c r="M30" s="24">
        <v>1115</v>
      </c>
      <c r="N30" s="8"/>
      <c r="O30" s="24">
        <v>1200</v>
      </c>
      <c r="P30" s="8"/>
      <c r="Q30" s="24">
        <v>1166</v>
      </c>
      <c r="R30" s="8"/>
      <c r="S30" s="24">
        <v>1084</v>
      </c>
      <c r="T30" s="8"/>
      <c r="U30" s="24">
        <v>1131</v>
      </c>
      <c r="V30" s="8"/>
      <c r="W30" s="24">
        <v>1173</v>
      </c>
      <c r="X30" s="8"/>
      <c r="Y30" s="24">
        <v>1161</v>
      </c>
      <c r="Z30" s="8"/>
      <c r="AA30" s="24">
        <v>1137</v>
      </c>
      <c r="AB30" s="8"/>
      <c r="AC30" s="8"/>
      <c r="AE30" s="8"/>
      <c r="AG30" s="8"/>
    </row>
    <row r="31" ht="12" customHeight="1">
      <c r="A31" s="8" t="s">
        <v>123</v>
      </c>
      <c r="B31" s="8" t="s">
        <v>675</v>
      </c>
      <c r="C31" s="24">
        <v>1102</v>
      </c>
      <c r="D31" s="8"/>
      <c r="E31" s="24">
        <v>1088</v>
      </c>
      <c r="F31" s="8"/>
      <c r="G31" s="24">
        <v>1128</v>
      </c>
      <c r="H31" s="8"/>
      <c r="I31" s="24">
        <v>1103</v>
      </c>
      <c r="J31" s="8"/>
      <c r="K31" s="24">
        <v>1098</v>
      </c>
      <c r="L31" s="8"/>
      <c r="M31" s="24">
        <v>1078</v>
      </c>
      <c r="N31" s="8"/>
      <c r="O31" s="24">
        <v>1070</v>
      </c>
      <c r="P31" s="8"/>
      <c r="Q31" s="24">
        <v>1058</v>
      </c>
      <c r="R31" s="8"/>
      <c r="S31" s="24">
        <v>1075</v>
      </c>
      <c r="T31" s="8"/>
      <c r="U31" s="24">
        <v>1060</v>
      </c>
      <c r="V31" s="8"/>
      <c r="W31" s="24">
        <v>1066</v>
      </c>
      <c r="X31" s="8"/>
      <c r="Y31" s="24">
        <v>1063</v>
      </c>
      <c r="Z31" s="8"/>
      <c r="AA31" s="24">
        <v>1065</v>
      </c>
      <c r="AB31" s="8"/>
      <c r="AC31" s="8"/>
      <c r="AE31" s="8"/>
      <c r="AG31" s="8"/>
    </row>
    <row r="32" ht="12" customHeight="1">
      <c r="A32" s="8" t="s">
        <v>125</v>
      </c>
      <c r="B32" s="8" t="s">
        <v>676</v>
      </c>
      <c r="C32" s="24">
        <v>1095</v>
      </c>
      <c r="D32" s="8"/>
      <c r="E32" s="24">
        <v>1046</v>
      </c>
      <c r="F32" s="8"/>
      <c r="G32" s="24">
        <v>1085</v>
      </c>
      <c r="H32" s="8"/>
      <c r="I32" s="24">
        <v>1045</v>
      </c>
      <c r="J32" s="8"/>
      <c r="K32" s="24">
        <v>1138</v>
      </c>
      <c r="L32" s="8"/>
      <c r="M32" s="24">
        <v>1150</v>
      </c>
      <c r="N32" s="8"/>
      <c r="O32" s="24">
        <v>1140</v>
      </c>
      <c r="P32" s="8"/>
      <c r="Q32" s="24">
        <v>1105</v>
      </c>
      <c r="R32" s="8"/>
      <c r="S32" s="24">
        <v>1094</v>
      </c>
      <c r="T32" s="8"/>
      <c r="U32" s="24">
        <v>1113</v>
      </c>
      <c r="V32" s="8"/>
      <c r="W32" s="24">
        <v>1098</v>
      </c>
      <c r="X32" s="8"/>
      <c r="Y32" s="24">
        <v>1088</v>
      </c>
      <c r="Z32" s="8"/>
      <c r="AA32" s="24">
        <v>1063</v>
      </c>
      <c r="AB32" s="8"/>
      <c r="AC32" s="8"/>
      <c r="AE32" s="8"/>
      <c r="AG32" s="8"/>
    </row>
    <row r="33" ht="12" customHeight="1">
      <c r="A33" s="8" t="s">
        <v>127</v>
      </c>
      <c r="B33" s="8" t="s">
        <v>677</v>
      </c>
      <c r="C33" s="24">
        <v>1165</v>
      </c>
      <c r="D33" s="8"/>
      <c r="E33" s="24">
        <v>1169</v>
      </c>
      <c r="F33" s="8"/>
      <c r="G33" s="24">
        <v>1211</v>
      </c>
      <c r="H33" s="8"/>
      <c r="I33" s="24">
        <v>1210</v>
      </c>
      <c r="J33" s="8"/>
      <c r="K33" s="24">
        <v>1205</v>
      </c>
      <c r="L33" s="8"/>
      <c r="M33" s="24">
        <v>1219</v>
      </c>
      <c r="N33" s="8"/>
      <c r="O33" s="24">
        <v>1169</v>
      </c>
      <c r="P33" s="8"/>
      <c r="Q33" s="24">
        <v>1164</v>
      </c>
      <c r="R33" s="8"/>
      <c r="S33" s="24">
        <v>1161</v>
      </c>
      <c r="T33" s="8"/>
      <c r="U33" s="24">
        <v>1149</v>
      </c>
      <c r="V33" s="8"/>
      <c r="W33" s="24">
        <v>1153</v>
      </c>
      <c r="X33" s="8"/>
      <c r="Y33" s="24">
        <v>1152</v>
      </c>
      <c r="Z33" s="8"/>
      <c r="AA33" s="24">
        <v>1128</v>
      </c>
      <c r="AB33" s="8"/>
      <c r="AC33" s="8"/>
      <c r="AE33" s="8"/>
      <c r="AG33" s="8"/>
    </row>
    <row r="34" ht="12" customHeight="1">
      <c r="A34" s="8" t="s">
        <v>129</v>
      </c>
      <c r="B34" s="8" t="s">
        <v>678</v>
      </c>
      <c r="C34" s="24">
        <v>1219</v>
      </c>
      <c r="D34" s="8"/>
      <c r="E34" s="24">
        <v>1243</v>
      </c>
      <c r="F34" s="8"/>
      <c r="G34" s="24">
        <v>1272</v>
      </c>
      <c r="H34" s="8"/>
      <c r="I34" s="24">
        <v>1263</v>
      </c>
      <c r="J34" s="8"/>
      <c r="K34" s="24">
        <v>1258</v>
      </c>
      <c r="L34" s="8"/>
      <c r="M34" s="24">
        <v>1265</v>
      </c>
      <c r="N34" s="8"/>
      <c r="O34" s="24">
        <v>1274</v>
      </c>
      <c r="P34" s="8"/>
      <c r="Q34" s="24">
        <v>1294</v>
      </c>
      <c r="R34" s="8"/>
      <c r="S34" s="24">
        <v>1288</v>
      </c>
      <c r="T34" s="8"/>
      <c r="U34" s="24">
        <v>1276</v>
      </c>
      <c r="V34" s="8"/>
      <c r="W34" s="24">
        <v>1293</v>
      </c>
      <c r="X34" s="8"/>
      <c r="Y34" s="24">
        <v>1288</v>
      </c>
      <c r="Z34" s="8"/>
      <c r="AA34" s="24">
        <v>1286</v>
      </c>
      <c r="AB34" s="8"/>
      <c r="AC34" s="8"/>
      <c r="AE34" s="8"/>
      <c r="AG34" s="8"/>
    </row>
    <row r="35" ht="12" customHeight="1">
      <c r="A35" s="11" t="s">
        <v>131</v>
      </c>
      <c r="B35" s="8" t="s">
        <v>679</v>
      </c>
      <c r="C35" s="24">
        <v>1172</v>
      </c>
      <c r="D35" s="8"/>
      <c r="E35" s="24">
        <v>1178</v>
      </c>
      <c r="F35" s="8"/>
      <c r="G35" s="24">
        <v>1195</v>
      </c>
      <c r="H35" s="8"/>
      <c r="I35" s="24">
        <v>1192</v>
      </c>
      <c r="J35" s="8"/>
      <c r="K35" s="24">
        <v>1213</v>
      </c>
      <c r="L35" s="8"/>
      <c r="M35" s="24">
        <v>1232</v>
      </c>
      <c r="N35" s="8"/>
      <c r="O35" s="24">
        <v>1237</v>
      </c>
      <c r="P35" s="8"/>
      <c r="Q35" s="24">
        <v>1270</v>
      </c>
      <c r="R35" s="8"/>
      <c r="S35" s="24">
        <v>1269</v>
      </c>
      <c r="T35" s="8"/>
      <c r="U35" s="24">
        <v>1273</v>
      </c>
      <c r="V35" s="8"/>
      <c r="W35" s="24">
        <v>1273</v>
      </c>
      <c r="X35" s="8"/>
      <c r="Y35" s="24">
        <v>1274</v>
      </c>
      <c r="Z35" s="8"/>
      <c r="AA35" s="24">
        <v>1268</v>
      </c>
      <c r="AB35" s="8"/>
      <c r="AC35" s="8"/>
      <c r="AE35" s="8"/>
      <c r="AG35" s="8"/>
    </row>
    <row r="36" ht="12" customHeight="1">
      <c r="A36" s="8" t="s">
        <v>133</v>
      </c>
      <c r="B36" s="8" t="s">
        <v>680</v>
      </c>
      <c r="C36" s="24">
        <v>1032</v>
      </c>
      <c r="D36" s="8"/>
      <c r="E36" s="24">
        <v>1033</v>
      </c>
      <c r="F36" s="8"/>
      <c r="G36" s="24">
        <v>1047</v>
      </c>
      <c r="H36" s="8"/>
      <c r="I36" s="24">
        <v>1011</v>
      </c>
      <c r="J36" s="8"/>
      <c r="K36" s="24">
        <v>1013</v>
      </c>
      <c r="L36" s="8"/>
      <c r="M36" s="24">
        <v>1009</v>
      </c>
      <c r="N36" s="8"/>
      <c r="O36" s="24">
        <v>1015</v>
      </c>
      <c r="P36" s="8"/>
      <c r="Q36" s="24">
        <v>1078</v>
      </c>
      <c r="R36" s="8"/>
      <c r="S36" s="24">
        <v>1051</v>
      </c>
      <c r="T36" s="8"/>
      <c r="U36" s="24">
        <v>1053</v>
      </c>
      <c r="V36" s="8"/>
      <c r="W36" s="24">
        <v>1045</v>
      </c>
      <c r="X36" s="8"/>
      <c r="Y36" s="24">
        <v>1010</v>
      </c>
      <c r="Z36" s="8"/>
      <c r="AA36" s="24">
        <v>978</v>
      </c>
      <c r="AB36" s="8"/>
      <c r="AC36" s="8"/>
      <c r="AE36" s="8"/>
      <c r="AG36" s="8"/>
    </row>
    <row r="37" ht="12" customHeight="1">
      <c r="A37" s="8" t="s">
        <v>135</v>
      </c>
      <c r="B37" s="8" t="s">
        <v>681</v>
      </c>
      <c r="C37" s="24">
        <v>1236</v>
      </c>
      <c r="D37" s="8"/>
      <c r="E37" s="24">
        <v>1244</v>
      </c>
      <c r="F37" s="8"/>
      <c r="G37" s="24">
        <v>1261</v>
      </c>
      <c r="H37" s="8"/>
      <c r="I37" s="24">
        <v>1274</v>
      </c>
      <c r="J37" s="8"/>
      <c r="K37" s="24">
        <v>1305</v>
      </c>
      <c r="L37" s="8"/>
      <c r="M37" s="24">
        <v>1336</v>
      </c>
      <c r="N37" s="8"/>
      <c r="O37" s="24">
        <v>1340</v>
      </c>
      <c r="P37" s="8"/>
      <c r="Q37" s="24">
        <v>1351</v>
      </c>
      <c r="R37" s="8"/>
      <c r="S37" s="24">
        <v>1364</v>
      </c>
      <c r="T37" s="8"/>
      <c r="U37" s="24">
        <v>1369</v>
      </c>
      <c r="V37" s="8"/>
      <c r="W37" s="24">
        <v>1374</v>
      </c>
      <c r="X37" s="8"/>
      <c r="Y37" s="24">
        <v>1399</v>
      </c>
      <c r="Z37" s="8"/>
      <c r="AA37" s="24">
        <v>1412</v>
      </c>
      <c r="AB37" s="8"/>
      <c r="AC37" s="8"/>
      <c r="AE37" s="8"/>
      <c r="AG37" s="8"/>
    </row>
    <row r="38" ht="12" customHeight="1">
      <c r="A38" s="8" t="s">
        <v>137</v>
      </c>
      <c r="B38" s="8" t="s">
        <v>682</v>
      </c>
      <c r="C38" s="24">
        <v>1331</v>
      </c>
      <c r="D38" s="8"/>
      <c r="E38" s="24">
        <v>1353</v>
      </c>
      <c r="F38" s="8"/>
      <c r="G38" s="24">
        <v>1389</v>
      </c>
      <c r="H38" s="8"/>
      <c r="I38" s="24">
        <v>1436</v>
      </c>
      <c r="J38" s="8"/>
      <c r="K38" s="24">
        <v>1493</v>
      </c>
      <c r="L38" s="8"/>
      <c r="M38" s="24">
        <v>1535</v>
      </c>
      <c r="N38" s="8"/>
      <c r="O38" s="24">
        <v>1546</v>
      </c>
      <c r="P38" s="8"/>
      <c r="Q38" s="24">
        <v>1645</v>
      </c>
      <c r="R38" s="8"/>
      <c r="S38" s="24">
        <v>1659</v>
      </c>
      <c r="T38" s="8"/>
      <c r="U38" s="24">
        <v>1660</v>
      </c>
      <c r="V38" s="8"/>
      <c r="W38" s="24">
        <v>1675</v>
      </c>
      <c r="X38" s="8"/>
      <c r="Y38" s="24">
        <v>1700</v>
      </c>
      <c r="Z38" s="8"/>
      <c r="AA38" s="24">
        <v>1717</v>
      </c>
      <c r="AB38" s="8"/>
      <c r="AC38" s="8"/>
      <c r="AE38" s="8"/>
      <c r="AG38" s="8"/>
    </row>
    <row r="39" ht="12" customHeight="1">
      <c r="A39" s="11" t="s">
        <v>139</v>
      </c>
      <c r="B39" s="8" t="s">
        <v>683</v>
      </c>
      <c r="C39" s="24">
        <v>1173</v>
      </c>
      <c r="D39" s="8"/>
      <c r="E39" s="24">
        <v>1159</v>
      </c>
      <c r="F39" s="8"/>
      <c r="G39" s="24">
        <v>1135</v>
      </c>
      <c r="H39" s="8"/>
      <c r="I39" s="24">
        <v>1219</v>
      </c>
      <c r="J39" s="8"/>
      <c r="K39" s="24">
        <v>1217</v>
      </c>
      <c r="L39" s="8"/>
      <c r="M39" s="24">
        <v>1187</v>
      </c>
      <c r="N39" s="8"/>
      <c r="O39" s="24">
        <v>1182</v>
      </c>
      <c r="P39" s="8"/>
      <c r="Q39" s="24">
        <v>1154</v>
      </c>
      <c r="R39" s="8"/>
      <c r="S39" s="24">
        <v>1170</v>
      </c>
      <c r="T39" s="8"/>
      <c r="U39" s="24">
        <v>1174</v>
      </c>
      <c r="V39" s="8"/>
      <c r="W39" s="24">
        <v>1164</v>
      </c>
      <c r="X39" s="8"/>
      <c r="Y39" s="24">
        <v>1171</v>
      </c>
      <c r="Z39" s="8"/>
      <c r="AA39" s="24">
        <v>1199</v>
      </c>
      <c r="AB39" s="8"/>
      <c r="AC39" s="8"/>
      <c r="AE39" s="8"/>
      <c r="AG39" s="8"/>
    </row>
    <row r="40" ht="12" customHeight="1">
      <c r="A40" s="8" t="s">
        <v>141</v>
      </c>
      <c r="B40" s="8" t="s">
        <v>684</v>
      </c>
      <c r="C40" s="24">
        <v>1058</v>
      </c>
      <c r="D40" s="8"/>
      <c r="E40" s="24">
        <v>1068</v>
      </c>
      <c r="F40" s="8"/>
      <c r="G40" s="24">
        <v>1081</v>
      </c>
      <c r="H40" s="8"/>
      <c r="I40" s="24">
        <v>1112</v>
      </c>
      <c r="J40" s="8"/>
      <c r="K40" s="24">
        <v>1090</v>
      </c>
      <c r="L40" s="8"/>
      <c r="M40" s="24">
        <v>1072</v>
      </c>
      <c r="N40" s="8"/>
      <c r="O40" s="24">
        <v>1049</v>
      </c>
      <c r="P40" s="8"/>
      <c r="Q40" s="24">
        <v>1030</v>
      </c>
      <c r="R40" s="8"/>
      <c r="S40" s="24">
        <v>1046</v>
      </c>
      <c r="T40" s="8"/>
      <c r="U40" s="24">
        <v>1050</v>
      </c>
      <c r="V40" s="8"/>
      <c r="W40" s="24">
        <v>1055</v>
      </c>
      <c r="X40" s="8"/>
      <c r="Y40" s="24">
        <v>1055</v>
      </c>
      <c r="Z40" s="8"/>
      <c r="AA40" s="24">
        <v>1059</v>
      </c>
      <c r="AB40" s="8"/>
      <c r="AC40" s="8"/>
      <c r="AE40" s="8"/>
      <c r="AG40" s="8"/>
    </row>
    <row r="41" ht="12" customHeight="1">
      <c r="A41" s="8" t="s">
        <v>143</v>
      </c>
      <c r="B41" s="8" t="s">
        <v>685</v>
      </c>
      <c r="C41" s="24">
        <v>1178</v>
      </c>
      <c r="D41" s="8"/>
      <c r="E41" s="24">
        <v>1153</v>
      </c>
      <c r="F41" s="8"/>
      <c r="G41" s="24">
        <v>1138</v>
      </c>
      <c r="H41" s="8"/>
      <c r="I41" s="24">
        <v>1272</v>
      </c>
      <c r="J41" s="8"/>
      <c r="K41" s="24">
        <v>1280</v>
      </c>
      <c r="L41" s="8"/>
      <c r="M41" s="24">
        <v>1262</v>
      </c>
      <c r="N41" s="8"/>
      <c r="O41" s="24">
        <v>1283</v>
      </c>
      <c r="P41" s="8"/>
      <c r="Q41" s="24">
        <v>1225</v>
      </c>
      <c r="R41" s="8"/>
      <c r="S41" s="24">
        <v>1213</v>
      </c>
      <c r="T41" s="8"/>
      <c r="U41" s="24">
        <v>1250</v>
      </c>
      <c r="V41" s="8"/>
      <c r="W41" s="24">
        <v>1232</v>
      </c>
      <c r="X41" s="8"/>
      <c r="Y41" s="24">
        <v>1237</v>
      </c>
      <c r="Z41" s="8"/>
      <c r="AA41" s="24">
        <v>1258</v>
      </c>
      <c r="AB41" s="8"/>
      <c r="AC41" s="8"/>
      <c r="AE41" s="8"/>
      <c r="AG41" s="8"/>
    </row>
    <row r="42" ht="12" customHeight="1">
      <c r="A42" s="8" t="s">
        <v>145</v>
      </c>
      <c r="B42" s="8" t="s">
        <v>686</v>
      </c>
      <c r="C42" s="24">
        <v>1200</v>
      </c>
      <c r="D42" s="8"/>
      <c r="E42" s="24">
        <v>1169</v>
      </c>
      <c r="F42" s="8"/>
      <c r="G42" s="24">
        <v>1152</v>
      </c>
      <c r="H42" s="8"/>
      <c r="I42" s="24">
        <v>1341</v>
      </c>
      <c r="J42" s="8"/>
      <c r="K42" s="24">
        <v>1342</v>
      </c>
      <c r="L42" s="8"/>
      <c r="M42" s="24">
        <v>1312</v>
      </c>
      <c r="N42" s="8"/>
      <c r="O42" s="24">
        <v>1322</v>
      </c>
      <c r="P42" s="8"/>
      <c r="Q42" s="24">
        <v>1231</v>
      </c>
      <c r="R42" s="8"/>
      <c r="S42" s="24">
        <v>1213</v>
      </c>
      <c r="T42" s="8"/>
      <c r="U42" s="24">
        <v>1269</v>
      </c>
      <c r="V42" s="8"/>
      <c r="W42" s="24">
        <v>1209</v>
      </c>
      <c r="X42" s="8"/>
      <c r="Y42" s="24">
        <v>1210</v>
      </c>
      <c r="Z42" s="8"/>
      <c r="AA42" s="24">
        <v>1241</v>
      </c>
      <c r="AB42" s="8"/>
      <c r="AC42" s="8"/>
      <c r="AE42" s="8"/>
      <c r="AG42" s="8"/>
    </row>
    <row r="43" ht="12" customHeight="1">
      <c r="A43" s="8" t="s">
        <v>147</v>
      </c>
      <c r="B43" s="8" t="s">
        <v>687</v>
      </c>
      <c r="C43" s="24">
        <v>1276</v>
      </c>
      <c r="D43" s="8"/>
      <c r="E43" s="24">
        <v>1251</v>
      </c>
      <c r="F43" s="8"/>
      <c r="G43" s="24">
        <v>1157</v>
      </c>
      <c r="H43" s="8"/>
      <c r="I43" s="24">
        <v>1207</v>
      </c>
      <c r="J43" s="8"/>
      <c r="K43" s="24">
        <v>1207</v>
      </c>
      <c r="L43" s="8"/>
      <c r="M43" s="24">
        <v>1142</v>
      </c>
      <c r="N43" s="8"/>
      <c r="O43" s="24">
        <v>1106</v>
      </c>
      <c r="P43" s="8"/>
      <c r="Q43" s="24">
        <v>1128</v>
      </c>
      <c r="R43" s="8"/>
      <c r="S43" s="24">
        <v>1198</v>
      </c>
      <c r="T43" s="8"/>
      <c r="U43" s="24">
        <v>1149</v>
      </c>
      <c r="V43" s="8"/>
      <c r="W43" s="24">
        <v>1134</v>
      </c>
      <c r="X43" s="8"/>
      <c r="Y43" s="24">
        <v>1154</v>
      </c>
      <c r="Z43" s="8"/>
      <c r="AA43" s="24">
        <v>1220</v>
      </c>
      <c r="AB43" s="8"/>
      <c r="AC43" s="8"/>
      <c r="AE43" s="8"/>
      <c r="AG43" s="8"/>
    </row>
    <row r="44" ht="12" customHeight="1">
      <c r="A44" s="11" t="s">
        <v>149</v>
      </c>
      <c r="B44" s="8" t="s">
        <v>688</v>
      </c>
      <c r="C44" s="24">
        <v>796</v>
      </c>
      <c r="D44" s="8"/>
      <c r="E44" s="24">
        <v>798</v>
      </c>
      <c r="F44" s="8"/>
      <c r="G44" s="24">
        <v>800</v>
      </c>
      <c r="H44" s="8"/>
      <c r="I44" s="24">
        <v>810</v>
      </c>
      <c r="J44" s="8"/>
      <c r="K44" s="24">
        <v>826</v>
      </c>
      <c r="L44" s="8"/>
      <c r="M44" s="24">
        <v>829</v>
      </c>
      <c r="N44" s="8"/>
      <c r="O44" s="24">
        <v>836</v>
      </c>
      <c r="P44" s="8"/>
      <c r="Q44" s="24">
        <v>841</v>
      </c>
      <c r="R44" s="8"/>
      <c r="S44" s="24">
        <v>859</v>
      </c>
      <c r="T44" s="8"/>
      <c r="U44" s="24">
        <v>862</v>
      </c>
      <c r="V44" s="8"/>
      <c r="W44" s="24">
        <v>861</v>
      </c>
      <c r="X44" s="8"/>
      <c r="Y44" s="24">
        <v>866</v>
      </c>
      <c r="Z44" s="8"/>
      <c r="AA44" s="24">
        <v>900</v>
      </c>
      <c r="AB44" s="8"/>
      <c r="AC44" s="8"/>
      <c r="AE44" s="8"/>
      <c r="AG44" s="8"/>
    </row>
    <row r="45" ht="12" customHeight="1">
      <c r="A45" s="8" t="s">
        <v>151</v>
      </c>
      <c r="B45" s="8" t="s">
        <v>689</v>
      </c>
      <c r="C45" s="24">
        <v>1405</v>
      </c>
      <c r="D45" s="8"/>
      <c r="E45" s="24">
        <v>1415</v>
      </c>
      <c r="F45" s="8"/>
      <c r="G45" s="24">
        <v>1402</v>
      </c>
      <c r="H45" s="8"/>
      <c r="I45" s="24">
        <v>1506</v>
      </c>
      <c r="J45" s="8"/>
      <c r="K45" s="24">
        <v>1531</v>
      </c>
      <c r="L45" s="8"/>
      <c r="M45" s="24">
        <v>1501</v>
      </c>
      <c r="N45" s="8"/>
      <c r="O45" s="24">
        <v>1501</v>
      </c>
      <c r="P45" s="8"/>
      <c r="Q45" s="24">
        <v>1540</v>
      </c>
      <c r="R45" s="8"/>
      <c r="S45" s="24">
        <v>1549</v>
      </c>
      <c r="T45" s="8"/>
      <c r="U45" s="24">
        <v>1542</v>
      </c>
      <c r="V45" s="8"/>
      <c r="W45" s="24">
        <v>1557</v>
      </c>
      <c r="X45" s="8"/>
      <c r="Y45" s="24">
        <v>1674</v>
      </c>
      <c r="Z45" s="8"/>
      <c r="AA45" s="24">
        <v>1678</v>
      </c>
      <c r="AB45" s="8"/>
      <c r="AC45" s="8"/>
      <c r="AE45" s="8"/>
      <c r="AG45" s="8"/>
    </row>
    <row r="46" ht="12" customHeight="1">
      <c r="A46" s="8" t="s">
        <v>153</v>
      </c>
      <c r="B46" s="8" t="s">
        <v>690</v>
      </c>
      <c r="C46" s="24">
        <v>297</v>
      </c>
      <c r="D46" s="8"/>
      <c r="E46" s="24">
        <v>301</v>
      </c>
      <c r="F46" s="8"/>
      <c r="G46" s="24">
        <v>271</v>
      </c>
      <c r="H46" s="8"/>
      <c r="I46" s="24">
        <v>254</v>
      </c>
      <c r="J46" s="8"/>
      <c r="K46" s="24">
        <v>295</v>
      </c>
      <c r="L46" s="8"/>
      <c r="M46" s="24">
        <v>286</v>
      </c>
      <c r="N46" s="8"/>
      <c r="O46" s="24">
        <v>310</v>
      </c>
      <c r="P46" s="8"/>
      <c r="Q46" s="24">
        <v>263</v>
      </c>
      <c r="R46" s="8"/>
      <c r="S46" s="24">
        <v>263</v>
      </c>
      <c r="T46" s="8"/>
      <c r="U46" s="24">
        <v>249</v>
      </c>
      <c r="V46" s="8"/>
      <c r="W46" s="24">
        <v>231</v>
      </c>
      <c r="X46" s="8"/>
      <c r="Y46" s="24">
        <v>223</v>
      </c>
      <c r="Z46" s="8"/>
      <c r="AA46" s="24">
        <v>249</v>
      </c>
      <c r="AB46" s="8"/>
      <c r="AC46" s="8"/>
      <c r="AE46" s="8"/>
      <c r="AG46" s="8"/>
    </row>
    <row r="47" ht="12" customHeight="1">
      <c r="A47" s="8" t="s">
        <v>155</v>
      </c>
      <c r="B47" s="8" t="s">
        <v>691</v>
      </c>
      <c r="C47" s="24">
        <v>837</v>
      </c>
      <c r="D47" s="8"/>
      <c r="E47" s="24">
        <v>840</v>
      </c>
      <c r="F47" s="8"/>
      <c r="G47" s="24">
        <v>848</v>
      </c>
      <c r="H47" s="8"/>
      <c r="I47" s="24">
        <v>860</v>
      </c>
      <c r="J47" s="8"/>
      <c r="K47" s="24">
        <v>870</v>
      </c>
      <c r="L47" s="8"/>
      <c r="M47" s="24">
        <v>876</v>
      </c>
      <c r="N47" s="8"/>
      <c r="O47" s="24">
        <v>880</v>
      </c>
      <c r="P47" s="8"/>
      <c r="Q47" s="24">
        <v>894</v>
      </c>
      <c r="R47" s="8"/>
      <c r="S47" s="24">
        <v>915</v>
      </c>
      <c r="T47" s="8"/>
      <c r="U47" s="24">
        <v>931</v>
      </c>
      <c r="V47" s="8"/>
      <c r="W47" s="24">
        <v>943</v>
      </c>
      <c r="X47" s="8"/>
      <c r="Y47" s="24">
        <v>953</v>
      </c>
      <c r="Z47" s="8"/>
      <c r="AA47" s="24">
        <v>980</v>
      </c>
      <c r="AB47" s="8"/>
      <c r="AC47" s="8"/>
      <c r="AE47" s="8"/>
      <c r="AG47" s="8"/>
    </row>
    <row r="48" ht="12" customHeight="1">
      <c r="A48" s="11" t="s">
        <v>157</v>
      </c>
      <c r="B48" s="8" t="s">
        <v>692</v>
      </c>
      <c r="C48" s="24">
        <v>1154</v>
      </c>
      <c r="D48" s="8"/>
      <c r="E48" s="24">
        <v>1165</v>
      </c>
      <c r="F48" s="8"/>
      <c r="G48" s="24">
        <v>1177</v>
      </c>
      <c r="H48" s="8"/>
      <c r="I48" s="24">
        <v>1190</v>
      </c>
      <c r="J48" s="8"/>
      <c r="K48" s="24">
        <v>1206</v>
      </c>
      <c r="L48" s="8"/>
      <c r="M48" s="24">
        <v>1237</v>
      </c>
      <c r="N48" s="8"/>
      <c r="O48" s="24">
        <v>1210</v>
      </c>
      <c r="P48" s="8"/>
      <c r="Q48" s="24">
        <v>1215</v>
      </c>
      <c r="R48" s="8"/>
      <c r="S48" s="24">
        <v>1238</v>
      </c>
      <c r="T48" s="8"/>
      <c r="U48" s="24">
        <v>1235</v>
      </c>
      <c r="V48" s="8"/>
      <c r="W48" s="24">
        <v>1240</v>
      </c>
      <c r="X48" s="8"/>
      <c r="Y48" s="24">
        <v>1251</v>
      </c>
      <c r="Z48" s="8"/>
      <c r="AA48" s="24">
        <v>1274</v>
      </c>
      <c r="AB48" s="8"/>
      <c r="AC48" s="8"/>
      <c r="AE48" s="8"/>
      <c r="AG48" s="8"/>
    </row>
    <row r="49" ht="12" customHeight="1">
      <c r="A49" s="8" t="s">
        <v>159</v>
      </c>
      <c r="B49" s="8" t="s">
        <v>693</v>
      </c>
      <c r="C49" s="24">
        <v>447</v>
      </c>
      <c r="D49" s="8"/>
      <c r="E49" s="24">
        <v>426</v>
      </c>
      <c r="F49" s="8"/>
      <c r="G49" s="24">
        <v>367</v>
      </c>
      <c r="H49" s="8"/>
      <c r="I49" s="24">
        <v>378</v>
      </c>
      <c r="J49" s="8"/>
      <c r="K49" s="24">
        <v>406</v>
      </c>
      <c r="L49" s="8"/>
      <c r="M49" s="24">
        <v>372</v>
      </c>
      <c r="N49" s="8"/>
      <c r="O49" s="24">
        <v>342</v>
      </c>
      <c r="P49" s="8"/>
      <c r="Q49" s="24">
        <v>355</v>
      </c>
      <c r="R49" s="8"/>
      <c r="S49" s="24">
        <v>378</v>
      </c>
      <c r="T49" s="8"/>
      <c r="U49" s="24">
        <v>351</v>
      </c>
      <c r="V49" s="8"/>
      <c r="W49" s="24">
        <v>303</v>
      </c>
      <c r="X49" s="8"/>
      <c r="Y49" s="24">
        <v>311</v>
      </c>
      <c r="Z49" s="8"/>
      <c r="AA49" s="24">
        <v>339</v>
      </c>
      <c r="AB49" s="8"/>
      <c r="AC49" s="8"/>
      <c r="AE49" s="8"/>
      <c r="AG49" s="8"/>
    </row>
    <row r="50" ht="12" customHeight="1">
      <c r="A50" s="8" t="s">
        <v>161</v>
      </c>
      <c r="B50" s="8" t="s">
        <v>694</v>
      </c>
      <c r="C50" s="24">
        <v>1257</v>
      </c>
      <c r="D50" s="8"/>
      <c r="E50" s="24">
        <v>1278</v>
      </c>
      <c r="F50" s="8"/>
      <c r="G50" s="24">
        <v>1281</v>
      </c>
      <c r="H50" s="8"/>
      <c r="I50" s="24">
        <v>1291</v>
      </c>
      <c r="J50" s="8"/>
      <c r="K50" s="24">
        <v>1296</v>
      </c>
      <c r="L50" s="8"/>
      <c r="M50" s="24">
        <v>1290</v>
      </c>
      <c r="N50" s="8"/>
      <c r="O50" s="24">
        <v>1297</v>
      </c>
      <c r="P50" s="8"/>
      <c r="Q50" s="24">
        <v>1298</v>
      </c>
      <c r="R50" s="8"/>
      <c r="S50" s="24">
        <v>1298</v>
      </c>
      <c r="T50" s="8"/>
      <c r="U50" s="24">
        <v>1308</v>
      </c>
      <c r="V50" s="8"/>
      <c r="W50" s="24">
        <v>1331</v>
      </c>
      <c r="X50" s="8"/>
      <c r="Y50" s="24">
        <v>1327</v>
      </c>
      <c r="Z50" s="8"/>
      <c r="AA50" s="24">
        <v>1337</v>
      </c>
      <c r="AB50" s="8"/>
      <c r="AC50" s="8"/>
      <c r="AE50" s="8"/>
      <c r="AG50" s="8"/>
    </row>
    <row r="51" ht="12" customHeight="1">
      <c r="A51" s="8" t="s">
        <v>163</v>
      </c>
      <c r="B51" s="8" t="s">
        <v>695</v>
      </c>
      <c r="C51" s="24">
        <v>1253</v>
      </c>
      <c r="D51" s="8"/>
      <c r="E51" s="24">
        <v>1270</v>
      </c>
      <c r="F51" s="8"/>
      <c r="G51" s="24">
        <v>1316</v>
      </c>
      <c r="H51" s="8"/>
      <c r="I51" s="24">
        <v>1312</v>
      </c>
      <c r="J51" s="8"/>
      <c r="K51" s="24">
        <v>1318</v>
      </c>
      <c r="L51" s="8"/>
      <c r="M51" s="24">
        <v>1332</v>
      </c>
      <c r="N51" s="8"/>
      <c r="O51" s="24">
        <v>1296</v>
      </c>
      <c r="P51" s="8"/>
      <c r="Q51" s="24">
        <v>1321</v>
      </c>
      <c r="R51" s="8"/>
      <c r="S51" s="24">
        <v>1343</v>
      </c>
      <c r="T51" s="8"/>
      <c r="U51" s="24">
        <v>1322</v>
      </c>
      <c r="V51" s="8"/>
      <c r="W51" s="24">
        <v>1294</v>
      </c>
      <c r="X51" s="8"/>
      <c r="Y51" s="24">
        <v>1311</v>
      </c>
      <c r="Z51" s="8"/>
      <c r="AA51" s="24">
        <v>1321</v>
      </c>
      <c r="AB51" s="8"/>
      <c r="AC51" s="8"/>
      <c r="AE51" s="8"/>
      <c r="AG51" s="8"/>
    </row>
    <row r="52" ht="12" customHeight="1">
      <c r="A52" s="8" t="s">
        <v>165</v>
      </c>
      <c r="B52" s="8" t="s">
        <v>696</v>
      </c>
      <c r="C52" s="24">
        <v>1121</v>
      </c>
      <c r="D52" s="8"/>
      <c r="E52" s="24">
        <v>1137</v>
      </c>
      <c r="F52" s="8"/>
      <c r="G52" s="24">
        <v>1163</v>
      </c>
      <c r="H52" s="8"/>
      <c r="I52" s="24">
        <v>1178</v>
      </c>
      <c r="J52" s="8"/>
      <c r="K52" s="24">
        <v>1199</v>
      </c>
      <c r="L52" s="8"/>
      <c r="M52" s="24">
        <v>1225</v>
      </c>
      <c r="N52" s="8"/>
      <c r="O52" s="24">
        <v>1257</v>
      </c>
      <c r="P52" s="8"/>
      <c r="Q52" s="24">
        <v>1265</v>
      </c>
      <c r="R52" s="8"/>
      <c r="S52" s="24">
        <v>1264</v>
      </c>
      <c r="T52" s="8"/>
      <c r="U52" s="24">
        <v>1270</v>
      </c>
      <c r="V52" s="8"/>
      <c r="W52" s="24">
        <v>1343</v>
      </c>
      <c r="X52" s="8"/>
      <c r="Y52" s="24">
        <v>1349</v>
      </c>
      <c r="Z52" s="8"/>
      <c r="AA52" s="24">
        <v>1350</v>
      </c>
      <c r="AB52" s="8"/>
      <c r="AC52" s="8"/>
      <c r="AE52" s="8"/>
      <c r="AG52" s="8"/>
    </row>
    <row r="53" ht="12" customHeight="1">
      <c r="A53" s="8" t="s">
        <v>167</v>
      </c>
      <c r="B53" s="8" t="s">
        <v>697</v>
      </c>
      <c r="C53" s="24">
        <v>1413</v>
      </c>
      <c r="D53" s="8"/>
      <c r="E53" s="24">
        <v>1427</v>
      </c>
      <c r="F53" s="8"/>
      <c r="G53" s="24">
        <v>1470</v>
      </c>
      <c r="H53" s="8"/>
      <c r="I53" s="24">
        <v>1501</v>
      </c>
      <c r="J53" s="8"/>
      <c r="K53" s="24">
        <v>1502</v>
      </c>
      <c r="L53" s="8"/>
      <c r="M53" s="24">
        <v>1503</v>
      </c>
      <c r="N53" s="8"/>
      <c r="O53" s="24">
        <v>1528</v>
      </c>
      <c r="P53" s="8"/>
      <c r="Q53" s="24">
        <v>1536</v>
      </c>
      <c r="R53" s="8"/>
      <c r="S53" s="24">
        <v>1542</v>
      </c>
      <c r="T53" s="8"/>
      <c r="U53" s="24">
        <v>1531</v>
      </c>
      <c r="V53" s="8"/>
      <c r="W53" s="24">
        <v>1538</v>
      </c>
      <c r="X53" s="8"/>
      <c r="Y53" s="24">
        <v>1578</v>
      </c>
      <c r="Z53" s="8"/>
      <c r="AA53" s="24">
        <v>1596</v>
      </c>
      <c r="AB53" s="8"/>
      <c r="AC53" s="8"/>
      <c r="AE53" s="8"/>
      <c r="AG53" s="8"/>
    </row>
    <row r="54" ht="12" customHeight="1">
      <c r="A54" s="8" t="s">
        <v>169</v>
      </c>
      <c r="B54" s="8" t="s">
        <v>698</v>
      </c>
      <c r="C54" s="24">
        <v>1700</v>
      </c>
      <c r="D54" s="8"/>
      <c r="E54" s="24">
        <v>1725</v>
      </c>
      <c r="F54" s="8"/>
      <c r="G54" s="24">
        <v>1730</v>
      </c>
      <c r="H54" s="8"/>
      <c r="I54" s="24">
        <v>1754</v>
      </c>
      <c r="J54" s="8"/>
      <c r="K54" s="24">
        <v>1772</v>
      </c>
      <c r="L54" s="8"/>
      <c r="M54" s="24">
        <v>1889</v>
      </c>
      <c r="N54" s="8"/>
      <c r="O54" s="24">
        <v>1786</v>
      </c>
      <c r="P54" s="8"/>
      <c r="Q54" s="24">
        <v>1760</v>
      </c>
      <c r="R54" s="8"/>
      <c r="S54" s="24">
        <v>1824</v>
      </c>
      <c r="T54" s="8"/>
      <c r="U54" s="24">
        <v>1862</v>
      </c>
      <c r="V54" s="8"/>
      <c r="W54" s="24">
        <v>1873</v>
      </c>
      <c r="X54" s="8"/>
      <c r="Y54" s="24">
        <v>1881</v>
      </c>
      <c r="Z54" s="8"/>
      <c r="AA54" s="24">
        <v>1949</v>
      </c>
      <c r="AB54" s="8"/>
      <c r="AC54" s="8"/>
      <c r="AE54" s="8"/>
      <c r="AG54" s="8"/>
    </row>
    <row r="55" ht="12" customHeight="1">
      <c r="A55" s="11" t="s">
        <v>171</v>
      </c>
      <c r="B55" s="8" t="s">
        <v>699</v>
      </c>
      <c r="C55" s="24">
        <v>1150</v>
      </c>
      <c r="D55" s="8"/>
      <c r="E55" s="24">
        <v>1187</v>
      </c>
      <c r="F55" s="8"/>
      <c r="G55" s="24">
        <v>1187</v>
      </c>
      <c r="H55" s="8"/>
      <c r="I55" s="24">
        <v>1199</v>
      </c>
      <c r="J55" s="8"/>
      <c r="K55" s="24">
        <v>1199</v>
      </c>
      <c r="L55" s="8"/>
      <c r="M55" s="24">
        <v>1249</v>
      </c>
      <c r="N55" s="8"/>
      <c r="O55" s="24">
        <v>1249</v>
      </c>
      <c r="P55" s="8"/>
      <c r="Q55" s="24">
        <v>1175</v>
      </c>
      <c r="R55" s="8"/>
      <c r="S55" s="24">
        <v>1175</v>
      </c>
      <c r="T55" s="8"/>
      <c r="U55" s="24">
        <v>1260</v>
      </c>
      <c r="V55" s="8"/>
      <c r="W55" s="24">
        <v>1260</v>
      </c>
      <c r="X55" s="8"/>
      <c r="Y55" s="24">
        <v>1267</v>
      </c>
      <c r="Z55" s="8"/>
      <c r="AA55" s="24">
        <v>1267</v>
      </c>
      <c r="AB55" s="8"/>
      <c r="AC55" s="8"/>
      <c r="AE55" s="8"/>
      <c r="AG55" s="8"/>
    </row>
    <row r="56" ht="12" customHeight="1">
      <c r="A56" s="8" t="s">
        <v>173</v>
      </c>
      <c r="B56" s="8" t="s">
        <v>700</v>
      </c>
      <c r="C56" s="24">
        <v>1205</v>
      </c>
      <c r="D56" s="8"/>
      <c r="E56" s="24">
        <v>1205</v>
      </c>
      <c r="F56" s="8"/>
      <c r="G56" s="24">
        <v>1205</v>
      </c>
      <c r="H56" s="8"/>
      <c r="I56" s="24">
        <v>1248</v>
      </c>
      <c r="J56" s="8"/>
      <c r="K56" s="24">
        <v>1248</v>
      </c>
      <c r="L56" s="8"/>
      <c r="M56" s="24">
        <v>1248</v>
      </c>
      <c r="N56" s="8"/>
      <c r="O56" s="24">
        <v>1248</v>
      </c>
      <c r="P56" s="8"/>
      <c r="Q56" s="24">
        <v>981</v>
      </c>
      <c r="R56" s="8"/>
      <c r="S56" s="24">
        <v>981</v>
      </c>
      <c r="T56" s="8"/>
      <c r="U56" s="24">
        <v>981</v>
      </c>
      <c r="V56" s="8"/>
      <c r="W56" s="24">
        <v>981</v>
      </c>
      <c r="X56" s="8"/>
      <c r="Y56" s="24">
        <v>1005</v>
      </c>
      <c r="Z56" s="8"/>
      <c r="AA56" s="24">
        <v>1005</v>
      </c>
      <c r="AB56" s="8"/>
      <c r="AC56" s="8"/>
      <c r="AE56" s="8"/>
      <c r="AG56" s="8"/>
    </row>
    <row r="57" ht="12" customHeight="1">
      <c r="A57" s="8" t="s">
        <v>175</v>
      </c>
      <c r="B57" s="8" t="s">
        <v>701</v>
      </c>
      <c r="C57" s="24">
        <v>1294</v>
      </c>
      <c r="D57" s="8"/>
      <c r="E57" s="24">
        <v>1352</v>
      </c>
      <c r="F57" s="8"/>
      <c r="G57" s="24">
        <v>1352</v>
      </c>
      <c r="H57" s="8"/>
      <c r="I57" s="24">
        <v>1352</v>
      </c>
      <c r="J57" s="8"/>
      <c r="K57" s="24">
        <v>1352</v>
      </c>
      <c r="L57" s="8"/>
      <c r="M57" s="24">
        <v>1435</v>
      </c>
      <c r="N57" s="8"/>
      <c r="O57" s="24">
        <v>1435</v>
      </c>
      <c r="P57" s="8"/>
      <c r="Q57" s="24">
        <v>1435</v>
      </c>
      <c r="R57" s="8"/>
      <c r="S57" s="24">
        <v>1435</v>
      </c>
      <c r="T57" s="8"/>
      <c r="U57" s="24">
        <v>1493</v>
      </c>
      <c r="V57" s="8"/>
      <c r="W57" s="24">
        <v>1493</v>
      </c>
      <c r="X57" s="8"/>
      <c r="Y57" s="24">
        <v>1493</v>
      </c>
      <c r="Z57" s="8"/>
      <c r="AA57" s="24">
        <v>1493</v>
      </c>
      <c r="AB57" s="8"/>
      <c r="AC57" s="8"/>
      <c r="AE57" s="8"/>
      <c r="AG57" s="8"/>
    </row>
    <row r="58" ht="12" customHeight="1">
      <c r="A58" s="8" t="s">
        <v>177</v>
      </c>
      <c r="B58" s="8" t="s">
        <v>702</v>
      </c>
      <c r="C58" s="24">
        <v>967</v>
      </c>
      <c r="D58" s="8"/>
      <c r="E58" s="24">
        <v>1010</v>
      </c>
      <c r="F58" s="8"/>
      <c r="G58" s="24">
        <v>1010</v>
      </c>
      <c r="H58" s="8"/>
      <c r="I58" s="24">
        <v>1010</v>
      </c>
      <c r="J58" s="8"/>
      <c r="K58" s="24">
        <v>1010</v>
      </c>
      <c r="L58" s="8"/>
      <c r="M58" s="24">
        <v>1069</v>
      </c>
      <c r="N58" s="8"/>
      <c r="O58" s="24">
        <v>1069</v>
      </c>
      <c r="P58" s="8"/>
      <c r="Q58" s="24">
        <v>1069</v>
      </c>
      <c r="R58" s="8"/>
      <c r="S58" s="24">
        <v>1069</v>
      </c>
      <c r="T58" s="8"/>
      <c r="U58" s="24">
        <v>1311</v>
      </c>
      <c r="V58" s="8"/>
      <c r="W58" s="24">
        <v>1311</v>
      </c>
      <c r="X58" s="8"/>
      <c r="Y58" s="24">
        <v>1311</v>
      </c>
      <c r="Z58" s="8"/>
      <c r="AA58" s="24">
        <v>1311</v>
      </c>
      <c r="AB58" s="8"/>
      <c r="AC58" s="8"/>
      <c r="AE58" s="8"/>
      <c r="AG58" s="8"/>
    </row>
    <row r="59" ht="12" customHeight="1">
      <c r="A59" s="8" t="s">
        <v>179</v>
      </c>
      <c r="B59" s="8" t="s">
        <v>703</v>
      </c>
      <c r="C59" s="24">
        <v>1090</v>
      </c>
      <c r="D59" s="8"/>
      <c r="E59" s="24">
        <v>1154</v>
      </c>
      <c r="F59" s="8"/>
      <c r="G59" s="24">
        <v>1154</v>
      </c>
      <c r="H59" s="8"/>
      <c r="I59" s="24">
        <v>1154</v>
      </c>
      <c r="J59" s="8"/>
      <c r="K59" s="24">
        <v>1154</v>
      </c>
      <c r="L59" s="8"/>
      <c r="M59" s="24">
        <v>1190</v>
      </c>
      <c r="N59" s="8"/>
      <c r="O59" s="24">
        <v>1190</v>
      </c>
      <c r="P59" s="8"/>
      <c r="Q59" s="24">
        <v>1190</v>
      </c>
      <c r="R59" s="8"/>
      <c r="S59" s="24">
        <v>1190</v>
      </c>
      <c r="T59" s="8"/>
      <c r="U59" s="24">
        <v>1251</v>
      </c>
      <c r="V59" s="8"/>
      <c r="W59" s="24">
        <v>1251</v>
      </c>
      <c r="X59" s="8"/>
      <c r="Y59" s="24">
        <v>1251</v>
      </c>
      <c r="Z59" s="8"/>
      <c r="AA59" s="24">
        <v>1251</v>
      </c>
      <c r="AB59" s="8"/>
      <c r="AC59" s="8"/>
      <c r="AE59" s="8"/>
      <c r="AG59" s="8"/>
    </row>
    <row r="60" ht="12" customHeight="1">
      <c r="A60" s="11" t="s">
        <v>181</v>
      </c>
      <c r="B60" s="8" t="s">
        <v>704</v>
      </c>
      <c r="C60" s="24">
        <v>1302</v>
      </c>
      <c r="D60" s="8"/>
      <c r="E60" s="24">
        <v>1325</v>
      </c>
      <c r="F60" s="8"/>
      <c r="G60" s="24">
        <v>1361</v>
      </c>
      <c r="H60" s="8"/>
      <c r="I60" s="24">
        <v>1390</v>
      </c>
      <c r="J60" s="8"/>
      <c r="K60" s="24">
        <v>1421</v>
      </c>
      <c r="L60" s="8"/>
      <c r="M60" s="24">
        <v>1457</v>
      </c>
      <c r="N60" s="8"/>
      <c r="O60" s="24">
        <v>1495</v>
      </c>
      <c r="P60" s="8"/>
      <c r="Q60" s="24">
        <v>1518</v>
      </c>
      <c r="R60" s="8"/>
      <c r="S60" s="24">
        <v>1541</v>
      </c>
      <c r="T60" s="8"/>
      <c r="U60" s="24">
        <v>1562</v>
      </c>
      <c r="V60" s="8"/>
      <c r="W60" s="24">
        <v>1584</v>
      </c>
      <c r="X60" s="8"/>
      <c r="Y60" s="24">
        <v>1596</v>
      </c>
      <c r="Z60" s="8"/>
      <c r="AA60" s="24">
        <v>1606</v>
      </c>
      <c r="AB60" s="8"/>
      <c r="AC60" s="8"/>
      <c r="AE60" s="8"/>
      <c r="AG60" s="8"/>
    </row>
    <row r="61" ht="12" customHeight="1">
      <c r="A61" s="8" t="s">
        <v>183</v>
      </c>
      <c r="B61" s="8" t="s">
        <v>705</v>
      </c>
      <c r="C61" s="24">
        <v>1152</v>
      </c>
      <c r="D61" s="8"/>
      <c r="E61" s="24">
        <v>1168</v>
      </c>
      <c r="F61" s="8"/>
      <c r="G61" s="24">
        <v>1196</v>
      </c>
      <c r="H61" s="8"/>
      <c r="I61" s="24">
        <v>1191</v>
      </c>
      <c r="J61" s="8"/>
      <c r="K61" s="24">
        <v>1190</v>
      </c>
      <c r="L61" s="8"/>
      <c r="M61" s="24">
        <v>1194</v>
      </c>
      <c r="N61" s="8"/>
      <c r="O61" s="24">
        <v>1200</v>
      </c>
      <c r="P61" s="8"/>
      <c r="Q61" s="24">
        <v>1197</v>
      </c>
      <c r="R61" s="8"/>
      <c r="S61" s="24">
        <v>1201</v>
      </c>
      <c r="T61" s="8"/>
      <c r="U61" s="24">
        <v>1208</v>
      </c>
      <c r="V61" s="8"/>
      <c r="W61" s="24">
        <v>1221</v>
      </c>
      <c r="X61" s="8"/>
      <c r="Y61" s="24">
        <v>1224</v>
      </c>
      <c r="Z61" s="8"/>
      <c r="AA61" s="24">
        <v>1223</v>
      </c>
      <c r="AB61" s="8"/>
      <c r="AC61" s="8"/>
      <c r="AE61" s="8"/>
      <c r="AG61" s="8"/>
    </row>
    <row r="62" ht="12" customHeight="1">
      <c r="A62" s="8" t="s">
        <v>185</v>
      </c>
      <c r="B62" s="8" t="s">
        <v>706</v>
      </c>
      <c r="C62" s="24">
        <v>1185</v>
      </c>
      <c r="D62" s="8"/>
      <c r="E62" s="24">
        <v>1192</v>
      </c>
      <c r="F62" s="8"/>
      <c r="G62" s="24">
        <v>1176</v>
      </c>
      <c r="H62" s="8"/>
      <c r="I62" s="24">
        <v>1185</v>
      </c>
      <c r="J62" s="8"/>
      <c r="K62" s="24">
        <v>1204</v>
      </c>
      <c r="L62" s="8"/>
      <c r="M62" s="24">
        <v>1211</v>
      </c>
      <c r="N62" s="8"/>
      <c r="O62" s="24">
        <v>1242</v>
      </c>
      <c r="P62" s="8"/>
      <c r="Q62" s="24">
        <v>1256</v>
      </c>
      <c r="R62" s="8"/>
      <c r="S62" s="24">
        <v>1281</v>
      </c>
      <c r="T62" s="8"/>
      <c r="U62" s="24">
        <v>1285</v>
      </c>
      <c r="V62" s="8"/>
      <c r="W62" s="24">
        <v>1323</v>
      </c>
      <c r="X62" s="8"/>
      <c r="Y62" s="24">
        <v>1338</v>
      </c>
      <c r="Z62" s="8"/>
      <c r="AA62" s="24">
        <v>1386</v>
      </c>
      <c r="AB62" s="8"/>
      <c r="AC62" s="8"/>
      <c r="AE62" s="8"/>
      <c r="AG62" s="8"/>
    </row>
    <row r="63" ht="12" customHeight="1">
      <c r="A63" s="8" t="s">
        <v>187</v>
      </c>
      <c r="B63" s="8" t="s">
        <v>707</v>
      </c>
      <c r="C63" s="24">
        <v>1373</v>
      </c>
      <c r="D63" s="8"/>
      <c r="E63" s="24">
        <v>1405</v>
      </c>
      <c r="F63" s="8"/>
      <c r="G63" s="24">
        <v>1455</v>
      </c>
      <c r="H63" s="8"/>
      <c r="I63" s="24">
        <v>1511</v>
      </c>
      <c r="J63" s="8"/>
      <c r="K63" s="24">
        <v>1569</v>
      </c>
      <c r="L63" s="8"/>
      <c r="M63" s="24">
        <v>1635</v>
      </c>
      <c r="N63" s="8"/>
      <c r="O63" s="24">
        <v>1695</v>
      </c>
      <c r="P63" s="8"/>
      <c r="Q63" s="24">
        <v>1742</v>
      </c>
      <c r="R63" s="8"/>
      <c r="S63" s="24">
        <v>1782</v>
      </c>
      <c r="T63" s="8"/>
      <c r="U63" s="24">
        <v>1813</v>
      </c>
      <c r="V63" s="8"/>
      <c r="W63" s="24">
        <v>1840</v>
      </c>
      <c r="X63" s="8"/>
      <c r="Y63" s="24">
        <v>1860</v>
      </c>
      <c r="Z63" s="8"/>
      <c r="AA63" s="24">
        <v>1876</v>
      </c>
      <c r="AB63" s="8"/>
      <c r="AC63" s="8"/>
      <c r="AE63" s="8"/>
      <c r="AG63" s="8"/>
    </row>
    <row r="64" ht="12" customHeight="1">
      <c r="A64" s="8" t="s">
        <v>189</v>
      </c>
      <c r="B64" s="8" t="s">
        <v>708</v>
      </c>
      <c r="C64" s="24">
        <v>714</v>
      </c>
      <c r="D64" s="8"/>
      <c r="E64" s="24">
        <v>700</v>
      </c>
      <c r="F64" s="8"/>
      <c r="G64" s="24">
        <v>700</v>
      </c>
      <c r="H64" s="8"/>
      <c r="I64" s="24">
        <v>700</v>
      </c>
      <c r="J64" s="8"/>
      <c r="K64" s="24">
        <v>700</v>
      </c>
      <c r="L64" s="8"/>
      <c r="M64" s="24">
        <v>700</v>
      </c>
      <c r="N64" s="8"/>
      <c r="O64" s="24">
        <v>700</v>
      </c>
      <c r="P64" s="8"/>
      <c r="Q64" s="24">
        <v>679</v>
      </c>
      <c r="R64" s="8"/>
      <c r="S64" s="24">
        <v>664</v>
      </c>
      <c r="T64" s="8"/>
      <c r="U64" s="24">
        <v>664</v>
      </c>
      <c r="V64" s="8"/>
      <c r="W64" s="24">
        <v>659</v>
      </c>
      <c r="X64" s="8"/>
      <c r="Y64" s="24">
        <v>659</v>
      </c>
      <c r="Z64" s="8"/>
      <c r="AA64" s="24">
        <v>659</v>
      </c>
      <c r="AB64" s="8"/>
      <c r="AC64" s="8"/>
      <c r="AE64" s="8"/>
      <c r="AG64" s="8"/>
    </row>
    <row r="65" ht="12" customHeight="1">
      <c r="A65" s="8" t="s">
        <v>191</v>
      </c>
      <c r="B65" s="8" t="s">
        <v>709</v>
      </c>
      <c r="C65" s="24">
        <v>1343</v>
      </c>
      <c r="D65" s="8"/>
      <c r="E65" s="24">
        <v>1361</v>
      </c>
      <c r="F65" s="8"/>
      <c r="G65" s="24">
        <v>1378</v>
      </c>
      <c r="H65" s="8"/>
      <c r="I65" s="24">
        <v>1388</v>
      </c>
      <c r="J65" s="8"/>
      <c r="K65" s="24">
        <v>1392</v>
      </c>
      <c r="L65" s="8"/>
      <c r="M65" s="24">
        <v>1400</v>
      </c>
      <c r="N65" s="8"/>
      <c r="O65" s="24">
        <v>1426</v>
      </c>
      <c r="P65" s="8"/>
      <c r="Q65" s="24">
        <v>1426</v>
      </c>
      <c r="R65" s="8"/>
      <c r="S65" s="24">
        <v>1439</v>
      </c>
      <c r="T65" s="8"/>
      <c r="U65" s="24">
        <v>1448</v>
      </c>
      <c r="V65" s="8"/>
      <c r="W65" s="24">
        <v>1467</v>
      </c>
      <c r="X65" s="8"/>
      <c r="Y65" s="24">
        <v>1457</v>
      </c>
      <c r="Z65" s="8"/>
      <c r="AA65" s="24">
        <v>1458</v>
      </c>
      <c r="AB65" s="8"/>
      <c r="AC65" s="8"/>
      <c r="AE65" s="8"/>
      <c r="AG65" s="8"/>
    </row>
    <row r="66" ht="12" customHeight="1">
      <c r="A66" s="11" t="s">
        <v>193</v>
      </c>
      <c r="B66" s="8" t="s">
        <v>710</v>
      </c>
      <c r="C66" s="24">
        <v>1524</v>
      </c>
      <c r="D66" s="8"/>
      <c r="E66" s="24">
        <v>1628</v>
      </c>
      <c r="F66" s="8"/>
      <c r="G66" s="24">
        <v>1679</v>
      </c>
      <c r="H66" s="8"/>
      <c r="I66" s="24">
        <v>1820</v>
      </c>
      <c r="J66" s="8"/>
      <c r="K66" s="24">
        <v>1998</v>
      </c>
      <c r="L66" s="8"/>
      <c r="M66" s="24">
        <v>2089</v>
      </c>
      <c r="N66" s="8"/>
      <c r="O66" s="24">
        <v>2132</v>
      </c>
      <c r="P66" s="8"/>
      <c r="Q66" s="24">
        <v>2152</v>
      </c>
      <c r="R66" s="8"/>
      <c r="S66" s="24">
        <v>2139</v>
      </c>
      <c r="T66" s="8"/>
      <c r="U66" s="24">
        <v>2096</v>
      </c>
      <c r="V66" s="8"/>
      <c r="W66" s="24">
        <v>1961</v>
      </c>
      <c r="X66" s="8"/>
      <c r="Y66" s="24">
        <v>1834</v>
      </c>
      <c r="Z66" s="8"/>
      <c r="AA66" s="24">
        <v>1758</v>
      </c>
      <c r="AB66" s="8"/>
      <c r="AC66" s="8"/>
      <c r="AE66" s="8"/>
      <c r="AG66" s="8"/>
    </row>
    <row r="67" ht="12" customHeight="1">
      <c r="A67" s="8" t="s">
        <v>195</v>
      </c>
      <c r="B67" s="8" t="s">
        <v>711</v>
      </c>
      <c r="C67" s="24">
        <v>1524</v>
      </c>
      <c r="D67" s="8"/>
      <c r="E67" s="24">
        <v>1628</v>
      </c>
      <c r="F67" s="8"/>
      <c r="G67" s="24">
        <v>1679</v>
      </c>
      <c r="H67" s="8"/>
      <c r="I67" s="24">
        <v>1820</v>
      </c>
      <c r="J67" s="8"/>
      <c r="K67" s="24">
        <v>1998</v>
      </c>
      <c r="L67" s="8"/>
      <c r="M67" s="24">
        <v>2089</v>
      </c>
      <c r="N67" s="8"/>
      <c r="O67" s="24">
        <v>2132</v>
      </c>
      <c r="P67" s="8"/>
      <c r="Q67" s="24">
        <v>2152</v>
      </c>
      <c r="R67" s="8"/>
      <c r="S67" s="24">
        <v>2139</v>
      </c>
      <c r="T67" s="8"/>
      <c r="U67" s="24">
        <v>2096</v>
      </c>
      <c r="V67" s="8"/>
      <c r="W67" s="24">
        <v>1961</v>
      </c>
      <c r="X67" s="8"/>
      <c r="Y67" s="24">
        <v>1834</v>
      </c>
      <c r="Z67" s="8"/>
      <c r="AA67" s="24">
        <v>1758</v>
      </c>
      <c r="AB67" s="8"/>
      <c r="AC67" s="8"/>
      <c r="AE67" s="8"/>
      <c r="AG67" s="8"/>
    </row>
    <row r="68" ht="12" customHeight="1">
      <c r="A68" s="13" t="s">
        <v>69</v>
      </c>
      <c r="B68" s="10" t="s">
        <v>56</v>
      </c>
      <c r="C68" s="25">
        <v>1227</v>
      </c>
      <c r="D68" s="10"/>
      <c r="E68" s="25">
        <v>1248</v>
      </c>
      <c r="F68" s="10"/>
      <c r="G68" s="25">
        <v>1265</v>
      </c>
      <c r="H68" s="10"/>
      <c r="I68" s="25">
        <v>1300</v>
      </c>
      <c r="J68" s="10"/>
      <c r="K68" s="25">
        <v>1317</v>
      </c>
      <c r="L68" s="10"/>
      <c r="M68" s="25">
        <v>1330</v>
      </c>
      <c r="N68" s="10"/>
      <c r="O68" s="25">
        <v>1336</v>
      </c>
      <c r="P68" s="10"/>
      <c r="Q68" s="25">
        <v>1348</v>
      </c>
      <c r="R68" s="10"/>
      <c r="S68" s="25">
        <v>1354</v>
      </c>
      <c r="T68" s="10"/>
      <c r="U68" s="25">
        <v>1361</v>
      </c>
      <c r="V68" s="10"/>
      <c r="W68" s="25">
        <v>1360</v>
      </c>
      <c r="X68" s="10"/>
      <c r="Y68" s="25">
        <v>1366</v>
      </c>
      <c r="Z68" s="10"/>
      <c r="AA68" s="25">
        <v>1370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712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651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652</v>
      </c>
      <c r="C8" s="22">
        <v>1.6000000000000001</v>
      </c>
      <c r="D8" s="22"/>
      <c r="E8" s="22">
        <v>3.5</v>
      </c>
      <c r="F8" s="22"/>
      <c r="G8" s="22">
        <v>2.2999999999999998</v>
      </c>
      <c r="H8" s="22"/>
      <c r="I8" s="22">
        <v>1</v>
      </c>
      <c r="J8" s="22"/>
      <c r="K8" s="22">
        <v>-1.1000000000000001</v>
      </c>
      <c r="L8" s="22"/>
      <c r="M8" s="22">
        <v>0.40000000000000002</v>
      </c>
      <c r="N8" s="22"/>
      <c r="O8" s="22">
        <v>0.10000000000000001</v>
      </c>
      <c r="P8" s="22"/>
      <c r="Q8" s="22">
        <v>1.3999999999999999</v>
      </c>
      <c r="R8" s="22"/>
      <c r="S8" s="22">
        <v>-0.59999999999999998</v>
      </c>
      <c r="T8" s="22"/>
      <c r="U8" s="22">
        <v>1.7</v>
      </c>
      <c r="V8" s="22"/>
      <c r="W8" s="22">
        <v>1.5</v>
      </c>
      <c r="X8" s="22"/>
      <c r="Y8" s="22">
        <v>1.7</v>
      </c>
      <c r="Z8" s="22"/>
      <c r="AA8" s="22">
        <v>-0.80000000000000004</v>
      </c>
      <c r="AB8" s="18"/>
      <c r="AC8" s="18"/>
    </row>
    <row r="9" ht="12" customHeight="1">
      <c r="A9" s="8" t="s">
        <v>79</v>
      </c>
      <c r="B9" s="8" t="s">
        <v>653</v>
      </c>
      <c r="C9" s="26">
        <v>-6.0999999999999996</v>
      </c>
      <c r="D9" s="8"/>
      <c r="E9" s="26">
        <v>9.3000000000000007</v>
      </c>
      <c r="F9" s="8"/>
      <c r="G9" s="26">
        <v>0.59999999999999998</v>
      </c>
      <c r="H9" s="8"/>
      <c r="I9" s="26">
        <v>2</v>
      </c>
      <c r="J9" s="8"/>
      <c r="K9" s="26">
        <v>-6.5</v>
      </c>
      <c r="L9" s="8"/>
      <c r="M9" s="26">
        <v>-3.2999999999999998</v>
      </c>
      <c r="N9" s="8"/>
      <c r="O9" s="26">
        <v>-6.5999999999999996</v>
      </c>
      <c r="P9" s="8"/>
      <c r="Q9" s="26">
        <v>6</v>
      </c>
      <c r="R9" s="8"/>
      <c r="S9" s="26">
        <v>-5</v>
      </c>
      <c r="T9" s="8"/>
      <c r="U9" s="26">
        <v>1.5</v>
      </c>
      <c r="V9" s="8"/>
      <c r="W9" s="26">
        <v>3</v>
      </c>
      <c r="X9" s="8"/>
      <c r="Y9" s="26">
        <v>8.4000000000000004</v>
      </c>
      <c r="Z9" s="8"/>
      <c r="AA9" s="26">
        <v>-8.3000000000000007</v>
      </c>
      <c r="AB9" s="8"/>
      <c r="AC9" s="8"/>
    </row>
    <row r="10" ht="12" customHeight="1">
      <c r="A10" s="8" t="s">
        <v>81</v>
      </c>
      <c r="B10" s="8" t="s">
        <v>654</v>
      </c>
      <c r="C10" s="26">
        <v>4.2999999999999998</v>
      </c>
      <c r="D10" s="8"/>
      <c r="E10" s="26">
        <v>1.6000000000000001</v>
      </c>
      <c r="F10" s="8"/>
      <c r="G10" s="26">
        <v>1.5</v>
      </c>
      <c r="H10" s="8"/>
      <c r="I10" s="26">
        <v>0.5</v>
      </c>
      <c r="J10" s="8"/>
      <c r="K10" s="26">
        <v>-1.3</v>
      </c>
      <c r="L10" s="8"/>
      <c r="M10" s="26">
        <v>-0.40000000000000002</v>
      </c>
      <c r="N10" s="8"/>
      <c r="O10" s="26">
        <v>0.59999999999999998</v>
      </c>
      <c r="P10" s="8"/>
      <c r="Q10" s="26">
        <v>1</v>
      </c>
      <c r="R10" s="8"/>
      <c r="S10" s="26">
        <v>0.59999999999999998</v>
      </c>
      <c r="T10" s="8"/>
      <c r="U10" s="26">
        <v>1.3999999999999999</v>
      </c>
      <c r="V10" s="8"/>
      <c r="W10" s="26">
        <v>1.3</v>
      </c>
      <c r="X10" s="8"/>
      <c r="Y10" s="26">
        <v>3.5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655</v>
      </c>
      <c r="C11" s="26">
        <v>3.3999999999999999</v>
      </c>
      <c r="D11" s="8"/>
      <c r="E11" s="26">
        <v>4.2000000000000002</v>
      </c>
      <c r="F11" s="8"/>
      <c r="G11" s="26">
        <v>2.6000000000000001</v>
      </c>
      <c r="H11" s="8"/>
      <c r="I11" s="26">
        <v>0.20000000000000001</v>
      </c>
      <c r="J11" s="8"/>
      <c r="K11" s="26">
        <v>-0.59999999999999998</v>
      </c>
      <c r="L11" s="8"/>
      <c r="M11" s="26">
        <v>1.3</v>
      </c>
      <c r="N11" s="8"/>
      <c r="O11" s="26">
        <v>1.1000000000000001</v>
      </c>
      <c r="P11" s="8"/>
      <c r="Q11" s="26">
        <v>0.69999999999999996</v>
      </c>
      <c r="R11" s="8"/>
      <c r="S11" s="26">
        <v>-0.29999999999999999</v>
      </c>
      <c r="T11" s="8"/>
      <c r="U11" s="26">
        <v>2.8999999999999999</v>
      </c>
      <c r="V11" s="8"/>
      <c r="W11" s="26">
        <v>1.5</v>
      </c>
      <c r="X11" s="8"/>
      <c r="Y11" s="26">
        <v>0.40000000000000002</v>
      </c>
      <c r="Z11" s="8"/>
      <c r="AA11" s="26">
        <v>-0.29999999999999999</v>
      </c>
      <c r="AB11" s="8"/>
      <c r="AC11" s="8"/>
    </row>
    <row r="12" ht="12" customHeight="1">
      <c r="A12" s="8" t="s">
        <v>85</v>
      </c>
      <c r="B12" s="8" t="s">
        <v>656</v>
      </c>
      <c r="C12" s="26">
        <v>3.1000000000000001</v>
      </c>
      <c r="D12" s="8"/>
      <c r="E12" s="26">
        <v>2.2999999999999998</v>
      </c>
      <c r="F12" s="8"/>
      <c r="G12" s="26">
        <v>2.6000000000000001</v>
      </c>
      <c r="H12" s="8"/>
      <c r="I12" s="26">
        <v>0.69999999999999996</v>
      </c>
      <c r="J12" s="8"/>
      <c r="K12" s="26">
        <v>-0.10000000000000001</v>
      </c>
      <c r="L12" s="8"/>
      <c r="M12" s="26">
        <v>1</v>
      </c>
      <c r="N12" s="8"/>
      <c r="O12" s="26">
        <v>2.2000000000000002</v>
      </c>
      <c r="P12" s="8"/>
      <c r="Q12" s="26">
        <v>0.80000000000000004</v>
      </c>
      <c r="R12" s="8"/>
      <c r="S12" s="26">
        <v>-0.10000000000000001</v>
      </c>
      <c r="T12" s="8"/>
      <c r="U12" s="26">
        <v>2.5</v>
      </c>
      <c r="V12" s="8"/>
      <c r="W12" s="26">
        <v>2.7999999999999998</v>
      </c>
      <c r="X12" s="8"/>
      <c r="Y12" s="26">
        <v>-0.80000000000000004</v>
      </c>
      <c r="Z12" s="8"/>
      <c r="AA12" s="26">
        <v>0.59999999999999998</v>
      </c>
      <c r="AB12" s="8"/>
      <c r="AC12" s="8"/>
    </row>
    <row r="13" ht="12" customHeight="1">
      <c r="A13" s="8" t="s">
        <v>87</v>
      </c>
      <c r="B13" s="8" t="s">
        <v>657</v>
      </c>
      <c r="C13" s="26">
        <v>2</v>
      </c>
      <c r="D13" s="8"/>
      <c r="E13" s="26">
        <v>1.7</v>
      </c>
      <c r="F13" s="8"/>
      <c r="G13" s="26">
        <v>3</v>
      </c>
      <c r="H13" s="8"/>
      <c r="I13" s="26">
        <v>1.7</v>
      </c>
      <c r="J13" s="8"/>
      <c r="K13" s="26">
        <v>0.80000000000000004</v>
      </c>
      <c r="L13" s="8"/>
      <c r="M13" s="26">
        <v>1</v>
      </c>
      <c r="N13" s="8"/>
      <c r="O13" s="26">
        <v>1.3</v>
      </c>
      <c r="P13" s="8"/>
      <c r="Q13" s="26">
        <v>0.5</v>
      </c>
      <c r="R13" s="8"/>
      <c r="S13" s="26">
        <v>0.40000000000000002</v>
      </c>
      <c r="T13" s="8"/>
      <c r="U13" s="26">
        <v>0.29999999999999999</v>
      </c>
      <c r="V13" s="8"/>
      <c r="W13" s="26">
        <v>0.90000000000000002</v>
      </c>
      <c r="X13" s="8"/>
      <c r="Y13" s="26">
        <v>0.69999999999999996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658</v>
      </c>
      <c r="C14" s="26">
        <v>0.69999999999999996</v>
      </c>
      <c r="D14" s="8"/>
      <c r="E14" s="26">
        <v>3.3999999999999999</v>
      </c>
      <c r="F14" s="8"/>
      <c r="G14" s="26">
        <v>1.3999999999999999</v>
      </c>
      <c r="H14" s="8"/>
      <c r="I14" s="26">
        <v>1.2</v>
      </c>
      <c r="J14" s="8"/>
      <c r="K14" s="26">
        <v>1</v>
      </c>
      <c r="L14" s="8"/>
      <c r="M14" s="26">
        <v>2.6000000000000001</v>
      </c>
      <c r="N14" s="8"/>
      <c r="O14" s="26">
        <v>1</v>
      </c>
      <c r="P14" s="8"/>
      <c r="Q14" s="26">
        <v>0.5</v>
      </c>
      <c r="R14" s="8"/>
      <c r="S14" s="26">
        <v>0.10000000000000001</v>
      </c>
      <c r="T14" s="8"/>
      <c r="U14" s="26">
        <v>1.3999999999999999</v>
      </c>
      <c r="V14" s="8"/>
      <c r="W14" s="26">
        <v>-0.29999999999999999</v>
      </c>
      <c r="X14" s="8"/>
      <c r="Y14" s="26">
        <v>0.59999999999999998</v>
      </c>
      <c r="Z14" s="8"/>
      <c r="AA14" s="26">
        <v>-0.29999999999999999</v>
      </c>
      <c r="AB14" s="8"/>
      <c r="AC14" s="8"/>
    </row>
    <row r="15" ht="12" customHeight="1">
      <c r="A15" s="8" t="s">
        <v>91</v>
      </c>
      <c r="B15" s="8" t="s">
        <v>659</v>
      </c>
      <c r="C15" s="26">
        <v>0.59999999999999998</v>
      </c>
      <c r="D15" s="8"/>
      <c r="E15" s="26">
        <v>1.8</v>
      </c>
      <c r="F15" s="8"/>
      <c r="G15" s="26">
        <v>2</v>
      </c>
      <c r="H15" s="8"/>
      <c r="I15" s="26">
        <v>1.6000000000000001</v>
      </c>
      <c r="J15" s="8"/>
      <c r="K15" s="26">
        <v>0</v>
      </c>
      <c r="L15" s="8"/>
      <c r="M15" s="26">
        <v>1</v>
      </c>
      <c r="N15" s="8"/>
      <c r="O15" s="26">
        <v>1.5</v>
      </c>
      <c r="P15" s="8"/>
      <c r="Q15" s="26">
        <v>0.69999999999999996</v>
      </c>
      <c r="R15" s="8"/>
      <c r="S15" s="26">
        <v>-0.20000000000000001</v>
      </c>
      <c r="T15" s="8"/>
      <c r="U15" s="26">
        <v>0.80000000000000004</v>
      </c>
      <c r="V15" s="8"/>
      <c r="W15" s="26">
        <v>-0.5</v>
      </c>
      <c r="X15" s="8"/>
      <c r="Y15" s="26">
        <v>0.80000000000000004</v>
      </c>
      <c r="Z15" s="8"/>
      <c r="AA15" s="26">
        <v>-0.80000000000000004</v>
      </c>
      <c r="AB15" s="8"/>
      <c r="AC15" s="8"/>
    </row>
    <row r="16" ht="12" customHeight="1">
      <c r="A16" s="8" t="s">
        <v>93</v>
      </c>
      <c r="B16" s="8" t="s">
        <v>660</v>
      </c>
      <c r="C16" s="26">
        <v>0.80000000000000004</v>
      </c>
      <c r="D16" s="8"/>
      <c r="E16" s="26">
        <v>7.4000000000000004</v>
      </c>
      <c r="F16" s="8"/>
      <c r="G16" s="26">
        <v>0.10000000000000001</v>
      </c>
      <c r="H16" s="8"/>
      <c r="I16" s="26">
        <v>0.40000000000000002</v>
      </c>
      <c r="J16" s="8"/>
      <c r="K16" s="26">
        <v>3.2999999999999998</v>
      </c>
      <c r="L16" s="8"/>
      <c r="M16" s="26">
        <v>6.2999999999999998</v>
      </c>
      <c r="N16" s="8"/>
      <c r="O16" s="26">
        <v>0</v>
      </c>
      <c r="P16" s="8"/>
      <c r="Q16" s="26">
        <v>0.29999999999999999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661</v>
      </c>
      <c r="C17" s="26">
        <v>0.90000000000000002</v>
      </c>
      <c r="D17" s="8"/>
      <c r="E17" s="26">
        <v>-0.5</v>
      </c>
      <c r="F17" s="8"/>
      <c r="G17" s="26">
        <v>3.3999999999999999</v>
      </c>
      <c r="H17" s="8"/>
      <c r="I17" s="26">
        <v>0.29999999999999999</v>
      </c>
      <c r="J17" s="8"/>
      <c r="K17" s="26">
        <v>1.1000000000000001</v>
      </c>
      <c r="L17" s="8"/>
      <c r="M17" s="26">
        <v>0.20000000000000001</v>
      </c>
      <c r="N17" s="8"/>
      <c r="O17" s="26">
        <v>0.29999999999999999</v>
      </c>
      <c r="P17" s="8"/>
      <c r="Q17" s="26">
        <v>-0.40000000000000002</v>
      </c>
      <c r="R17" s="8"/>
      <c r="S17" s="26">
        <v>-1</v>
      </c>
      <c r="T17" s="8"/>
      <c r="U17" s="26">
        <v>0.20000000000000001</v>
      </c>
      <c r="V17" s="8"/>
      <c r="W17" s="26">
        <v>0.10000000000000001</v>
      </c>
      <c r="X17" s="8"/>
      <c r="Y17" s="26">
        <v>0.5</v>
      </c>
      <c r="Z17" s="8"/>
      <c r="AA17" s="26">
        <v>0.80000000000000004</v>
      </c>
      <c r="AB17" s="8"/>
      <c r="AC17" s="8"/>
    </row>
    <row r="18" ht="12" customHeight="1">
      <c r="A18" s="8" t="s">
        <v>97</v>
      </c>
      <c r="B18" s="8" t="s">
        <v>662</v>
      </c>
      <c r="C18" s="26">
        <v>1</v>
      </c>
      <c r="D18" s="8"/>
      <c r="E18" s="26">
        <v>-0.69999999999999996</v>
      </c>
      <c r="F18" s="8"/>
      <c r="G18" s="26">
        <v>3.7999999999999998</v>
      </c>
      <c r="H18" s="8"/>
      <c r="I18" s="26">
        <v>0.69999999999999996</v>
      </c>
      <c r="J18" s="8"/>
      <c r="K18" s="26">
        <v>1.3</v>
      </c>
      <c r="L18" s="8"/>
      <c r="M18" s="26">
        <v>0.20000000000000001</v>
      </c>
      <c r="N18" s="8"/>
      <c r="O18" s="26">
        <v>-0.40000000000000002</v>
      </c>
      <c r="P18" s="8"/>
      <c r="Q18" s="26">
        <v>-0.20000000000000001</v>
      </c>
      <c r="R18" s="8"/>
      <c r="S18" s="26">
        <v>-1.1000000000000001</v>
      </c>
      <c r="T18" s="8"/>
      <c r="U18" s="26">
        <v>-0.29999999999999999</v>
      </c>
      <c r="V18" s="8"/>
      <c r="W18" s="26">
        <v>0.69999999999999996</v>
      </c>
      <c r="X18" s="8"/>
      <c r="Y18" s="26">
        <v>0.20000000000000001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663</v>
      </c>
      <c r="C19" s="26">
        <v>0.10000000000000001</v>
      </c>
      <c r="D19" s="8"/>
      <c r="E19" s="26">
        <v>0.29999999999999999</v>
      </c>
      <c r="F19" s="8"/>
      <c r="G19" s="26">
        <v>1.5</v>
      </c>
      <c r="H19" s="8"/>
      <c r="I19" s="26">
        <v>-0.5</v>
      </c>
      <c r="J19" s="8"/>
      <c r="K19" s="26">
        <v>0</v>
      </c>
      <c r="L19" s="8"/>
      <c r="M19" s="26">
        <v>0</v>
      </c>
      <c r="N19" s="8"/>
      <c r="O19" s="26">
        <v>3</v>
      </c>
      <c r="P19" s="8"/>
      <c r="Q19" s="26">
        <v>-1</v>
      </c>
      <c r="R19" s="8"/>
      <c r="S19" s="26">
        <v>-0.5</v>
      </c>
      <c r="T19" s="8"/>
      <c r="U19" s="26">
        <v>2.1000000000000001</v>
      </c>
      <c r="V19" s="8"/>
      <c r="W19" s="26">
        <v>-2.7999999999999998</v>
      </c>
      <c r="X19" s="8"/>
      <c r="Y19" s="26">
        <v>1.5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664</v>
      </c>
      <c r="C20" s="26">
        <v>0.90000000000000002</v>
      </c>
      <c r="D20" s="8"/>
      <c r="E20" s="26">
        <v>0.90000000000000002</v>
      </c>
      <c r="F20" s="8"/>
      <c r="G20" s="26">
        <v>1.3</v>
      </c>
      <c r="H20" s="8"/>
      <c r="I20" s="26">
        <v>2.7999999999999998</v>
      </c>
      <c r="J20" s="8"/>
      <c r="K20" s="26">
        <v>0.80000000000000004</v>
      </c>
      <c r="L20" s="8"/>
      <c r="M20" s="26">
        <v>0.40000000000000002</v>
      </c>
      <c r="N20" s="8"/>
      <c r="O20" s="26">
        <v>1.2</v>
      </c>
      <c r="P20" s="8"/>
      <c r="Q20" s="26">
        <v>3.6000000000000001</v>
      </c>
      <c r="R20" s="8"/>
      <c r="S20" s="26">
        <v>0.5</v>
      </c>
      <c r="T20" s="8"/>
      <c r="U20" s="26">
        <v>0.80000000000000004</v>
      </c>
      <c r="V20" s="8"/>
      <c r="W20" s="26">
        <v>1.3</v>
      </c>
      <c r="X20" s="8"/>
      <c r="Y20" s="26">
        <v>2.7999999999999998</v>
      </c>
      <c r="Z20" s="8"/>
      <c r="AA20" s="26">
        <v>0.5</v>
      </c>
      <c r="AB20" s="8"/>
      <c r="AC20" s="8"/>
    </row>
    <row r="21" ht="12" customHeight="1">
      <c r="A21" s="8" t="s">
        <v>103</v>
      </c>
      <c r="B21" s="8" t="s">
        <v>665</v>
      </c>
      <c r="C21" s="26">
        <v>1</v>
      </c>
      <c r="D21" s="8"/>
      <c r="E21" s="26">
        <v>1.1000000000000001</v>
      </c>
      <c r="F21" s="8"/>
      <c r="G21" s="26">
        <v>1.2</v>
      </c>
      <c r="H21" s="8"/>
      <c r="I21" s="26">
        <v>1.2</v>
      </c>
      <c r="J21" s="8"/>
      <c r="K21" s="26">
        <v>1.1000000000000001</v>
      </c>
      <c r="L21" s="8"/>
      <c r="M21" s="26">
        <v>1.2</v>
      </c>
      <c r="N21" s="8"/>
      <c r="O21" s="26">
        <v>1.3</v>
      </c>
      <c r="P21" s="8"/>
      <c r="Q21" s="26">
        <v>0.90000000000000002</v>
      </c>
      <c r="R21" s="8"/>
      <c r="S21" s="26">
        <v>0.80000000000000004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666</v>
      </c>
      <c r="C22" s="26">
        <v>1</v>
      </c>
      <c r="D22" s="8"/>
      <c r="E22" s="26">
        <v>1.1000000000000001</v>
      </c>
      <c r="F22" s="8"/>
      <c r="G22" s="26">
        <v>1.2</v>
      </c>
      <c r="H22" s="8"/>
      <c r="I22" s="26">
        <v>1.2</v>
      </c>
      <c r="J22" s="8"/>
      <c r="K22" s="26">
        <v>1.1000000000000001</v>
      </c>
      <c r="L22" s="8"/>
      <c r="M22" s="26">
        <v>1.2</v>
      </c>
      <c r="N22" s="8"/>
      <c r="O22" s="26">
        <v>1.3</v>
      </c>
      <c r="P22" s="8"/>
      <c r="Q22" s="26">
        <v>0.90000000000000002</v>
      </c>
      <c r="R22" s="8"/>
      <c r="S22" s="26">
        <v>0.80000000000000004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667</v>
      </c>
      <c r="C23" s="26">
        <v>1.7</v>
      </c>
      <c r="D23" s="8"/>
      <c r="E23" s="26">
        <v>0</v>
      </c>
      <c r="F23" s="8"/>
      <c r="G23" s="26">
        <v>1.7</v>
      </c>
      <c r="H23" s="8"/>
      <c r="I23" s="26">
        <v>0.69999999999999996</v>
      </c>
      <c r="J23" s="8"/>
      <c r="K23" s="26">
        <v>0.10000000000000001</v>
      </c>
      <c r="L23" s="8"/>
      <c r="M23" s="26">
        <v>0.10000000000000001</v>
      </c>
      <c r="N23" s="8"/>
      <c r="O23" s="26">
        <v>1.3</v>
      </c>
      <c r="P23" s="8"/>
      <c r="Q23" s="26">
        <v>0.29999999999999999</v>
      </c>
      <c r="R23" s="8"/>
      <c r="S23" s="26">
        <v>0</v>
      </c>
      <c r="T23" s="8"/>
      <c r="U23" s="26">
        <v>0.5</v>
      </c>
      <c r="V23" s="8"/>
      <c r="W23" s="26">
        <v>0.29999999999999999</v>
      </c>
      <c r="X23" s="8"/>
      <c r="Y23" s="26">
        <v>0.69999999999999996</v>
      </c>
      <c r="Z23" s="8"/>
      <c r="AA23" s="26">
        <v>0.80000000000000004</v>
      </c>
      <c r="AB23" s="8"/>
      <c r="AC23" s="8"/>
    </row>
    <row r="24" ht="12" customHeight="1">
      <c r="A24" s="8" t="s">
        <v>109</v>
      </c>
      <c r="B24" s="8" t="s">
        <v>668</v>
      </c>
      <c r="C24" s="26">
        <v>0.10000000000000001</v>
      </c>
      <c r="D24" s="8"/>
      <c r="E24" s="26">
        <v>0</v>
      </c>
      <c r="F24" s="8"/>
      <c r="G24" s="26">
        <v>0.10000000000000001</v>
      </c>
      <c r="H24" s="8"/>
      <c r="I24" s="26">
        <v>9.4000000000000004</v>
      </c>
      <c r="J24" s="8"/>
      <c r="K24" s="26">
        <v>0</v>
      </c>
      <c r="L24" s="8"/>
      <c r="M24" s="26">
        <v>0</v>
      </c>
      <c r="N24" s="8"/>
      <c r="O24" s="26">
        <v>0.10000000000000001</v>
      </c>
      <c r="P24" s="8"/>
      <c r="Q24" s="26">
        <v>11.300000000000001</v>
      </c>
      <c r="R24" s="8"/>
      <c r="S24" s="26">
        <v>0.20000000000000001</v>
      </c>
      <c r="T24" s="8"/>
      <c r="U24" s="26">
        <v>0.10000000000000001</v>
      </c>
      <c r="V24" s="8"/>
      <c r="W24" s="26">
        <v>0</v>
      </c>
      <c r="X24" s="8"/>
      <c r="Y24" s="26">
        <v>8.1999999999999993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669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11.6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670</v>
      </c>
      <c r="C26" s="26">
        <v>1.3999999999999999</v>
      </c>
      <c r="D26" s="8"/>
      <c r="E26" s="26">
        <v>2.7000000000000002</v>
      </c>
      <c r="F26" s="8"/>
      <c r="G26" s="26">
        <v>2.6000000000000001</v>
      </c>
      <c r="H26" s="8"/>
      <c r="I26" s="26">
        <v>-0.90000000000000002</v>
      </c>
      <c r="J26" s="8"/>
      <c r="K26" s="26">
        <v>1.7</v>
      </c>
      <c r="L26" s="8"/>
      <c r="M26" s="26">
        <v>0.20000000000000001</v>
      </c>
      <c r="N26" s="8"/>
      <c r="O26" s="26">
        <v>2.7000000000000002</v>
      </c>
      <c r="P26" s="8"/>
      <c r="Q26" s="26">
        <v>1</v>
      </c>
      <c r="R26" s="8"/>
      <c r="S26" s="26">
        <v>0.90000000000000002</v>
      </c>
      <c r="T26" s="8"/>
      <c r="U26" s="26">
        <v>2.6000000000000001</v>
      </c>
      <c r="V26" s="8"/>
      <c r="W26" s="26">
        <v>4.7000000000000002</v>
      </c>
      <c r="X26" s="8"/>
      <c r="Y26" s="26">
        <v>2.8999999999999999</v>
      </c>
      <c r="Z26" s="8"/>
      <c r="AA26" s="26">
        <v>1.7</v>
      </c>
      <c r="AB26" s="8"/>
      <c r="AC26" s="8"/>
    </row>
    <row r="27" ht="12" customHeight="1">
      <c r="A27" s="8" t="s">
        <v>115</v>
      </c>
      <c r="B27" s="8" t="s">
        <v>671</v>
      </c>
      <c r="C27" s="26">
        <v>1.2</v>
      </c>
      <c r="D27" s="8"/>
      <c r="E27" s="26">
        <v>2.5</v>
      </c>
      <c r="F27" s="8"/>
      <c r="G27" s="26">
        <v>2.5</v>
      </c>
      <c r="H27" s="8"/>
      <c r="I27" s="26">
        <v>-1.8</v>
      </c>
      <c r="J27" s="8"/>
      <c r="K27" s="26">
        <v>1.7</v>
      </c>
      <c r="L27" s="8"/>
      <c r="M27" s="26">
        <v>0.10000000000000001</v>
      </c>
      <c r="N27" s="8"/>
      <c r="O27" s="26">
        <v>3</v>
      </c>
      <c r="P27" s="8"/>
      <c r="Q27" s="26">
        <v>0.69999999999999996</v>
      </c>
      <c r="R27" s="8"/>
      <c r="S27" s="26">
        <v>0.5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672</v>
      </c>
      <c r="C28" s="26">
        <v>2.8999999999999999</v>
      </c>
      <c r="D28" s="8"/>
      <c r="E28" s="26">
        <v>-0.69999999999999996</v>
      </c>
      <c r="F28" s="8"/>
      <c r="G28" s="26">
        <v>2.7999999999999998</v>
      </c>
      <c r="H28" s="8"/>
      <c r="I28" s="26">
        <v>-1.3</v>
      </c>
      <c r="J28" s="8"/>
      <c r="K28" s="26">
        <v>0.29999999999999999</v>
      </c>
      <c r="L28" s="8"/>
      <c r="M28" s="26">
        <v>-0.80000000000000004</v>
      </c>
      <c r="N28" s="8"/>
      <c r="O28" s="26">
        <v>0.10000000000000001</v>
      </c>
      <c r="P28" s="8"/>
      <c r="Q28" s="26">
        <v>0.29999999999999999</v>
      </c>
      <c r="R28" s="8"/>
      <c r="S28" s="26">
        <v>-0.80000000000000004</v>
      </c>
      <c r="T28" s="8"/>
      <c r="U28" s="26">
        <v>-0.40000000000000002</v>
      </c>
      <c r="V28" s="8"/>
      <c r="W28" s="26">
        <v>0.20000000000000001</v>
      </c>
      <c r="X28" s="8"/>
      <c r="Y28" s="26">
        <v>-0.90000000000000002</v>
      </c>
      <c r="Z28" s="8"/>
      <c r="AA28" s="26">
        <v>0.59999999999999998</v>
      </c>
      <c r="AB28" s="8"/>
      <c r="AC28" s="8"/>
    </row>
    <row r="29" ht="12" customHeight="1">
      <c r="A29" s="8" t="s">
        <v>119</v>
      </c>
      <c r="B29" s="8" t="s">
        <v>673</v>
      </c>
      <c r="C29" s="26">
        <v>4.0999999999999996</v>
      </c>
      <c r="D29" s="8"/>
      <c r="E29" s="26">
        <v>-3</v>
      </c>
      <c r="F29" s="8"/>
      <c r="G29" s="26">
        <v>2.2999999999999998</v>
      </c>
      <c r="H29" s="8"/>
      <c r="I29" s="26">
        <v>0.40000000000000002</v>
      </c>
      <c r="J29" s="8"/>
      <c r="K29" s="26">
        <v>-2.5</v>
      </c>
      <c r="L29" s="8"/>
      <c r="M29" s="26">
        <v>-2.7000000000000002</v>
      </c>
      <c r="N29" s="8"/>
      <c r="O29" s="26">
        <v>0.29999999999999999</v>
      </c>
      <c r="P29" s="8"/>
      <c r="Q29" s="26">
        <v>3.6000000000000001</v>
      </c>
      <c r="R29" s="8"/>
      <c r="S29" s="26">
        <v>-1.6000000000000001</v>
      </c>
      <c r="T29" s="8"/>
      <c r="U29" s="26">
        <v>-1.1000000000000001</v>
      </c>
      <c r="V29" s="8"/>
      <c r="W29" s="26">
        <v>-1.6000000000000001</v>
      </c>
      <c r="X29" s="8"/>
      <c r="Y29" s="26">
        <v>-2.2000000000000002</v>
      </c>
      <c r="Z29" s="8"/>
      <c r="AA29" s="26">
        <v>4.4000000000000004</v>
      </c>
      <c r="AB29" s="8"/>
      <c r="AC29" s="8"/>
    </row>
    <row r="30" ht="12" customHeight="1">
      <c r="A30" s="8" t="s">
        <v>121</v>
      </c>
      <c r="B30" s="8" t="s">
        <v>674</v>
      </c>
      <c r="C30" s="26">
        <v>2.8999999999999999</v>
      </c>
      <c r="D30" s="8"/>
      <c r="E30" s="26">
        <v>2.1000000000000001</v>
      </c>
      <c r="F30" s="8"/>
      <c r="G30" s="26">
        <v>1</v>
      </c>
      <c r="H30" s="8"/>
      <c r="I30" s="26">
        <v>-4.0999999999999996</v>
      </c>
      <c r="J30" s="8"/>
      <c r="K30" s="26">
        <v>6.0999999999999996</v>
      </c>
      <c r="L30" s="8"/>
      <c r="M30" s="26">
        <v>-1.8</v>
      </c>
      <c r="N30" s="8"/>
      <c r="O30" s="26">
        <v>7.5999999999999996</v>
      </c>
      <c r="P30" s="8"/>
      <c r="Q30" s="26">
        <v>-2.7999999999999998</v>
      </c>
      <c r="R30" s="8"/>
      <c r="S30" s="26">
        <v>-7</v>
      </c>
      <c r="T30" s="8"/>
      <c r="U30" s="26">
        <v>4.2999999999999998</v>
      </c>
      <c r="V30" s="8"/>
      <c r="W30" s="26">
        <v>3.7000000000000002</v>
      </c>
      <c r="X30" s="8"/>
      <c r="Y30" s="26">
        <v>-1</v>
      </c>
      <c r="Z30" s="8"/>
      <c r="AA30" s="26">
        <v>-2.1000000000000001</v>
      </c>
      <c r="AB30" s="8"/>
      <c r="AC30" s="8"/>
    </row>
    <row r="31" ht="12" customHeight="1">
      <c r="A31" s="8" t="s">
        <v>123</v>
      </c>
      <c r="B31" s="8" t="s">
        <v>675</v>
      </c>
      <c r="C31" s="26">
        <v>0.80000000000000004</v>
      </c>
      <c r="D31" s="8"/>
      <c r="E31" s="26">
        <v>-1.3</v>
      </c>
      <c r="F31" s="8"/>
      <c r="G31" s="26">
        <v>3.7000000000000002</v>
      </c>
      <c r="H31" s="8"/>
      <c r="I31" s="26">
        <v>-2.2000000000000002</v>
      </c>
      <c r="J31" s="8"/>
      <c r="K31" s="26">
        <v>-0.5</v>
      </c>
      <c r="L31" s="8"/>
      <c r="M31" s="26">
        <v>-1.8</v>
      </c>
      <c r="N31" s="8"/>
      <c r="O31" s="26">
        <v>-0.69999999999999996</v>
      </c>
      <c r="P31" s="8"/>
      <c r="Q31" s="26">
        <v>-1.1000000000000001</v>
      </c>
      <c r="R31" s="8"/>
      <c r="S31" s="26">
        <v>1.6000000000000001</v>
      </c>
      <c r="T31" s="8"/>
      <c r="U31" s="26">
        <v>-1.3999999999999999</v>
      </c>
      <c r="V31" s="8"/>
      <c r="W31" s="26">
        <v>0.59999999999999998</v>
      </c>
      <c r="X31" s="8"/>
      <c r="Y31" s="26">
        <v>-0.29999999999999999</v>
      </c>
      <c r="Z31" s="8"/>
      <c r="AA31" s="26">
        <v>0.20000000000000001</v>
      </c>
      <c r="AB31" s="8"/>
      <c r="AC31" s="8"/>
    </row>
    <row r="32" ht="12" customHeight="1">
      <c r="A32" s="8" t="s">
        <v>125</v>
      </c>
      <c r="B32" s="8" t="s">
        <v>676</v>
      </c>
      <c r="C32" s="26">
        <v>5.7999999999999998</v>
      </c>
      <c r="D32" s="8"/>
      <c r="E32" s="26">
        <v>-4.5</v>
      </c>
      <c r="F32" s="8"/>
      <c r="G32" s="26">
        <v>3.7000000000000002</v>
      </c>
      <c r="H32" s="8"/>
      <c r="I32" s="26">
        <v>-3.7000000000000002</v>
      </c>
      <c r="J32" s="8"/>
      <c r="K32" s="26">
        <v>8.9000000000000004</v>
      </c>
      <c r="L32" s="8"/>
      <c r="M32" s="26">
        <v>1.1000000000000001</v>
      </c>
      <c r="N32" s="8"/>
      <c r="O32" s="26">
        <v>-0.90000000000000002</v>
      </c>
      <c r="P32" s="8"/>
      <c r="Q32" s="26">
        <v>-3.1000000000000001</v>
      </c>
      <c r="R32" s="8"/>
      <c r="S32" s="26">
        <v>-1</v>
      </c>
      <c r="T32" s="8"/>
      <c r="U32" s="26">
        <v>1.7</v>
      </c>
      <c r="V32" s="8"/>
      <c r="W32" s="26">
        <v>-1.3</v>
      </c>
      <c r="X32" s="8"/>
      <c r="Y32" s="26">
        <v>-0.90000000000000002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677</v>
      </c>
      <c r="C33" s="26">
        <v>2.7000000000000002</v>
      </c>
      <c r="D33" s="8"/>
      <c r="E33" s="26">
        <v>0.29999999999999999</v>
      </c>
      <c r="F33" s="8"/>
      <c r="G33" s="26">
        <v>3.6000000000000001</v>
      </c>
      <c r="H33" s="8"/>
      <c r="I33" s="26">
        <v>-0.10000000000000001</v>
      </c>
      <c r="J33" s="8"/>
      <c r="K33" s="26">
        <v>-0.40000000000000002</v>
      </c>
      <c r="L33" s="8"/>
      <c r="M33" s="26">
        <v>1.2</v>
      </c>
      <c r="N33" s="8"/>
      <c r="O33" s="26">
        <v>-4.0999999999999996</v>
      </c>
      <c r="P33" s="8"/>
      <c r="Q33" s="26">
        <v>-0.40000000000000002</v>
      </c>
      <c r="R33" s="8"/>
      <c r="S33" s="26">
        <v>-0.29999999999999999</v>
      </c>
      <c r="T33" s="8"/>
      <c r="U33" s="26">
        <v>-1</v>
      </c>
      <c r="V33" s="8"/>
      <c r="W33" s="26">
        <v>0.29999999999999999</v>
      </c>
      <c r="X33" s="8"/>
      <c r="Y33" s="26">
        <v>-0.10000000000000001</v>
      </c>
      <c r="Z33" s="8"/>
      <c r="AA33" s="26">
        <v>-2.1000000000000001</v>
      </c>
      <c r="AB33" s="8"/>
      <c r="AC33" s="8"/>
    </row>
    <row r="34" ht="12" customHeight="1">
      <c r="A34" s="8" t="s">
        <v>129</v>
      </c>
      <c r="B34" s="8" t="s">
        <v>678</v>
      </c>
      <c r="C34" s="26">
        <v>2.8999999999999999</v>
      </c>
      <c r="D34" s="8"/>
      <c r="E34" s="26">
        <v>2</v>
      </c>
      <c r="F34" s="8"/>
      <c r="G34" s="26">
        <v>2.2999999999999998</v>
      </c>
      <c r="H34" s="8"/>
      <c r="I34" s="26">
        <v>-0.69999999999999996</v>
      </c>
      <c r="J34" s="8"/>
      <c r="K34" s="26">
        <v>-0.40000000000000002</v>
      </c>
      <c r="L34" s="8"/>
      <c r="M34" s="26">
        <v>0.59999999999999998</v>
      </c>
      <c r="N34" s="8"/>
      <c r="O34" s="26">
        <v>0.69999999999999996</v>
      </c>
      <c r="P34" s="8"/>
      <c r="Q34" s="26">
        <v>1.6000000000000001</v>
      </c>
      <c r="R34" s="8"/>
      <c r="S34" s="26">
        <v>-0.5</v>
      </c>
      <c r="T34" s="8"/>
      <c r="U34" s="26">
        <v>-0.90000000000000002</v>
      </c>
      <c r="V34" s="8"/>
      <c r="W34" s="26">
        <v>1.3</v>
      </c>
      <c r="X34" s="8"/>
      <c r="Y34" s="26">
        <v>-0.40000000000000002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679</v>
      </c>
      <c r="C35" s="26">
        <v>1.3999999999999999</v>
      </c>
      <c r="D35" s="8"/>
      <c r="E35" s="26">
        <v>0.5</v>
      </c>
      <c r="F35" s="8"/>
      <c r="G35" s="26">
        <v>1.3999999999999999</v>
      </c>
      <c r="H35" s="8"/>
      <c r="I35" s="26">
        <v>-0.29999999999999999</v>
      </c>
      <c r="J35" s="8"/>
      <c r="K35" s="26">
        <v>1.8</v>
      </c>
      <c r="L35" s="8"/>
      <c r="M35" s="26">
        <v>1.6000000000000001</v>
      </c>
      <c r="N35" s="8"/>
      <c r="O35" s="26">
        <v>0.40000000000000002</v>
      </c>
      <c r="P35" s="8"/>
      <c r="Q35" s="26">
        <v>2.7000000000000002</v>
      </c>
      <c r="R35" s="8"/>
      <c r="S35" s="26">
        <v>-0.10000000000000001</v>
      </c>
      <c r="T35" s="8"/>
      <c r="U35" s="26">
        <v>0.29999999999999999</v>
      </c>
      <c r="V35" s="8"/>
      <c r="W35" s="26">
        <v>0</v>
      </c>
      <c r="X35" s="8"/>
      <c r="Y35" s="26">
        <v>0.10000000000000001</v>
      </c>
      <c r="Z35" s="8"/>
      <c r="AA35" s="26">
        <v>-0.5</v>
      </c>
      <c r="AB35" s="8"/>
      <c r="AC35" s="8"/>
    </row>
    <row r="36" ht="12" customHeight="1">
      <c r="A36" s="8" t="s">
        <v>133</v>
      </c>
      <c r="B36" s="8" t="s">
        <v>680</v>
      </c>
      <c r="C36" s="26">
        <v>1.6000000000000001</v>
      </c>
      <c r="D36" s="8"/>
      <c r="E36" s="26">
        <v>0.10000000000000001</v>
      </c>
      <c r="F36" s="8"/>
      <c r="G36" s="26">
        <v>1.3999999999999999</v>
      </c>
      <c r="H36" s="8"/>
      <c r="I36" s="26">
        <v>-3.3999999999999999</v>
      </c>
      <c r="J36" s="8"/>
      <c r="K36" s="26">
        <v>0.20000000000000001</v>
      </c>
      <c r="L36" s="8"/>
      <c r="M36" s="26">
        <v>-0.40000000000000002</v>
      </c>
      <c r="N36" s="8"/>
      <c r="O36" s="26">
        <v>0.59999999999999998</v>
      </c>
      <c r="P36" s="8"/>
      <c r="Q36" s="26">
        <v>6.2000000000000002</v>
      </c>
      <c r="R36" s="8"/>
      <c r="S36" s="26">
        <v>-2.5</v>
      </c>
      <c r="T36" s="8"/>
      <c r="U36" s="26">
        <v>0.20000000000000001</v>
      </c>
      <c r="V36" s="8"/>
      <c r="W36" s="26">
        <v>-0.80000000000000004</v>
      </c>
      <c r="X36" s="8"/>
      <c r="Y36" s="26">
        <v>-3.2999999999999998</v>
      </c>
      <c r="Z36" s="8"/>
      <c r="AA36" s="26">
        <v>-3.2000000000000002</v>
      </c>
      <c r="AB36" s="8"/>
      <c r="AC36" s="8"/>
    </row>
    <row r="37" ht="12" customHeight="1">
      <c r="A37" s="8" t="s">
        <v>135</v>
      </c>
      <c r="B37" s="8" t="s">
        <v>681</v>
      </c>
      <c r="C37" s="26">
        <v>1.3999999999999999</v>
      </c>
      <c r="D37" s="8"/>
      <c r="E37" s="26">
        <v>0.59999999999999998</v>
      </c>
      <c r="F37" s="8"/>
      <c r="G37" s="26">
        <v>1.3999999999999999</v>
      </c>
      <c r="H37" s="8"/>
      <c r="I37" s="26">
        <v>1</v>
      </c>
      <c r="J37" s="8"/>
      <c r="K37" s="26">
        <v>2.3999999999999999</v>
      </c>
      <c r="L37" s="8"/>
      <c r="M37" s="26">
        <v>2.3999999999999999</v>
      </c>
      <c r="N37" s="8"/>
      <c r="O37" s="26">
        <v>0.29999999999999999</v>
      </c>
      <c r="P37" s="8"/>
      <c r="Q37" s="26">
        <v>0.80000000000000004</v>
      </c>
      <c r="R37" s="8"/>
      <c r="S37" s="26">
        <v>1</v>
      </c>
      <c r="T37" s="8"/>
      <c r="U37" s="26">
        <v>0.40000000000000002</v>
      </c>
      <c r="V37" s="8"/>
      <c r="W37" s="26">
        <v>0.40000000000000002</v>
      </c>
      <c r="X37" s="8"/>
      <c r="Y37" s="26">
        <v>1.8</v>
      </c>
      <c r="Z37" s="8"/>
      <c r="AA37" s="26">
        <v>0.90000000000000002</v>
      </c>
      <c r="AB37" s="8"/>
      <c r="AC37" s="8"/>
    </row>
    <row r="38" ht="12" customHeight="1">
      <c r="A38" s="8" t="s">
        <v>137</v>
      </c>
      <c r="B38" s="8" t="s">
        <v>682</v>
      </c>
      <c r="C38" s="26">
        <v>0.80000000000000004</v>
      </c>
      <c r="D38" s="8"/>
      <c r="E38" s="26">
        <v>1.7</v>
      </c>
      <c r="F38" s="8"/>
      <c r="G38" s="26">
        <v>2.7000000000000002</v>
      </c>
      <c r="H38" s="8"/>
      <c r="I38" s="26">
        <v>3.3999999999999999</v>
      </c>
      <c r="J38" s="8"/>
      <c r="K38" s="26">
        <v>4</v>
      </c>
      <c r="L38" s="8"/>
      <c r="M38" s="26">
        <v>2.7999999999999998</v>
      </c>
      <c r="N38" s="8"/>
      <c r="O38" s="26">
        <v>0.69999999999999996</v>
      </c>
      <c r="P38" s="8"/>
      <c r="Q38" s="26">
        <v>6.4000000000000004</v>
      </c>
      <c r="R38" s="8"/>
      <c r="S38" s="26">
        <v>0.90000000000000002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683</v>
      </c>
      <c r="C39" s="26">
        <v>0.80000000000000004</v>
      </c>
      <c r="D39" s="8"/>
      <c r="E39" s="26">
        <v>-1.2</v>
      </c>
      <c r="F39" s="8"/>
      <c r="G39" s="26">
        <v>-2.1000000000000001</v>
      </c>
      <c r="H39" s="8"/>
      <c r="I39" s="26">
        <v>7.4000000000000004</v>
      </c>
      <c r="J39" s="8"/>
      <c r="K39" s="26">
        <v>-0.20000000000000001</v>
      </c>
      <c r="L39" s="8"/>
      <c r="M39" s="26">
        <v>-2.5</v>
      </c>
      <c r="N39" s="8"/>
      <c r="O39" s="26">
        <v>-0.40000000000000002</v>
      </c>
      <c r="P39" s="8"/>
      <c r="Q39" s="26">
        <v>-2.3999999999999999</v>
      </c>
      <c r="R39" s="8"/>
      <c r="S39" s="26">
        <v>1.3999999999999999</v>
      </c>
      <c r="T39" s="8"/>
      <c r="U39" s="26">
        <v>0.29999999999999999</v>
      </c>
      <c r="V39" s="8"/>
      <c r="W39" s="26">
        <v>-0.90000000000000002</v>
      </c>
      <c r="X39" s="8"/>
      <c r="Y39" s="26">
        <v>0.59999999999999998</v>
      </c>
      <c r="Z39" s="8"/>
      <c r="AA39" s="26">
        <v>2.3999999999999999</v>
      </c>
      <c r="AB39" s="8"/>
      <c r="AC39" s="8"/>
    </row>
    <row r="40" ht="12" customHeight="1">
      <c r="A40" s="8" t="s">
        <v>141</v>
      </c>
      <c r="B40" s="8" t="s">
        <v>684</v>
      </c>
      <c r="C40" s="26">
        <v>0.10000000000000001</v>
      </c>
      <c r="D40" s="8"/>
      <c r="E40" s="26">
        <v>0.90000000000000002</v>
      </c>
      <c r="F40" s="8"/>
      <c r="G40" s="26">
        <v>1.2</v>
      </c>
      <c r="H40" s="8"/>
      <c r="I40" s="26">
        <v>2.8999999999999999</v>
      </c>
      <c r="J40" s="8"/>
      <c r="K40" s="26">
        <v>-2</v>
      </c>
      <c r="L40" s="8"/>
      <c r="M40" s="26">
        <v>-1.7</v>
      </c>
      <c r="N40" s="8"/>
      <c r="O40" s="26">
        <v>-2.1000000000000001</v>
      </c>
      <c r="P40" s="8"/>
      <c r="Q40" s="26">
        <v>-1.8</v>
      </c>
      <c r="R40" s="8"/>
      <c r="S40" s="26">
        <v>1.6000000000000001</v>
      </c>
      <c r="T40" s="8"/>
      <c r="U40" s="26">
        <v>0.40000000000000002</v>
      </c>
      <c r="V40" s="8"/>
      <c r="W40" s="26">
        <v>0.5</v>
      </c>
      <c r="X40" s="8"/>
      <c r="Y40" s="26">
        <v>0</v>
      </c>
      <c r="Z40" s="8"/>
      <c r="AA40" s="26">
        <v>0.40000000000000002</v>
      </c>
      <c r="AB40" s="8"/>
      <c r="AC40" s="8"/>
    </row>
    <row r="41" ht="12" customHeight="1">
      <c r="A41" s="8" t="s">
        <v>143</v>
      </c>
      <c r="B41" s="8" t="s">
        <v>685</v>
      </c>
      <c r="C41" s="26">
        <v>-4.4000000000000004</v>
      </c>
      <c r="D41" s="8"/>
      <c r="E41" s="26">
        <v>-2.1000000000000001</v>
      </c>
      <c r="F41" s="8"/>
      <c r="G41" s="26">
        <v>-1.3</v>
      </c>
      <c r="H41" s="8"/>
      <c r="I41" s="26">
        <v>11.800000000000001</v>
      </c>
      <c r="J41" s="8"/>
      <c r="K41" s="26">
        <v>0.59999999999999998</v>
      </c>
      <c r="L41" s="8"/>
      <c r="M41" s="26">
        <v>-1.3999999999999999</v>
      </c>
      <c r="N41" s="8"/>
      <c r="O41" s="26">
        <v>1.7</v>
      </c>
      <c r="P41" s="8"/>
      <c r="Q41" s="26">
        <v>-4.5</v>
      </c>
      <c r="R41" s="8"/>
      <c r="S41" s="26">
        <v>-1</v>
      </c>
      <c r="T41" s="8"/>
      <c r="U41" s="26">
        <v>3.1000000000000001</v>
      </c>
      <c r="V41" s="8"/>
      <c r="W41" s="26">
        <v>-1.3999999999999999</v>
      </c>
      <c r="X41" s="8"/>
      <c r="Y41" s="26">
        <v>0.40000000000000002</v>
      </c>
      <c r="Z41" s="8"/>
      <c r="AA41" s="26">
        <v>1.7</v>
      </c>
      <c r="AB41" s="8"/>
      <c r="AC41" s="8"/>
    </row>
    <row r="42" ht="12" customHeight="1">
      <c r="A42" s="8" t="s">
        <v>145</v>
      </c>
      <c r="B42" s="8" t="s">
        <v>686</v>
      </c>
      <c r="C42" s="26">
        <v>-7.2999999999999998</v>
      </c>
      <c r="D42" s="8"/>
      <c r="E42" s="26">
        <v>-2.6000000000000001</v>
      </c>
      <c r="F42" s="8"/>
      <c r="G42" s="26">
        <v>-1.5</v>
      </c>
      <c r="H42" s="8"/>
      <c r="I42" s="26">
        <v>16.399999999999999</v>
      </c>
      <c r="J42" s="8"/>
      <c r="K42" s="26">
        <v>0.10000000000000001</v>
      </c>
      <c r="L42" s="8"/>
      <c r="M42" s="26">
        <v>-2.2000000000000002</v>
      </c>
      <c r="N42" s="8"/>
      <c r="O42" s="26">
        <v>0.80000000000000004</v>
      </c>
      <c r="P42" s="8"/>
      <c r="Q42" s="26">
        <v>-6.9000000000000004</v>
      </c>
      <c r="R42" s="8"/>
      <c r="S42" s="26">
        <v>-1.5</v>
      </c>
      <c r="T42" s="8"/>
      <c r="U42" s="26">
        <v>4.5999999999999996</v>
      </c>
      <c r="V42" s="8"/>
      <c r="W42" s="26">
        <v>-4.7000000000000002</v>
      </c>
      <c r="X42" s="8"/>
      <c r="Y42" s="26">
        <v>0.10000000000000001</v>
      </c>
      <c r="Z42" s="8"/>
      <c r="AA42" s="26">
        <v>2.6000000000000001</v>
      </c>
      <c r="AB42" s="8"/>
      <c r="AC42" s="8"/>
    </row>
    <row r="43" ht="12" customHeight="1">
      <c r="A43" s="8" t="s">
        <v>147</v>
      </c>
      <c r="B43" s="8" t="s">
        <v>687</v>
      </c>
      <c r="C43" s="26">
        <v>14</v>
      </c>
      <c r="D43" s="8"/>
      <c r="E43" s="26">
        <v>-2</v>
      </c>
      <c r="F43" s="8"/>
      <c r="G43" s="26">
        <v>-7.5</v>
      </c>
      <c r="H43" s="8"/>
      <c r="I43" s="26">
        <v>4.2999999999999998</v>
      </c>
      <c r="J43" s="8"/>
      <c r="K43" s="26">
        <v>0</v>
      </c>
      <c r="L43" s="8"/>
      <c r="M43" s="26">
        <v>-5.4000000000000004</v>
      </c>
      <c r="N43" s="8"/>
      <c r="O43" s="26">
        <v>-3.2000000000000002</v>
      </c>
      <c r="P43" s="8"/>
      <c r="Q43" s="26">
        <v>2</v>
      </c>
      <c r="R43" s="8"/>
      <c r="S43" s="26">
        <v>6.2000000000000002</v>
      </c>
      <c r="T43" s="8"/>
      <c r="U43" s="26">
        <v>-4.0999999999999996</v>
      </c>
      <c r="V43" s="8"/>
      <c r="W43" s="26">
        <v>-1.3</v>
      </c>
      <c r="X43" s="8"/>
      <c r="Y43" s="26">
        <v>1.8</v>
      </c>
      <c r="Z43" s="8"/>
      <c r="AA43" s="26">
        <v>5.7000000000000002</v>
      </c>
      <c r="AB43" s="8"/>
      <c r="AC43" s="8"/>
    </row>
    <row r="44" ht="12" customHeight="1">
      <c r="A44" s="11" t="s">
        <v>149</v>
      </c>
      <c r="B44" s="8" t="s">
        <v>688</v>
      </c>
      <c r="C44" s="26">
        <v>0.10000000000000001</v>
      </c>
      <c r="D44" s="8"/>
      <c r="E44" s="26">
        <v>0.29999999999999999</v>
      </c>
      <c r="F44" s="8"/>
      <c r="G44" s="26">
        <v>0.29999999999999999</v>
      </c>
      <c r="H44" s="8"/>
      <c r="I44" s="26">
        <v>1.2</v>
      </c>
      <c r="J44" s="8"/>
      <c r="K44" s="26">
        <v>2</v>
      </c>
      <c r="L44" s="8"/>
      <c r="M44" s="26">
        <v>0.40000000000000002</v>
      </c>
      <c r="N44" s="8"/>
      <c r="O44" s="26">
        <v>0.80000000000000004</v>
      </c>
      <c r="P44" s="8"/>
      <c r="Q44" s="26">
        <v>0.59999999999999998</v>
      </c>
      <c r="R44" s="8"/>
      <c r="S44" s="26">
        <v>2.1000000000000001</v>
      </c>
      <c r="T44" s="8"/>
      <c r="U44" s="26">
        <v>0.29999999999999999</v>
      </c>
      <c r="V44" s="8"/>
      <c r="W44" s="26">
        <v>-0.10000000000000001</v>
      </c>
      <c r="X44" s="8"/>
      <c r="Y44" s="26">
        <v>0.59999999999999998</v>
      </c>
      <c r="Z44" s="8"/>
      <c r="AA44" s="26">
        <v>3.8999999999999999</v>
      </c>
      <c r="AB44" s="8"/>
      <c r="AC44" s="8"/>
    </row>
    <row r="45" ht="12" customHeight="1">
      <c r="A45" s="8" t="s">
        <v>151</v>
      </c>
      <c r="B45" s="8" t="s">
        <v>689</v>
      </c>
      <c r="C45" s="26">
        <v>0.90000000000000002</v>
      </c>
      <c r="D45" s="8"/>
      <c r="E45" s="26">
        <v>0.69999999999999996</v>
      </c>
      <c r="F45" s="8"/>
      <c r="G45" s="26">
        <v>-0.90000000000000002</v>
      </c>
      <c r="H45" s="8"/>
      <c r="I45" s="26">
        <v>7.4000000000000004</v>
      </c>
      <c r="J45" s="8"/>
      <c r="K45" s="26">
        <v>1.7</v>
      </c>
      <c r="L45" s="8"/>
      <c r="M45" s="26">
        <v>-2</v>
      </c>
      <c r="N45" s="8"/>
      <c r="O45" s="26">
        <v>0</v>
      </c>
      <c r="P45" s="8"/>
      <c r="Q45" s="26">
        <v>2.6000000000000001</v>
      </c>
      <c r="R45" s="8"/>
      <c r="S45" s="26">
        <v>0.59999999999999998</v>
      </c>
      <c r="T45" s="8"/>
      <c r="U45" s="26">
        <v>-0.5</v>
      </c>
      <c r="V45" s="8"/>
      <c r="W45" s="26">
        <v>1</v>
      </c>
      <c r="X45" s="8"/>
      <c r="Y45" s="26">
        <v>7.5</v>
      </c>
      <c r="Z45" s="8"/>
      <c r="AA45" s="26">
        <v>0.20000000000000001</v>
      </c>
      <c r="AB45" s="8"/>
      <c r="AC45" s="8"/>
    </row>
    <row r="46" ht="12" customHeight="1">
      <c r="A46" s="8" t="s">
        <v>153</v>
      </c>
      <c r="B46" s="8" t="s">
        <v>690</v>
      </c>
      <c r="C46" s="26">
        <v>0</v>
      </c>
      <c r="D46" s="8"/>
      <c r="E46" s="26">
        <v>1.3</v>
      </c>
      <c r="F46" s="8"/>
      <c r="G46" s="26">
        <v>-10</v>
      </c>
      <c r="H46" s="8"/>
      <c r="I46" s="26">
        <v>-6.2999999999999998</v>
      </c>
      <c r="J46" s="8"/>
      <c r="K46" s="26">
        <v>16.100000000000001</v>
      </c>
      <c r="L46" s="8"/>
      <c r="M46" s="26">
        <v>-3.1000000000000001</v>
      </c>
      <c r="N46" s="8"/>
      <c r="O46" s="26">
        <v>8.4000000000000004</v>
      </c>
      <c r="P46" s="8"/>
      <c r="Q46" s="26">
        <v>-15.199999999999999</v>
      </c>
      <c r="R46" s="8"/>
      <c r="S46" s="26">
        <v>0</v>
      </c>
      <c r="T46" s="8"/>
      <c r="U46" s="26">
        <v>-5.2999999999999998</v>
      </c>
      <c r="V46" s="8"/>
      <c r="W46" s="26">
        <v>-7.2000000000000002</v>
      </c>
      <c r="X46" s="8"/>
      <c r="Y46" s="26">
        <v>-3.5</v>
      </c>
      <c r="Z46" s="8"/>
      <c r="AA46" s="26">
        <v>11.699999999999999</v>
      </c>
      <c r="AB46" s="8"/>
      <c r="AC46" s="8"/>
    </row>
    <row r="47" ht="12" customHeight="1">
      <c r="A47" s="8" t="s">
        <v>155</v>
      </c>
      <c r="B47" s="8" t="s">
        <v>691</v>
      </c>
      <c r="C47" s="26">
        <v>0.10000000000000001</v>
      </c>
      <c r="D47" s="8"/>
      <c r="E47" s="26">
        <v>0.40000000000000002</v>
      </c>
      <c r="F47" s="8"/>
      <c r="G47" s="26">
        <v>1</v>
      </c>
      <c r="H47" s="8"/>
      <c r="I47" s="26">
        <v>1.3999999999999999</v>
      </c>
      <c r="J47" s="8"/>
      <c r="K47" s="26">
        <v>1.2</v>
      </c>
      <c r="L47" s="8"/>
      <c r="M47" s="26">
        <v>0.69999999999999996</v>
      </c>
      <c r="N47" s="8"/>
      <c r="O47" s="26">
        <v>0.5</v>
      </c>
      <c r="P47" s="8"/>
      <c r="Q47" s="26">
        <v>1.6000000000000001</v>
      </c>
      <c r="R47" s="8"/>
      <c r="S47" s="26">
        <v>2.2999999999999998</v>
      </c>
      <c r="T47" s="8"/>
      <c r="U47" s="26">
        <v>1.7</v>
      </c>
      <c r="V47" s="8"/>
      <c r="W47" s="26">
        <v>1.3</v>
      </c>
      <c r="X47" s="8"/>
      <c r="Y47" s="26">
        <v>1.1000000000000001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692</v>
      </c>
      <c r="C48" s="26">
        <v>3.2000000000000002</v>
      </c>
      <c r="D48" s="8"/>
      <c r="E48" s="26">
        <v>1</v>
      </c>
      <c r="F48" s="8"/>
      <c r="G48" s="26">
        <v>1</v>
      </c>
      <c r="H48" s="8"/>
      <c r="I48" s="26">
        <v>1.1000000000000001</v>
      </c>
      <c r="J48" s="8"/>
      <c r="K48" s="26">
        <v>1.3</v>
      </c>
      <c r="L48" s="8"/>
      <c r="M48" s="26">
        <v>2.6000000000000001</v>
      </c>
      <c r="N48" s="8"/>
      <c r="O48" s="26">
        <v>-2.2000000000000002</v>
      </c>
      <c r="P48" s="8"/>
      <c r="Q48" s="26">
        <v>0.40000000000000002</v>
      </c>
      <c r="R48" s="8"/>
      <c r="S48" s="26">
        <v>1.8999999999999999</v>
      </c>
      <c r="T48" s="8"/>
      <c r="U48" s="26">
        <v>-0.20000000000000001</v>
      </c>
      <c r="V48" s="8"/>
      <c r="W48" s="26">
        <v>0.40000000000000002</v>
      </c>
      <c r="X48" s="8"/>
      <c r="Y48" s="26">
        <v>0.90000000000000002</v>
      </c>
      <c r="Z48" s="8"/>
      <c r="AA48" s="26">
        <v>1.8</v>
      </c>
      <c r="AB48" s="8"/>
      <c r="AC48" s="8"/>
    </row>
    <row r="49" ht="12" customHeight="1">
      <c r="A49" s="8" t="s">
        <v>159</v>
      </c>
      <c r="B49" s="8" t="s">
        <v>693</v>
      </c>
      <c r="C49" s="26">
        <v>5.9000000000000004</v>
      </c>
      <c r="D49" s="8"/>
      <c r="E49" s="26">
        <v>-4.7000000000000002</v>
      </c>
      <c r="F49" s="8"/>
      <c r="G49" s="26">
        <v>-13.800000000000001</v>
      </c>
      <c r="H49" s="8"/>
      <c r="I49" s="26">
        <v>3</v>
      </c>
      <c r="J49" s="8"/>
      <c r="K49" s="26">
        <v>7.4000000000000004</v>
      </c>
      <c r="L49" s="8"/>
      <c r="M49" s="26">
        <v>-8.4000000000000004</v>
      </c>
      <c r="N49" s="8"/>
      <c r="O49" s="26">
        <v>-8.0999999999999996</v>
      </c>
      <c r="P49" s="8"/>
      <c r="Q49" s="26">
        <v>3.7999999999999998</v>
      </c>
      <c r="R49" s="8"/>
      <c r="S49" s="26">
        <v>6.5</v>
      </c>
      <c r="T49" s="8"/>
      <c r="U49" s="26">
        <v>-7.0999999999999996</v>
      </c>
      <c r="V49" s="8"/>
      <c r="W49" s="26">
        <v>-13.699999999999999</v>
      </c>
      <c r="X49" s="8"/>
      <c r="Y49" s="26">
        <v>2.6000000000000001</v>
      </c>
      <c r="Z49" s="8"/>
      <c r="AA49" s="26">
        <v>9</v>
      </c>
      <c r="AB49" s="8"/>
      <c r="AC49" s="8"/>
    </row>
    <row r="50" ht="12" customHeight="1">
      <c r="A50" s="8" t="s">
        <v>161</v>
      </c>
      <c r="B50" s="8" t="s">
        <v>694</v>
      </c>
      <c r="C50" s="26">
        <v>1.2</v>
      </c>
      <c r="D50" s="8"/>
      <c r="E50" s="26">
        <v>1.7</v>
      </c>
      <c r="F50" s="8"/>
      <c r="G50" s="26">
        <v>0.20000000000000001</v>
      </c>
      <c r="H50" s="8"/>
      <c r="I50" s="26">
        <v>0.80000000000000004</v>
      </c>
      <c r="J50" s="8"/>
      <c r="K50" s="26">
        <v>0.40000000000000002</v>
      </c>
      <c r="L50" s="8"/>
      <c r="M50" s="26">
        <v>-0.5</v>
      </c>
      <c r="N50" s="8"/>
      <c r="O50" s="26">
        <v>0.5</v>
      </c>
      <c r="P50" s="8"/>
      <c r="Q50" s="26">
        <v>0.10000000000000001</v>
      </c>
      <c r="R50" s="8"/>
      <c r="S50" s="26">
        <v>0</v>
      </c>
      <c r="T50" s="8"/>
      <c r="U50" s="26">
        <v>0.80000000000000004</v>
      </c>
      <c r="V50" s="8"/>
      <c r="W50" s="26">
        <v>1.8</v>
      </c>
      <c r="X50" s="8"/>
      <c r="Y50" s="26">
        <v>-0.29999999999999999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695</v>
      </c>
      <c r="C51" s="26">
        <v>2.5</v>
      </c>
      <c r="D51" s="8"/>
      <c r="E51" s="26">
        <v>1.3999999999999999</v>
      </c>
      <c r="F51" s="8"/>
      <c r="G51" s="26">
        <v>3.6000000000000001</v>
      </c>
      <c r="H51" s="8"/>
      <c r="I51" s="26">
        <v>-0.29999999999999999</v>
      </c>
      <c r="J51" s="8"/>
      <c r="K51" s="26">
        <v>0.5</v>
      </c>
      <c r="L51" s="8"/>
      <c r="M51" s="26">
        <v>1.1000000000000001</v>
      </c>
      <c r="N51" s="8"/>
      <c r="O51" s="26">
        <v>-2.7000000000000002</v>
      </c>
      <c r="P51" s="8"/>
      <c r="Q51" s="26">
        <v>1.8999999999999999</v>
      </c>
      <c r="R51" s="8"/>
      <c r="S51" s="26">
        <v>1.7</v>
      </c>
      <c r="T51" s="8"/>
      <c r="U51" s="26">
        <v>-1.6000000000000001</v>
      </c>
      <c r="V51" s="8"/>
      <c r="W51" s="26">
        <v>-2.1000000000000001</v>
      </c>
      <c r="X51" s="8"/>
      <c r="Y51" s="26">
        <v>1.3</v>
      </c>
      <c r="Z51" s="8"/>
      <c r="AA51" s="26">
        <v>0.80000000000000004</v>
      </c>
      <c r="AB51" s="8"/>
      <c r="AC51" s="8"/>
    </row>
    <row r="52" ht="12" customHeight="1">
      <c r="A52" s="8" t="s">
        <v>165</v>
      </c>
      <c r="B52" s="8" t="s">
        <v>696</v>
      </c>
      <c r="C52" s="26">
        <v>2.1000000000000001</v>
      </c>
      <c r="D52" s="8"/>
      <c r="E52" s="26">
        <v>1.3999999999999999</v>
      </c>
      <c r="F52" s="8"/>
      <c r="G52" s="26">
        <v>2.2999999999999998</v>
      </c>
      <c r="H52" s="8"/>
      <c r="I52" s="26">
        <v>1.3</v>
      </c>
      <c r="J52" s="8"/>
      <c r="K52" s="26">
        <v>1.8</v>
      </c>
      <c r="L52" s="8"/>
      <c r="M52" s="26">
        <v>2.2000000000000002</v>
      </c>
      <c r="N52" s="8"/>
      <c r="O52" s="26">
        <v>2.6000000000000001</v>
      </c>
      <c r="P52" s="8"/>
      <c r="Q52" s="26">
        <v>0.59999999999999998</v>
      </c>
      <c r="R52" s="8"/>
      <c r="S52" s="26">
        <v>-0.10000000000000001</v>
      </c>
      <c r="T52" s="8"/>
      <c r="U52" s="26">
        <v>0.5</v>
      </c>
      <c r="V52" s="8"/>
      <c r="W52" s="26">
        <v>5.7000000000000002</v>
      </c>
      <c r="X52" s="8"/>
      <c r="Y52" s="26">
        <v>0.40000000000000002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697</v>
      </c>
      <c r="C53" s="26">
        <v>3.1000000000000001</v>
      </c>
      <c r="D53" s="8"/>
      <c r="E53" s="26">
        <v>1</v>
      </c>
      <c r="F53" s="8"/>
      <c r="G53" s="26">
        <v>3</v>
      </c>
      <c r="H53" s="8"/>
      <c r="I53" s="26">
        <v>2.1000000000000001</v>
      </c>
      <c r="J53" s="8"/>
      <c r="K53" s="26">
        <v>0.10000000000000001</v>
      </c>
      <c r="L53" s="8"/>
      <c r="M53" s="26">
        <v>0.10000000000000001</v>
      </c>
      <c r="N53" s="8"/>
      <c r="O53" s="26">
        <v>1.7</v>
      </c>
      <c r="P53" s="8"/>
      <c r="Q53" s="26">
        <v>0.5</v>
      </c>
      <c r="R53" s="8"/>
      <c r="S53" s="26">
        <v>0.40000000000000002</v>
      </c>
      <c r="T53" s="8"/>
      <c r="U53" s="26">
        <v>-0.69999999999999996</v>
      </c>
      <c r="V53" s="8"/>
      <c r="W53" s="26">
        <v>0.5</v>
      </c>
      <c r="X53" s="8"/>
      <c r="Y53" s="26">
        <v>2.6000000000000001</v>
      </c>
      <c r="Z53" s="8"/>
      <c r="AA53" s="26">
        <v>1.1000000000000001</v>
      </c>
      <c r="AB53" s="8"/>
      <c r="AC53" s="8"/>
    </row>
    <row r="54" ht="12" customHeight="1">
      <c r="A54" s="8" t="s">
        <v>169</v>
      </c>
      <c r="B54" s="8" t="s">
        <v>698</v>
      </c>
      <c r="C54" s="26">
        <v>5.2000000000000002</v>
      </c>
      <c r="D54" s="8"/>
      <c r="E54" s="26">
        <v>1.5</v>
      </c>
      <c r="F54" s="8"/>
      <c r="G54" s="26">
        <v>0.29999999999999999</v>
      </c>
      <c r="H54" s="8"/>
      <c r="I54" s="26">
        <v>1.3999999999999999</v>
      </c>
      <c r="J54" s="8"/>
      <c r="K54" s="26">
        <v>1</v>
      </c>
      <c r="L54" s="8"/>
      <c r="M54" s="26">
        <v>6.5999999999999996</v>
      </c>
      <c r="N54" s="8"/>
      <c r="O54" s="26">
        <v>-5.5</v>
      </c>
      <c r="P54" s="8"/>
      <c r="Q54" s="26">
        <v>-1.5</v>
      </c>
      <c r="R54" s="8"/>
      <c r="S54" s="26">
        <v>3.6000000000000001</v>
      </c>
      <c r="T54" s="8"/>
      <c r="U54" s="26">
        <v>2.1000000000000001</v>
      </c>
      <c r="V54" s="8"/>
      <c r="W54" s="26">
        <v>0.59999999999999998</v>
      </c>
      <c r="X54" s="8"/>
      <c r="Y54" s="26">
        <v>0.40000000000000002</v>
      </c>
      <c r="Z54" s="8"/>
      <c r="AA54" s="26">
        <v>3.6000000000000001</v>
      </c>
      <c r="AB54" s="8"/>
      <c r="AC54" s="8"/>
    </row>
    <row r="55" ht="12" customHeight="1">
      <c r="A55" s="11" t="s">
        <v>171</v>
      </c>
      <c r="B55" s="8" t="s">
        <v>699</v>
      </c>
      <c r="C55" s="26">
        <v>0</v>
      </c>
      <c r="D55" s="8"/>
      <c r="E55" s="26">
        <v>3.2000000000000002</v>
      </c>
      <c r="F55" s="8"/>
      <c r="G55" s="26">
        <v>0</v>
      </c>
      <c r="H55" s="8"/>
      <c r="I55" s="26">
        <v>1</v>
      </c>
      <c r="J55" s="8"/>
      <c r="K55" s="26">
        <v>0</v>
      </c>
      <c r="L55" s="8"/>
      <c r="M55" s="26">
        <v>4.2000000000000002</v>
      </c>
      <c r="N55" s="8"/>
      <c r="O55" s="26">
        <v>0</v>
      </c>
      <c r="P55" s="8"/>
      <c r="Q55" s="26">
        <v>-5.9000000000000004</v>
      </c>
      <c r="R55" s="8"/>
      <c r="S55" s="26">
        <v>0</v>
      </c>
      <c r="T55" s="8"/>
      <c r="U55" s="26">
        <v>7.2000000000000002</v>
      </c>
      <c r="V55" s="8"/>
      <c r="W55" s="26">
        <v>0</v>
      </c>
      <c r="X55" s="8"/>
      <c r="Y55" s="26">
        <v>0.59999999999999998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700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3.6000000000000001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-21.399999999999999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2.3999999999999999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701</v>
      </c>
      <c r="C57" s="26">
        <v>0</v>
      </c>
      <c r="D57" s="8"/>
      <c r="E57" s="26">
        <v>4.5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6.0999999999999996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702</v>
      </c>
      <c r="C58" s="26">
        <v>0</v>
      </c>
      <c r="D58" s="8"/>
      <c r="E58" s="26">
        <v>4.4000000000000004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5.7999999999999998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703</v>
      </c>
      <c r="C59" s="26">
        <v>0</v>
      </c>
      <c r="D59" s="8"/>
      <c r="E59" s="26">
        <v>5.9000000000000004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3.1000000000000001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704</v>
      </c>
      <c r="C60" s="26">
        <v>1.6000000000000001</v>
      </c>
      <c r="D60" s="8"/>
      <c r="E60" s="26">
        <v>1.8</v>
      </c>
      <c r="F60" s="8"/>
      <c r="G60" s="26">
        <v>2.7000000000000002</v>
      </c>
      <c r="H60" s="8"/>
      <c r="I60" s="26">
        <v>2.1000000000000001</v>
      </c>
      <c r="J60" s="8"/>
      <c r="K60" s="26">
        <v>2.2000000000000002</v>
      </c>
      <c r="L60" s="8"/>
      <c r="M60" s="26">
        <v>2.5</v>
      </c>
      <c r="N60" s="8"/>
      <c r="O60" s="26">
        <v>2.6000000000000001</v>
      </c>
      <c r="P60" s="8"/>
      <c r="Q60" s="26">
        <v>1.5</v>
      </c>
      <c r="R60" s="8"/>
      <c r="S60" s="26">
        <v>1.5</v>
      </c>
      <c r="T60" s="8"/>
      <c r="U60" s="26">
        <v>1.3999999999999999</v>
      </c>
      <c r="V60" s="8"/>
      <c r="W60" s="26">
        <v>1.3999999999999999</v>
      </c>
      <c r="X60" s="8"/>
      <c r="Y60" s="26">
        <v>0.80000000000000004</v>
      </c>
      <c r="Z60" s="8"/>
      <c r="AA60" s="26">
        <v>0.59999999999999998</v>
      </c>
      <c r="AB60" s="8"/>
      <c r="AC60" s="8"/>
    </row>
    <row r="61" ht="12" customHeight="1">
      <c r="A61" s="8" t="s">
        <v>183</v>
      </c>
      <c r="B61" s="8" t="s">
        <v>705</v>
      </c>
      <c r="C61" s="26">
        <v>2</v>
      </c>
      <c r="D61" s="8"/>
      <c r="E61" s="26">
        <v>1.3999999999999999</v>
      </c>
      <c r="F61" s="8"/>
      <c r="G61" s="26">
        <v>2.3999999999999999</v>
      </c>
      <c r="H61" s="8"/>
      <c r="I61" s="26">
        <v>-0.40000000000000002</v>
      </c>
      <c r="J61" s="8"/>
      <c r="K61" s="26">
        <v>-0.10000000000000001</v>
      </c>
      <c r="L61" s="8"/>
      <c r="M61" s="26">
        <v>0.29999999999999999</v>
      </c>
      <c r="N61" s="8"/>
      <c r="O61" s="26">
        <v>0.5</v>
      </c>
      <c r="P61" s="8"/>
      <c r="Q61" s="26">
        <v>-0.20000000000000001</v>
      </c>
      <c r="R61" s="8"/>
      <c r="S61" s="26">
        <v>0.29999999999999999</v>
      </c>
      <c r="T61" s="8"/>
      <c r="U61" s="26">
        <v>0.59999999999999998</v>
      </c>
      <c r="V61" s="8"/>
      <c r="W61" s="26">
        <v>1.1000000000000001</v>
      </c>
      <c r="X61" s="8"/>
      <c r="Y61" s="26">
        <v>0.20000000000000001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706</v>
      </c>
      <c r="C62" s="26">
        <v>2</v>
      </c>
      <c r="D62" s="8"/>
      <c r="E62" s="26">
        <v>0.59999999999999998</v>
      </c>
      <c r="F62" s="8"/>
      <c r="G62" s="26">
        <v>-1.3</v>
      </c>
      <c r="H62" s="8"/>
      <c r="I62" s="26">
        <v>0.80000000000000004</v>
      </c>
      <c r="J62" s="8"/>
      <c r="K62" s="26">
        <v>1.6000000000000001</v>
      </c>
      <c r="L62" s="8"/>
      <c r="M62" s="26">
        <v>0.59999999999999998</v>
      </c>
      <c r="N62" s="8"/>
      <c r="O62" s="26">
        <v>2.6000000000000001</v>
      </c>
      <c r="P62" s="8"/>
      <c r="Q62" s="26">
        <v>1.1000000000000001</v>
      </c>
      <c r="R62" s="8"/>
      <c r="S62" s="26">
        <v>2</v>
      </c>
      <c r="T62" s="8"/>
      <c r="U62" s="26">
        <v>0.29999999999999999</v>
      </c>
      <c r="V62" s="8"/>
      <c r="W62" s="26">
        <v>3</v>
      </c>
      <c r="X62" s="8"/>
      <c r="Y62" s="26">
        <v>1.1000000000000001</v>
      </c>
      <c r="Z62" s="8"/>
      <c r="AA62" s="26">
        <v>3.6000000000000001</v>
      </c>
      <c r="AB62" s="8"/>
      <c r="AC62" s="8"/>
    </row>
    <row r="63" ht="12" customHeight="1">
      <c r="A63" s="8" t="s">
        <v>187</v>
      </c>
      <c r="B63" s="8" t="s">
        <v>707</v>
      </c>
      <c r="C63" s="26">
        <v>1.7</v>
      </c>
      <c r="D63" s="8"/>
      <c r="E63" s="26">
        <v>2.2999999999999998</v>
      </c>
      <c r="F63" s="8"/>
      <c r="G63" s="26">
        <v>3.6000000000000001</v>
      </c>
      <c r="H63" s="8"/>
      <c r="I63" s="26">
        <v>3.7999999999999998</v>
      </c>
      <c r="J63" s="8"/>
      <c r="K63" s="26">
        <v>3.7999999999999998</v>
      </c>
      <c r="L63" s="8"/>
      <c r="M63" s="26">
        <v>4.2000000000000002</v>
      </c>
      <c r="N63" s="8"/>
      <c r="O63" s="26">
        <v>3.7000000000000002</v>
      </c>
      <c r="P63" s="8"/>
      <c r="Q63" s="26">
        <v>2.7999999999999998</v>
      </c>
      <c r="R63" s="8"/>
      <c r="S63" s="26">
        <v>2.2999999999999998</v>
      </c>
      <c r="T63" s="8"/>
      <c r="U63" s="26">
        <v>1.7</v>
      </c>
      <c r="V63" s="8"/>
      <c r="W63" s="26">
        <v>1.5</v>
      </c>
      <c r="X63" s="8"/>
      <c r="Y63" s="26">
        <v>1.1000000000000001</v>
      </c>
      <c r="Z63" s="8"/>
      <c r="AA63" s="26">
        <v>0.90000000000000002</v>
      </c>
      <c r="AB63" s="8"/>
      <c r="AC63" s="8"/>
    </row>
    <row r="64" ht="12" customHeight="1">
      <c r="A64" s="8" t="s">
        <v>189</v>
      </c>
      <c r="B64" s="8" t="s">
        <v>708</v>
      </c>
      <c r="C64" s="26">
        <v>-2.2999999999999998</v>
      </c>
      <c r="D64" s="8"/>
      <c r="E64" s="26">
        <v>-2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-3</v>
      </c>
      <c r="R64" s="8"/>
      <c r="S64" s="26">
        <v>-2.2000000000000002</v>
      </c>
      <c r="T64" s="8"/>
      <c r="U64" s="26">
        <v>0</v>
      </c>
      <c r="V64" s="8"/>
      <c r="W64" s="26">
        <v>-0.80000000000000004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709</v>
      </c>
      <c r="C65" s="26">
        <v>0.20000000000000001</v>
      </c>
      <c r="D65" s="8"/>
      <c r="E65" s="26">
        <v>1.3</v>
      </c>
      <c r="F65" s="8"/>
      <c r="G65" s="26">
        <v>1.2</v>
      </c>
      <c r="H65" s="8"/>
      <c r="I65" s="26">
        <v>0.69999999999999996</v>
      </c>
      <c r="J65" s="8"/>
      <c r="K65" s="26">
        <v>0.29999999999999999</v>
      </c>
      <c r="L65" s="8"/>
      <c r="M65" s="26">
        <v>0.59999999999999998</v>
      </c>
      <c r="N65" s="8"/>
      <c r="O65" s="26">
        <v>1.8999999999999999</v>
      </c>
      <c r="P65" s="8"/>
      <c r="Q65" s="26">
        <v>0</v>
      </c>
      <c r="R65" s="8"/>
      <c r="S65" s="26">
        <v>0.90000000000000002</v>
      </c>
      <c r="T65" s="8"/>
      <c r="U65" s="26">
        <v>0.59999999999999998</v>
      </c>
      <c r="V65" s="8"/>
      <c r="W65" s="26">
        <v>1.3</v>
      </c>
      <c r="X65" s="8"/>
      <c r="Y65" s="26">
        <v>-0.69999999999999996</v>
      </c>
      <c r="Z65" s="8"/>
      <c r="AA65" s="26">
        <v>0.10000000000000001</v>
      </c>
      <c r="AB65" s="8"/>
      <c r="AC65" s="8"/>
    </row>
    <row r="66" ht="12" customHeight="1">
      <c r="A66" s="11" t="s">
        <v>193</v>
      </c>
      <c r="B66" s="8" t="s">
        <v>710</v>
      </c>
      <c r="C66" s="26">
        <v>6.4000000000000004</v>
      </c>
      <c r="D66" s="8"/>
      <c r="E66" s="26">
        <v>6.7999999999999998</v>
      </c>
      <c r="F66" s="8"/>
      <c r="G66" s="26">
        <v>3.1000000000000001</v>
      </c>
      <c r="H66" s="8"/>
      <c r="I66" s="26">
        <v>8.4000000000000004</v>
      </c>
      <c r="J66" s="8"/>
      <c r="K66" s="26">
        <v>9.8000000000000007</v>
      </c>
      <c r="L66" s="8"/>
      <c r="M66" s="26">
        <v>4.5999999999999996</v>
      </c>
      <c r="N66" s="8"/>
      <c r="O66" s="26">
        <v>2.1000000000000001</v>
      </c>
      <c r="P66" s="8"/>
      <c r="Q66" s="26">
        <v>0.90000000000000002</v>
      </c>
      <c r="R66" s="8"/>
      <c r="S66" s="26">
        <v>-0.59999999999999998</v>
      </c>
      <c r="T66" s="8"/>
      <c r="U66" s="26">
        <v>-2</v>
      </c>
      <c r="V66" s="8"/>
      <c r="W66" s="26">
        <v>-6.4000000000000004</v>
      </c>
      <c r="X66" s="8"/>
      <c r="Y66" s="26">
        <v>-6.5</v>
      </c>
      <c r="Z66" s="8"/>
      <c r="AA66" s="26">
        <v>-4.0999999999999996</v>
      </c>
      <c r="AB66" s="8"/>
      <c r="AC66" s="8"/>
    </row>
    <row r="67" ht="12" customHeight="1">
      <c r="A67" s="8" t="s">
        <v>195</v>
      </c>
      <c r="B67" s="8" t="s">
        <v>711</v>
      </c>
      <c r="C67" s="26">
        <v>6.4000000000000004</v>
      </c>
      <c r="D67" s="8"/>
      <c r="E67" s="26">
        <v>6.7999999999999998</v>
      </c>
      <c r="F67" s="8"/>
      <c r="G67" s="26">
        <v>3.1000000000000001</v>
      </c>
      <c r="H67" s="8"/>
      <c r="I67" s="26">
        <v>8.4000000000000004</v>
      </c>
      <c r="J67" s="8"/>
      <c r="K67" s="26">
        <v>9.8000000000000007</v>
      </c>
      <c r="L67" s="8"/>
      <c r="M67" s="26">
        <v>4.5999999999999996</v>
      </c>
      <c r="N67" s="8"/>
      <c r="O67" s="26">
        <v>2.1000000000000001</v>
      </c>
      <c r="P67" s="8"/>
      <c r="Q67" s="26">
        <v>0.90000000000000002</v>
      </c>
      <c r="R67" s="8"/>
      <c r="S67" s="26">
        <v>-0.59999999999999998</v>
      </c>
      <c r="T67" s="8"/>
      <c r="U67" s="26">
        <v>-2</v>
      </c>
      <c r="V67" s="8"/>
      <c r="W67" s="26">
        <v>-6.4000000000000004</v>
      </c>
      <c r="X67" s="8"/>
      <c r="Y67" s="26">
        <v>-6.5</v>
      </c>
      <c r="Z67" s="8"/>
      <c r="AA67" s="26">
        <v>-4.0999999999999996</v>
      </c>
      <c r="AB67" s="8"/>
      <c r="AC67" s="8"/>
    </row>
    <row r="68" ht="12" customHeight="1">
      <c r="A68" s="13" t="s">
        <v>69</v>
      </c>
      <c r="B68" s="10" t="s">
        <v>56</v>
      </c>
      <c r="C68" s="27">
        <v>1.7</v>
      </c>
      <c r="D68" s="10"/>
      <c r="E68" s="27">
        <v>1.7</v>
      </c>
      <c r="F68" s="10"/>
      <c r="G68" s="27">
        <v>1.3999999999999999</v>
      </c>
      <c r="H68" s="10"/>
      <c r="I68" s="27">
        <v>2.7999999999999998</v>
      </c>
      <c r="J68" s="10"/>
      <c r="K68" s="27">
        <v>1.3</v>
      </c>
      <c r="L68" s="10"/>
      <c r="M68" s="27">
        <v>1</v>
      </c>
      <c r="N68" s="10"/>
      <c r="O68" s="27">
        <v>0.5</v>
      </c>
      <c r="P68" s="10"/>
      <c r="Q68" s="27">
        <v>0.90000000000000002</v>
      </c>
      <c r="R68" s="10"/>
      <c r="S68" s="27">
        <v>0.40000000000000002</v>
      </c>
      <c r="T68" s="10"/>
      <c r="U68" s="27">
        <v>0.5</v>
      </c>
      <c r="V68" s="10"/>
      <c r="W68" s="27">
        <v>-0.10000000000000001</v>
      </c>
      <c r="X68" s="10"/>
      <c r="Y68" s="27">
        <v>0.40000000000000002</v>
      </c>
      <c r="Z68" s="10"/>
      <c r="AA68" s="27">
        <v>0.29999999999999999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713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651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652</v>
      </c>
      <c r="C8" s="22">
        <v>10.5</v>
      </c>
      <c r="D8" s="22"/>
      <c r="E8" s="22">
        <v>11.1</v>
      </c>
      <c r="F8" s="22"/>
      <c r="G8" s="22">
        <v>12.199999999999999</v>
      </c>
      <c r="H8" s="22"/>
      <c r="I8" s="22">
        <v>8.6999999999999993</v>
      </c>
      <c r="J8" s="22"/>
      <c r="K8" s="22">
        <v>5.9000000000000004</v>
      </c>
      <c r="L8" s="22"/>
      <c r="M8" s="22">
        <v>2.6000000000000001</v>
      </c>
      <c r="N8" s="22"/>
      <c r="O8" s="22">
        <v>0.40000000000000002</v>
      </c>
      <c r="P8" s="22"/>
      <c r="Q8" s="22">
        <v>0.80000000000000004</v>
      </c>
      <c r="R8" s="22"/>
      <c r="S8" s="22">
        <v>1.3</v>
      </c>
      <c r="T8" s="22"/>
      <c r="U8" s="22">
        <v>2.6000000000000001</v>
      </c>
      <c r="V8" s="22"/>
      <c r="W8" s="22">
        <v>4.2000000000000002</v>
      </c>
      <c r="X8" s="22"/>
      <c r="Y8" s="22">
        <v>4.5</v>
      </c>
      <c r="Z8" s="22"/>
      <c r="AA8" s="22">
        <v>4.2999999999999998</v>
      </c>
      <c r="AB8" s="22"/>
      <c r="AC8" s="18"/>
    </row>
    <row r="9" ht="12" customHeight="1">
      <c r="A9" s="8" t="s">
        <v>79</v>
      </c>
      <c r="B9" s="8" t="s">
        <v>653</v>
      </c>
      <c r="C9" s="26">
        <v>19.600000000000001</v>
      </c>
      <c r="D9" s="8"/>
      <c r="E9" s="26">
        <v>20.300000000000001</v>
      </c>
      <c r="F9" s="8"/>
      <c r="G9" s="26">
        <v>21.699999999999999</v>
      </c>
      <c r="H9" s="8"/>
      <c r="I9" s="26">
        <v>5.2999999999999998</v>
      </c>
      <c r="J9" s="8"/>
      <c r="K9" s="26">
        <v>4.9000000000000004</v>
      </c>
      <c r="L9" s="8"/>
      <c r="M9" s="26">
        <v>-7.2000000000000002</v>
      </c>
      <c r="N9" s="8"/>
      <c r="O9" s="26">
        <v>-13.9</v>
      </c>
      <c r="P9" s="8"/>
      <c r="Q9" s="26">
        <v>-10.4</v>
      </c>
      <c r="R9" s="8"/>
      <c r="S9" s="26">
        <v>-9</v>
      </c>
      <c r="T9" s="8"/>
      <c r="U9" s="26">
        <v>-4.5</v>
      </c>
      <c r="V9" s="8"/>
      <c r="W9" s="26">
        <v>5.4000000000000004</v>
      </c>
      <c r="X9" s="8"/>
      <c r="Y9" s="26">
        <v>7.7000000000000002</v>
      </c>
      <c r="Z9" s="8"/>
      <c r="AA9" s="26">
        <v>3.8999999999999999</v>
      </c>
      <c r="AB9" s="8"/>
      <c r="AC9" s="8"/>
    </row>
    <row r="10" ht="12" customHeight="1">
      <c r="A10" s="8" t="s">
        <v>81</v>
      </c>
      <c r="B10" s="8" t="s">
        <v>654</v>
      </c>
      <c r="C10" s="26">
        <v>10.699999999999999</v>
      </c>
      <c r="D10" s="8"/>
      <c r="E10" s="26">
        <v>9</v>
      </c>
      <c r="F10" s="8"/>
      <c r="G10" s="26">
        <v>10.699999999999999</v>
      </c>
      <c r="H10" s="8"/>
      <c r="I10" s="26">
        <v>8.0999999999999996</v>
      </c>
      <c r="J10" s="8"/>
      <c r="K10" s="26">
        <v>2.2999999999999998</v>
      </c>
      <c r="L10" s="8"/>
      <c r="M10" s="26">
        <v>0.29999999999999999</v>
      </c>
      <c r="N10" s="8"/>
      <c r="O10" s="26">
        <v>-0.59999999999999998</v>
      </c>
      <c r="P10" s="8"/>
      <c r="Q10" s="26">
        <v>-0.10000000000000001</v>
      </c>
      <c r="R10" s="8"/>
      <c r="S10" s="26">
        <v>1.8</v>
      </c>
      <c r="T10" s="8"/>
      <c r="U10" s="26">
        <v>3.7000000000000002</v>
      </c>
      <c r="V10" s="8"/>
      <c r="W10" s="26">
        <v>4.5</v>
      </c>
      <c r="X10" s="8"/>
      <c r="Y10" s="26">
        <v>7.0999999999999996</v>
      </c>
      <c r="Z10" s="8"/>
      <c r="AA10" s="26">
        <v>7.2000000000000002</v>
      </c>
      <c r="AB10" s="8"/>
      <c r="AC10" s="8"/>
    </row>
    <row r="11" ht="12" customHeight="1">
      <c r="A11" s="8" t="s">
        <v>83</v>
      </c>
      <c r="B11" s="8" t="s">
        <v>655</v>
      </c>
      <c r="C11" s="26">
        <v>10.1</v>
      </c>
      <c r="D11" s="8"/>
      <c r="E11" s="26">
        <v>12.1</v>
      </c>
      <c r="F11" s="8"/>
      <c r="G11" s="26">
        <v>13</v>
      </c>
      <c r="H11" s="8"/>
      <c r="I11" s="26">
        <v>10.800000000000001</v>
      </c>
      <c r="J11" s="8"/>
      <c r="K11" s="26">
        <v>6.5999999999999996</v>
      </c>
      <c r="L11" s="8"/>
      <c r="M11" s="26">
        <v>3.6000000000000001</v>
      </c>
      <c r="N11" s="8"/>
      <c r="O11" s="26">
        <v>2.1000000000000001</v>
      </c>
      <c r="P11" s="8"/>
      <c r="Q11" s="26">
        <v>2.6000000000000001</v>
      </c>
      <c r="R11" s="8"/>
      <c r="S11" s="26">
        <v>2.7999999999999998</v>
      </c>
      <c r="T11" s="8"/>
      <c r="U11" s="26">
        <v>4.5</v>
      </c>
      <c r="V11" s="8"/>
      <c r="W11" s="26">
        <v>4.9000000000000004</v>
      </c>
      <c r="X11" s="8"/>
      <c r="Y11" s="26">
        <v>4.5</v>
      </c>
      <c r="Z11" s="8"/>
      <c r="AA11" s="26">
        <v>4.5</v>
      </c>
      <c r="AB11" s="8"/>
      <c r="AC11" s="8"/>
    </row>
    <row r="12" ht="12" customHeight="1">
      <c r="A12" s="8" t="s">
        <v>85</v>
      </c>
      <c r="B12" s="8" t="s">
        <v>656</v>
      </c>
      <c r="C12" s="26">
        <v>8</v>
      </c>
      <c r="D12" s="8"/>
      <c r="E12" s="26">
        <v>7.9000000000000004</v>
      </c>
      <c r="F12" s="8"/>
      <c r="G12" s="26">
        <v>10</v>
      </c>
      <c r="H12" s="8"/>
      <c r="I12" s="26">
        <v>8.9000000000000004</v>
      </c>
      <c r="J12" s="8"/>
      <c r="K12" s="26">
        <v>5.5999999999999996</v>
      </c>
      <c r="L12" s="8"/>
      <c r="M12" s="26">
        <v>4.2000000000000002</v>
      </c>
      <c r="N12" s="8"/>
      <c r="O12" s="26">
        <v>3.8999999999999999</v>
      </c>
      <c r="P12" s="8"/>
      <c r="Q12" s="26">
        <v>4</v>
      </c>
      <c r="R12" s="8"/>
      <c r="S12" s="26">
        <v>4</v>
      </c>
      <c r="T12" s="8"/>
      <c r="U12" s="26">
        <v>5.5999999999999996</v>
      </c>
      <c r="V12" s="8"/>
      <c r="W12" s="26">
        <v>6.0999999999999996</v>
      </c>
      <c r="X12" s="8"/>
      <c r="Y12" s="26">
        <v>4.4000000000000004</v>
      </c>
      <c r="Z12" s="8"/>
      <c r="AA12" s="26">
        <v>5.2000000000000002</v>
      </c>
      <c r="AB12" s="8"/>
      <c r="AC12" s="8"/>
    </row>
    <row r="13" ht="12" customHeight="1">
      <c r="A13" s="8" t="s">
        <v>87</v>
      </c>
      <c r="B13" s="8" t="s">
        <v>657</v>
      </c>
      <c r="C13" s="26">
        <v>7.7000000000000002</v>
      </c>
      <c r="D13" s="8"/>
      <c r="E13" s="26">
        <v>8.3000000000000007</v>
      </c>
      <c r="F13" s="8"/>
      <c r="G13" s="26">
        <v>8.8000000000000007</v>
      </c>
      <c r="H13" s="8"/>
      <c r="I13" s="26">
        <v>8.6999999999999993</v>
      </c>
      <c r="J13" s="8"/>
      <c r="K13" s="26">
        <v>7.4000000000000004</v>
      </c>
      <c r="L13" s="8"/>
      <c r="M13" s="26">
        <v>6.5999999999999996</v>
      </c>
      <c r="N13" s="8"/>
      <c r="O13" s="26">
        <v>4.7000000000000002</v>
      </c>
      <c r="P13" s="8"/>
      <c r="Q13" s="26">
        <v>3.5</v>
      </c>
      <c r="R13" s="8"/>
      <c r="S13" s="26">
        <v>3.2000000000000002</v>
      </c>
      <c r="T13" s="8"/>
      <c r="U13" s="26">
        <v>2.3999999999999999</v>
      </c>
      <c r="V13" s="8"/>
      <c r="W13" s="26">
        <v>2.1000000000000001</v>
      </c>
      <c r="X13" s="8"/>
      <c r="Y13" s="26">
        <v>2.2999999999999998</v>
      </c>
      <c r="Z13" s="8"/>
      <c r="AA13" s="26">
        <v>2.3999999999999999</v>
      </c>
      <c r="AB13" s="8"/>
      <c r="AC13" s="8"/>
    </row>
    <row r="14" ht="12" customHeight="1">
      <c r="A14" s="11" t="s">
        <v>89</v>
      </c>
      <c r="B14" s="8" t="s">
        <v>658</v>
      </c>
      <c r="C14" s="26">
        <v>6.0999999999999996</v>
      </c>
      <c r="D14" s="8"/>
      <c r="E14" s="26">
        <v>7.2000000000000002</v>
      </c>
      <c r="F14" s="8"/>
      <c r="G14" s="26">
        <v>7.4000000000000004</v>
      </c>
      <c r="H14" s="8"/>
      <c r="I14" s="26">
        <v>6.7999999999999998</v>
      </c>
      <c r="J14" s="8"/>
      <c r="K14" s="26">
        <v>7.2000000000000002</v>
      </c>
      <c r="L14" s="8"/>
      <c r="M14" s="26">
        <v>6.4000000000000004</v>
      </c>
      <c r="N14" s="8"/>
      <c r="O14" s="26">
        <v>6</v>
      </c>
      <c r="P14" s="8"/>
      <c r="Q14" s="26">
        <v>5.2999999999999998</v>
      </c>
      <c r="R14" s="8"/>
      <c r="S14" s="26">
        <v>4.2999999999999998</v>
      </c>
      <c r="T14" s="8"/>
      <c r="U14" s="26">
        <v>3.1000000000000001</v>
      </c>
      <c r="V14" s="8"/>
      <c r="W14" s="26">
        <v>1.7</v>
      </c>
      <c r="X14" s="8"/>
      <c r="Y14" s="26">
        <v>1.8</v>
      </c>
      <c r="Z14" s="8"/>
      <c r="AA14" s="26">
        <v>1.3999999999999999</v>
      </c>
      <c r="AB14" s="8"/>
      <c r="AC14" s="8"/>
    </row>
    <row r="15" ht="12" customHeight="1">
      <c r="A15" s="8" t="s">
        <v>91</v>
      </c>
      <c r="B15" s="8" t="s">
        <v>659</v>
      </c>
      <c r="C15" s="26">
        <v>6.4000000000000004</v>
      </c>
      <c r="D15" s="8"/>
      <c r="E15" s="26">
        <v>6.7999999999999998</v>
      </c>
      <c r="F15" s="8"/>
      <c r="G15" s="26">
        <v>7</v>
      </c>
      <c r="H15" s="8"/>
      <c r="I15" s="26">
        <v>6.0999999999999996</v>
      </c>
      <c r="J15" s="8"/>
      <c r="K15" s="26">
        <v>5.4000000000000004</v>
      </c>
      <c r="L15" s="8"/>
      <c r="M15" s="26">
        <v>4.5999999999999996</v>
      </c>
      <c r="N15" s="8"/>
      <c r="O15" s="26">
        <v>4.0999999999999996</v>
      </c>
      <c r="P15" s="8"/>
      <c r="Q15" s="26">
        <v>3.2000000000000002</v>
      </c>
      <c r="R15" s="8"/>
      <c r="S15" s="26">
        <v>3</v>
      </c>
      <c r="T15" s="8"/>
      <c r="U15" s="26">
        <v>2.7999999999999998</v>
      </c>
      <c r="V15" s="8"/>
      <c r="W15" s="26">
        <v>0.80000000000000004</v>
      </c>
      <c r="X15" s="8"/>
      <c r="Y15" s="26">
        <v>0.90000000000000002</v>
      </c>
      <c r="Z15" s="8"/>
      <c r="AA15" s="26">
        <v>0.29999999999999999</v>
      </c>
      <c r="AB15" s="8"/>
      <c r="AC15" s="8"/>
    </row>
    <row r="16" ht="12" customHeight="1">
      <c r="A16" s="8" t="s">
        <v>93</v>
      </c>
      <c r="B16" s="8" t="s">
        <v>660</v>
      </c>
      <c r="C16" s="26">
        <v>5.2000000000000002</v>
      </c>
      <c r="D16" s="8"/>
      <c r="E16" s="26">
        <v>8.3000000000000007</v>
      </c>
      <c r="F16" s="8"/>
      <c r="G16" s="26">
        <v>8.5</v>
      </c>
      <c r="H16" s="8"/>
      <c r="I16" s="26">
        <v>8.8000000000000007</v>
      </c>
      <c r="J16" s="8"/>
      <c r="K16" s="26">
        <v>11.5</v>
      </c>
      <c r="L16" s="8"/>
      <c r="M16" s="26">
        <v>10.4</v>
      </c>
      <c r="N16" s="8"/>
      <c r="O16" s="26">
        <v>10.199999999999999</v>
      </c>
      <c r="P16" s="8"/>
      <c r="Q16" s="26">
        <v>10</v>
      </c>
      <c r="R16" s="8"/>
      <c r="S16" s="26">
        <v>7.2999999999999998</v>
      </c>
      <c r="T16" s="8"/>
      <c r="U16" s="26">
        <v>4.9000000000000004</v>
      </c>
      <c r="V16" s="8"/>
      <c r="W16" s="26">
        <v>5.2000000000000002</v>
      </c>
      <c r="X16" s="8"/>
      <c r="Y16" s="26">
        <v>4.9000000000000004</v>
      </c>
      <c r="Z16" s="8"/>
      <c r="AA16" s="26">
        <v>5.7999999999999998</v>
      </c>
      <c r="AB16" s="8"/>
      <c r="AC16" s="8"/>
    </row>
    <row r="17" ht="12" customHeight="1">
      <c r="A17" s="11" t="s">
        <v>95</v>
      </c>
      <c r="B17" s="8" t="s">
        <v>661</v>
      </c>
      <c r="C17" s="26">
        <v>1.8</v>
      </c>
      <c r="D17" s="8"/>
      <c r="E17" s="26">
        <v>2</v>
      </c>
      <c r="F17" s="8"/>
      <c r="G17" s="26">
        <v>4.9000000000000004</v>
      </c>
      <c r="H17" s="8"/>
      <c r="I17" s="26">
        <v>4.0999999999999996</v>
      </c>
      <c r="J17" s="8"/>
      <c r="K17" s="26">
        <v>4.2999999999999998</v>
      </c>
      <c r="L17" s="8"/>
      <c r="M17" s="26">
        <v>5</v>
      </c>
      <c r="N17" s="8"/>
      <c r="O17" s="26">
        <v>1.8999999999999999</v>
      </c>
      <c r="P17" s="8"/>
      <c r="Q17" s="26">
        <v>1.2</v>
      </c>
      <c r="R17" s="8"/>
      <c r="S17" s="26">
        <v>-0.90000000000000002</v>
      </c>
      <c r="T17" s="8"/>
      <c r="U17" s="26">
        <v>-0.90000000000000002</v>
      </c>
      <c r="V17" s="8"/>
      <c r="W17" s="26">
        <v>-1.1000000000000001</v>
      </c>
      <c r="X17" s="8"/>
      <c r="Y17" s="26">
        <v>-0.29999999999999999</v>
      </c>
      <c r="Z17" s="8"/>
      <c r="AA17" s="26">
        <v>1.6000000000000001</v>
      </c>
      <c r="AB17" s="8"/>
      <c r="AC17" s="8"/>
    </row>
    <row r="18" ht="12" customHeight="1">
      <c r="A18" s="8" t="s">
        <v>97</v>
      </c>
      <c r="B18" s="8" t="s">
        <v>662</v>
      </c>
      <c r="C18" s="26">
        <v>1.3999999999999999</v>
      </c>
      <c r="D18" s="8"/>
      <c r="E18" s="26">
        <v>1.3999999999999999</v>
      </c>
      <c r="F18" s="8"/>
      <c r="G18" s="26">
        <v>5.4000000000000004</v>
      </c>
      <c r="H18" s="8"/>
      <c r="I18" s="26">
        <v>4.7999999999999998</v>
      </c>
      <c r="J18" s="8"/>
      <c r="K18" s="26">
        <v>5.0999999999999996</v>
      </c>
      <c r="L18" s="8"/>
      <c r="M18" s="26">
        <v>6</v>
      </c>
      <c r="N18" s="8"/>
      <c r="O18" s="26">
        <v>1.8</v>
      </c>
      <c r="P18" s="8"/>
      <c r="Q18" s="26">
        <v>0.90000000000000002</v>
      </c>
      <c r="R18" s="8"/>
      <c r="S18" s="26">
        <v>-1.5</v>
      </c>
      <c r="T18" s="8"/>
      <c r="U18" s="26">
        <v>-1.8999999999999999</v>
      </c>
      <c r="V18" s="8"/>
      <c r="W18" s="26">
        <v>-0.80000000000000004</v>
      </c>
      <c r="X18" s="8"/>
      <c r="Y18" s="26">
        <v>-0.5</v>
      </c>
      <c r="Z18" s="8"/>
      <c r="AA18" s="26">
        <v>1.8</v>
      </c>
      <c r="AB18" s="8"/>
      <c r="AC18" s="8"/>
    </row>
    <row r="19" ht="12" customHeight="1">
      <c r="A19" s="8" t="s">
        <v>99</v>
      </c>
      <c r="B19" s="8" t="s">
        <v>663</v>
      </c>
      <c r="C19" s="26">
        <v>3.1000000000000001</v>
      </c>
      <c r="D19" s="8"/>
      <c r="E19" s="26">
        <v>4.4000000000000004</v>
      </c>
      <c r="F19" s="8"/>
      <c r="G19" s="26">
        <v>2.6000000000000001</v>
      </c>
      <c r="H19" s="8"/>
      <c r="I19" s="26">
        <v>1.3</v>
      </c>
      <c r="J19" s="8"/>
      <c r="K19" s="26">
        <v>1.2</v>
      </c>
      <c r="L19" s="8"/>
      <c r="M19" s="26">
        <v>0.90000000000000002</v>
      </c>
      <c r="N19" s="8"/>
      <c r="O19" s="26">
        <v>2.5</v>
      </c>
      <c r="P19" s="8"/>
      <c r="Q19" s="26">
        <v>2</v>
      </c>
      <c r="R19" s="8"/>
      <c r="S19" s="26">
        <v>1.5</v>
      </c>
      <c r="T19" s="8"/>
      <c r="U19" s="26">
        <v>3.6000000000000001</v>
      </c>
      <c r="V19" s="8"/>
      <c r="W19" s="26">
        <v>-2.2999999999999998</v>
      </c>
      <c r="X19" s="8"/>
      <c r="Y19" s="26">
        <v>0.20000000000000001</v>
      </c>
      <c r="Z19" s="8"/>
      <c r="AA19" s="26">
        <v>0.5</v>
      </c>
      <c r="AB19" s="8"/>
      <c r="AC19" s="8"/>
    </row>
    <row r="20" ht="12" customHeight="1">
      <c r="A20" s="11" t="s">
        <v>101</v>
      </c>
      <c r="B20" s="8" t="s">
        <v>664</v>
      </c>
      <c r="C20" s="26">
        <v>5.4000000000000004</v>
      </c>
      <c r="D20" s="8"/>
      <c r="E20" s="26">
        <v>5.2999999999999998</v>
      </c>
      <c r="F20" s="8"/>
      <c r="G20" s="26">
        <v>5.4000000000000004</v>
      </c>
      <c r="H20" s="8"/>
      <c r="I20" s="26">
        <v>6</v>
      </c>
      <c r="J20" s="8"/>
      <c r="K20" s="26">
        <v>5.9000000000000004</v>
      </c>
      <c r="L20" s="8"/>
      <c r="M20" s="26">
        <v>5.4000000000000004</v>
      </c>
      <c r="N20" s="8"/>
      <c r="O20" s="26">
        <v>5.2999999999999998</v>
      </c>
      <c r="P20" s="8"/>
      <c r="Q20" s="26">
        <v>6.2000000000000002</v>
      </c>
      <c r="R20" s="8"/>
      <c r="S20" s="26">
        <v>5.9000000000000004</v>
      </c>
      <c r="T20" s="8"/>
      <c r="U20" s="26">
        <v>6.2999999999999998</v>
      </c>
      <c r="V20" s="8"/>
      <c r="W20" s="26">
        <v>6.4000000000000004</v>
      </c>
      <c r="X20" s="8"/>
      <c r="Y20" s="26">
        <v>5.5</v>
      </c>
      <c r="Z20" s="8"/>
      <c r="AA20" s="26">
        <v>5.4000000000000004</v>
      </c>
      <c r="AB20" s="8"/>
      <c r="AC20" s="8"/>
    </row>
    <row r="21" ht="12" customHeight="1">
      <c r="A21" s="8" t="s">
        <v>103</v>
      </c>
      <c r="B21" s="8" t="s">
        <v>665</v>
      </c>
      <c r="C21" s="26">
        <v>4.5</v>
      </c>
      <c r="D21" s="8"/>
      <c r="E21" s="26">
        <v>4.5</v>
      </c>
      <c r="F21" s="8"/>
      <c r="G21" s="26">
        <v>4.2999999999999998</v>
      </c>
      <c r="H21" s="8"/>
      <c r="I21" s="26">
        <v>4.5999999999999996</v>
      </c>
      <c r="J21" s="8"/>
      <c r="K21" s="26">
        <v>4.5999999999999996</v>
      </c>
      <c r="L21" s="8"/>
      <c r="M21" s="26">
        <v>4.7000000000000002</v>
      </c>
      <c r="N21" s="8"/>
      <c r="O21" s="26">
        <v>4.7999999999999998</v>
      </c>
      <c r="P21" s="8"/>
      <c r="Q21" s="26">
        <v>4.5</v>
      </c>
      <c r="R21" s="8"/>
      <c r="S21" s="26">
        <v>4.2000000000000002</v>
      </c>
      <c r="T21" s="8"/>
      <c r="U21" s="26">
        <v>3.7000000000000002</v>
      </c>
      <c r="V21" s="8"/>
      <c r="W21" s="26">
        <v>3.2000000000000002</v>
      </c>
      <c r="X21" s="8"/>
      <c r="Y21" s="26">
        <v>2.6000000000000001</v>
      </c>
      <c r="Z21" s="8"/>
      <c r="AA21" s="26">
        <v>1.8999999999999999</v>
      </c>
      <c r="AB21" s="8"/>
      <c r="AC21" s="8"/>
    </row>
    <row r="22" ht="12" customHeight="1">
      <c r="A22" s="8" t="s">
        <v>105</v>
      </c>
      <c r="B22" s="8" t="s">
        <v>666</v>
      </c>
      <c r="C22" s="26">
        <v>4.5</v>
      </c>
      <c r="D22" s="8"/>
      <c r="E22" s="26">
        <v>4.5</v>
      </c>
      <c r="F22" s="8"/>
      <c r="G22" s="26">
        <v>4.2999999999999998</v>
      </c>
      <c r="H22" s="8"/>
      <c r="I22" s="26">
        <v>4.5999999999999996</v>
      </c>
      <c r="J22" s="8"/>
      <c r="K22" s="26">
        <v>4.5999999999999996</v>
      </c>
      <c r="L22" s="8"/>
      <c r="M22" s="26">
        <v>4.7000000000000002</v>
      </c>
      <c r="N22" s="8"/>
      <c r="O22" s="26">
        <v>4.7999999999999998</v>
      </c>
      <c r="P22" s="8"/>
      <c r="Q22" s="26">
        <v>4.5</v>
      </c>
      <c r="R22" s="8"/>
      <c r="S22" s="26">
        <v>4.2000000000000002</v>
      </c>
      <c r="T22" s="8"/>
      <c r="U22" s="26">
        <v>3.7000000000000002</v>
      </c>
      <c r="V22" s="8"/>
      <c r="W22" s="26">
        <v>3.2000000000000002</v>
      </c>
      <c r="X22" s="8"/>
      <c r="Y22" s="26">
        <v>2.6000000000000001</v>
      </c>
      <c r="Z22" s="8"/>
      <c r="AA22" s="26">
        <v>1.8999999999999999</v>
      </c>
      <c r="AB22" s="8"/>
      <c r="AC22" s="8"/>
    </row>
    <row r="23" ht="12" customHeight="1">
      <c r="A23" s="8" t="s">
        <v>107</v>
      </c>
      <c r="B23" s="8" t="s">
        <v>667</v>
      </c>
      <c r="C23" s="26">
        <v>7.4000000000000004</v>
      </c>
      <c r="D23" s="8"/>
      <c r="E23" s="26">
        <v>5.7999999999999998</v>
      </c>
      <c r="F23" s="8"/>
      <c r="G23" s="26">
        <v>5.5</v>
      </c>
      <c r="H23" s="8"/>
      <c r="I23" s="26">
        <v>4.2000000000000002</v>
      </c>
      <c r="J23" s="8"/>
      <c r="K23" s="26">
        <v>2.5</v>
      </c>
      <c r="L23" s="8"/>
      <c r="M23" s="26">
        <v>2.6000000000000001</v>
      </c>
      <c r="N23" s="8"/>
      <c r="O23" s="26">
        <v>2.1000000000000001</v>
      </c>
      <c r="P23" s="8"/>
      <c r="Q23" s="26">
        <v>1.8</v>
      </c>
      <c r="R23" s="8"/>
      <c r="S23" s="26">
        <v>1.7</v>
      </c>
      <c r="T23" s="8"/>
      <c r="U23" s="26">
        <v>2.1000000000000001</v>
      </c>
      <c r="V23" s="8"/>
      <c r="W23" s="26">
        <v>1.1000000000000001</v>
      </c>
      <c r="X23" s="8"/>
      <c r="Y23" s="26">
        <v>1.5</v>
      </c>
      <c r="Z23" s="8"/>
      <c r="AA23" s="26">
        <v>2.2000000000000002</v>
      </c>
      <c r="AB23" s="8"/>
      <c r="AC23" s="8"/>
    </row>
    <row r="24" ht="12" customHeight="1">
      <c r="A24" s="8" t="s">
        <v>109</v>
      </c>
      <c r="B24" s="8" t="s">
        <v>668</v>
      </c>
      <c r="C24" s="26">
        <v>7.0999999999999996</v>
      </c>
      <c r="D24" s="8"/>
      <c r="E24" s="26">
        <v>7.0999999999999996</v>
      </c>
      <c r="F24" s="8"/>
      <c r="G24" s="26">
        <v>7.0999999999999996</v>
      </c>
      <c r="H24" s="8"/>
      <c r="I24" s="26">
        <v>9.5999999999999996</v>
      </c>
      <c r="J24" s="8"/>
      <c r="K24" s="26">
        <v>9.5</v>
      </c>
      <c r="L24" s="8"/>
      <c r="M24" s="26">
        <v>9.5</v>
      </c>
      <c r="N24" s="8"/>
      <c r="O24" s="26">
        <v>9.5</v>
      </c>
      <c r="P24" s="8"/>
      <c r="Q24" s="26">
        <v>11.4</v>
      </c>
      <c r="R24" s="8"/>
      <c r="S24" s="26">
        <v>11.6</v>
      </c>
      <c r="T24" s="8"/>
      <c r="U24" s="26">
        <v>11.6</v>
      </c>
      <c r="V24" s="8"/>
      <c r="W24" s="26">
        <v>11.6</v>
      </c>
      <c r="X24" s="8"/>
      <c r="Y24" s="26">
        <v>8.4000000000000004</v>
      </c>
      <c r="Z24" s="8"/>
      <c r="AA24" s="26">
        <v>8.3000000000000007</v>
      </c>
      <c r="AB24" s="8"/>
      <c r="AC24" s="8"/>
    </row>
    <row r="25" ht="12" customHeight="1">
      <c r="A25" s="8" t="s">
        <v>111</v>
      </c>
      <c r="B25" s="8" t="s">
        <v>669</v>
      </c>
      <c r="C25" s="26">
        <v>7.2000000000000002</v>
      </c>
      <c r="D25" s="8"/>
      <c r="E25" s="26">
        <v>7.2000000000000002</v>
      </c>
      <c r="F25" s="8"/>
      <c r="G25" s="26">
        <v>7.2000000000000002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11.6</v>
      </c>
      <c r="R25" s="8"/>
      <c r="S25" s="26">
        <v>11.6</v>
      </c>
      <c r="T25" s="8"/>
      <c r="U25" s="26">
        <v>11.6</v>
      </c>
      <c r="V25" s="8"/>
      <c r="W25" s="26">
        <v>11.6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670</v>
      </c>
      <c r="C26" s="26">
        <v>3.1000000000000001</v>
      </c>
      <c r="D26" s="8"/>
      <c r="E26" s="26">
        <v>4.2999999999999998</v>
      </c>
      <c r="F26" s="8"/>
      <c r="G26" s="26">
        <v>5.2000000000000002</v>
      </c>
      <c r="H26" s="8"/>
      <c r="I26" s="26">
        <v>5.7999999999999998</v>
      </c>
      <c r="J26" s="8"/>
      <c r="K26" s="26">
        <v>6.0999999999999996</v>
      </c>
      <c r="L26" s="8"/>
      <c r="M26" s="26">
        <v>3.6000000000000001</v>
      </c>
      <c r="N26" s="8"/>
      <c r="O26" s="26">
        <v>3.6000000000000001</v>
      </c>
      <c r="P26" s="8"/>
      <c r="Q26" s="26">
        <v>5.5999999999999996</v>
      </c>
      <c r="R26" s="8"/>
      <c r="S26" s="26">
        <v>4.7999999999999998</v>
      </c>
      <c r="T26" s="8"/>
      <c r="U26" s="26">
        <v>7.2999999999999998</v>
      </c>
      <c r="V26" s="8"/>
      <c r="W26" s="26">
        <v>9.4000000000000004</v>
      </c>
      <c r="X26" s="8"/>
      <c r="Y26" s="26">
        <v>11.5</v>
      </c>
      <c r="Z26" s="8"/>
      <c r="AA26" s="26">
        <v>12.4</v>
      </c>
      <c r="AB26" s="8"/>
      <c r="AC26" s="8"/>
    </row>
    <row r="27" ht="12" customHeight="1">
      <c r="A27" s="8" t="s">
        <v>115</v>
      </c>
      <c r="B27" s="8" t="s">
        <v>671</v>
      </c>
      <c r="C27" s="26">
        <v>2.5</v>
      </c>
      <c r="D27" s="8"/>
      <c r="E27" s="26">
        <v>3.5</v>
      </c>
      <c r="F27" s="8"/>
      <c r="G27" s="26">
        <v>4.2000000000000002</v>
      </c>
      <c r="H27" s="8"/>
      <c r="I27" s="26">
        <v>4.4000000000000004</v>
      </c>
      <c r="J27" s="8"/>
      <c r="K27" s="26">
        <v>4.9000000000000004</v>
      </c>
      <c r="L27" s="8"/>
      <c r="M27" s="26">
        <v>2.3999999999999999</v>
      </c>
      <c r="N27" s="8"/>
      <c r="O27" s="26">
        <v>2.8999999999999999</v>
      </c>
      <c r="P27" s="8"/>
      <c r="Q27" s="26">
        <v>5.5</v>
      </c>
      <c r="R27" s="8"/>
      <c r="S27" s="26">
        <v>4.2999999999999998</v>
      </c>
      <c r="T27" s="8"/>
      <c r="U27" s="26">
        <v>6.5</v>
      </c>
      <c r="V27" s="8"/>
      <c r="W27" s="26">
        <v>8.5999999999999996</v>
      </c>
      <c r="X27" s="8"/>
      <c r="Y27" s="26">
        <v>11.300000000000001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672</v>
      </c>
      <c r="C28" s="26">
        <v>8</v>
      </c>
      <c r="D28" s="8"/>
      <c r="E28" s="26">
        <v>6.2999999999999998</v>
      </c>
      <c r="F28" s="8"/>
      <c r="G28" s="26">
        <v>6.7999999999999998</v>
      </c>
      <c r="H28" s="8"/>
      <c r="I28" s="26">
        <v>3.7999999999999998</v>
      </c>
      <c r="J28" s="8"/>
      <c r="K28" s="26">
        <v>1.2</v>
      </c>
      <c r="L28" s="8"/>
      <c r="M28" s="26">
        <v>1</v>
      </c>
      <c r="N28" s="8"/>
      <c r="O28" s="26">
        <v>-1.7</v>
      </c>
      <c r="P28" s="8"/>
      <c r="Q28" s="26">
        <v>-0.10000000000000001</v>
      </c>
      <c r="R28" s="8"/>
      <c r="S28" s="26">
        <v>-1.3</v>
      </c>
      <c r="T28" s="8"/>
      <c r="U28" s="26">
        <v>-0.90000000000000002</v>
      </c>
      <c r="V28" s="8"/>
      <c r="W28" s="26">
        <v>-0.80000000000000004</v>
      </c>
      <c r="X28" s="8"/>
      <c r="Y28" s="26">
        <v>-2</v>
      </c>
      <c r="Z28" s="8"/>
      <c r="AA28" s="26">
        <v>-0.59999999999999998</v>
      </c>
      <c r="AB28" s="8"/>
      <c r="AC28" s="8"/>
    </row>
    <row r="29" ht="12" customHeight="1">
      <c r="A29" s="8" t="s">
        <v>119</v>
      </c>
      <c r="B29" s="8" t="s">
        <v>673</v>
      </c>
      <c r="C29" s="26">
        <v>7.4000000000000004</v>
      </c>
      <c r="D29" s="8"/>
      <c r="E29" s="26">
        <v>6.2000000000000002</v>
      </c>
      <c r="F29" s="8"/>
      <c r="G29" s="26">
        <v>5.0999999999999996</v>
      </c>
      <c r="H29" s="8"/>
      <c r="I29" s="26">
        <v>3.7999999999999998</v>
      </c>
      <c r="J29" s="8"/>
      <c r="K29" s="26">
        <v>-2.7999999999999998</v>
      </c>
      <c r="L29" s="8"/>
      <c r="M29" s="26">
        <v>-2.5</v>
      </c>
      <c r="N29" s="8"/>
      <c r="O29" s="26">
        <v>-4.4000000000000004</v>
      </c>
      <c r="P29" s="8"/>
      <c r="Q29" s="26">
        <v>-1.3999999999999999</v>
      </c>
      <c r="R29" s="8"/>
      <c r="S29" s="26">
        <v>-0.5</v>
      </c>
      <c r="T29" s="8"/>
      <c r="U29" s="26">
        <v>1.1000000000000001</v>
      </c>
      <c r="V29" s="8"/>
      <c r="W29" s="26">
        <v>-0.90000000000000002</v>
      </c>
      <c r="X29" s="8"/>
      <c r="Y29" s="26">
        <v>-6.4000000000000004</v>
      </c>
      <c r="Z29" s="8"/>
      <c r="AA29" s="26">
        <v>-0.69999999999999996</v>
      </c>
      <c r="AB29" s="8"/>
      <c r="AC29" s="8"/>
    </row>
    <row r="30" ht="12" customHeight="1">
      <c r="A30" s="8" t="s">
        <v>121</v>
      </c>
      <c r="B30" s="8" t="s">
        <v>674</v>
      </c>
      <c r="C30" s="26">
        <v>1.8</v>
      </c>
      <c r="D30" s="8"/>
      <c r="E30" s="26">
        <v>5.5999999999999996</v>
      </c>
      <c r="F30" s="8"/>
      <c r="G30" s="26">
        <v>2.2999999999999998</v>
      </c>
      <c r="H30" s="8"/>
      <c r="I30" s="26">
        <v>1.8</v>
      </c>
      <c r="J30" s="8"/>
      <c r="K30" s="26">
        <v>4.9000000000000004</v>
      </c>
      <c r="L30" s="8"/>
      <c r="M30" s="26">
        <v>0.90000000000000002</v>
      </c>
      <c r="N30" s="8"/>
      <c r="O30" s="26">
        <v>7.5</v>
      </c>
      <c r="P30" s="8"/>
      <c r="Q30" s="26">
        <v>9</v>
      </c>
      <c r="R30" s="8"/>
      <c r="S30" s="26">
        <v>-4.5</v>
      </c>
      <c r="T30" s="8"/>
      <c r="U30" s="26">
        <v>1.3999999999999999</v>
      </c>
      <c r="V30" s="8"/>
      <c r="W30" s="26">
        <v>-2.2000000000000002</v>
      </c>
      <c r="X30" s="8"/>
      <c r="Y30" s="26">
        <v>-0.40000000000000002</v>
      </c>
      <c r="Z30" s="8"/>
      <c r="AA30" s="26">
        <v>4.9000000000000004</v>
      </c>
      <c r="AB30" s="8"/>
      <c r="AC30" s="8"/>
    </row>
    <row r="31" ht="12" customHeight="1">
      <c r="A31" s="8" t="s">
        <v>123</v>
      </c>
      <c r="B31" s="8" t="s">
        <v>675</v>
      </c>
      <c r="C31" s="26">
        <v>4.9000000000000004</v>
      </c>
      <c r="D31" s="8"/>
      <c r="E31" s="26">
        <v>0.69999999999999996</v>
      </c>
      <c r="F31" s="8"/>
      <c r="G31" s="26">
        <v>3.7999999999999998</v>
      </c>
      <c r="H31" s="8"/>
      <c r="I31" s="26">
        <v>0.90000000000000002</v>
      </c>
      <c r="J31" s="8"/>
      <c r="K31" s="26">
        <v>-0.40000000000000002</v>
      </c>
      <c r="L31" s="8"/>
      <c r="M31" s="26">
        <v>-0.90000000000000002</v>
      </c>
      <c r="N31" s="8"/>
      <c r="O31" s="26">
        <v>-5.0999999999999996</v>
      </c>
      <c r="P31" s="8"/>
      <c r="Q31" s="26">
        <v>-4.0999999999999996</v>
      </c>
      <c r="R31" s="8"/>
      <c r="S31" s="26">
        <v>-2.1000000000000001</v>
      </c>
      <c r="T31" s="8"/>
      <c r="U31" s="26">
        <v>-1.7</v>
      </c>
      <c r="V31" s="8"/>
      <c r="W31" s="26">
        <v>-0.40000000000000002</v>
      </c>
      <c r="X31" s="8"/>
      <c r="Y31" s="26">
        <v>0.5</v>
      </c>
      <c r="Z31" s="8"/>
      <c r="AA31" s="26">
        <v>-0.90000000000000002</v>
      </c>
      <c r="AB31" s="8"/>
      <c r="AC31" s="8"/>
    </row>
    <row r="32" ht="12" customHeight="1">
      <c r="A32" s="8" t="s">
        <v>125</v>
      </c>
      <c r="B32" s="8" t="s">
        <v>676</v>
      </c>
      <c r="C32" s="26">
        <v>12.4</v>
      </c>
      <c r="D32" s="8"/>
      <c r="E32" s="26">
        <v>8.0999999999999996</v>
      </c>
      <c r="F32" s="8"/>
      <c r="G32" s="26">
        <v>9.5</v>
      </c>
      <c r="H32" s="8"/>
      <c r="I32" s="26">
        <v>1</v>
      </c>
      <c r="J32" s="8"/>
      <c r="K32" s="26">
        <v>3.8999999999999999</v>
      </c>
      <c r="L32" s="8"/>
      <c r="M32" s="26">
        <v>9.9000000000000004</v>
      </c>
      <c r="N32" s="8"/>
      <c r="O32" s="26">
        <v>5.0999999999999996</v>
      </c>
      <c r="P32" s="8"/>
      <c r="Q32" s="26">
        <v>5.7000000000000002</v>
      </c>
      <c r="R32" s="8"/>
      <c r="S32" s="26">
        <v>-3.8999999999999999</v>
      </c>
      <c r="T32" s="8"/>
      <c r="U32" s="26">
        <v>-3.2000000000000002</v>
      </c>
      <c r="V32" s="8"/>
      <c r="W32" s="26">
        <v>-3.7000000000000002</v>
      </c>
      <c r="X32" s="8"/>
      <c r="Y32" s="26">
        <v>-1.5</v>
      </c>
      <c r="Z32" s="8"/>
      <c r="AA32" s="26">
        <v>-2.7999999999999998</v>
      </c>
      <c r="AB32" s="8"/>
      <c r="AC32" s="8"/>
    </row>
    <row r="33" ht="12" customHeight="1">
      <c r="A33" s="8" t="s">
        <v>127</v>
      </c>
      <c r="B33" s="8" t="s">
        <v>677</v>
      </c>
      <c r="C33" s="26">
        <v>10.699999999999999</v>
      </c>
      <c r="D33" s="8"/>
      <c r="E33" s="26">
        <v>9.1999999999999993</v>
      </c>
      <c r="F33" s="8"/>
      <c r="G33" s="26">
        <v>8.5999999999999996</v>
      </c>
      <c r="H33" s="8"/>
      <c r="I33" s="26">
        <v>6.7000000000000002</v>
      </c>
      <c r="J33" s="8"/>
      <c r="K33" s="26">
        <v>3.3999999999999999</v>
      </c>
      <c r="L33" s="8"/>
      <c r="M33" s="26">
        <v>4.2999999999999998</v>
      </c>
      <c r="N33" s="8"/>
      <c r="O33" s="26">
        <v>-3.5</v>
      </c>
      <c r="P33" s="8"/>
      <c r="Q33" s="26">
        <v>-3.7999999999999998</v>
      </c>
      <c r="R33" s="8"/>
      <c r="S33" s="26">
        <v>-3.7000000000000002</v>
      </c>
      <c r="T33" s="8"/>
      <c r="U33" s="26">
        <v>-5.7000000000000002</v>
      </c>
      <c r="V33" s="8"/>
      <c r="W33" s="26">
        <v>-1.3999999999999999</v>
      </c>
      <c r="X33" s="8"/>
      <c r="Y33" s="26">
        <v>-1</v>
      </c>
      <c r="Z33" s="8"/>
      <c r="AA33" s="26">
        <v>-2.7999999999999998</v>
      </c>
      <c r="AB33" s="8"/>
      <c r="AC33" s="8"/>
    </row>
    <row r="34" ht="12" customHeight="1">
      <c r="A34" s="8" t="s">
        <v>129</v>
      </c>
      <c r="B34" s="8" t="s">
        <v>678</v>
      </c>
      <c r="C34" s="26">
        <v>11.1</v>
      </c>
      <c r="D34" s="8"/>
      <c r="E34" s="26">
        <v>10.5</v>
      </c>
      <c r="F34" s="8"/>
      <c r="G34" s="26">
        <v>11.300000000000001</v>
      </c>
      <c r="H34" s="8"/>
      <c r="I34" s="26">
        <v>6.5999999999999996</v>
      </c>
      <c r="J34" s="8"/>
      <c r="K34" s="26">
        <v>3.2000000000000002</v>
      </c>
      <c r="L34" s="8"/>
      <c r="M34" s="26">
        <v>1.8</v>
      </c>
      <c r="N34" s="8"/>
      <c r="O34" s="26">
        <v>0.20000000000000001</v>
      </c>
      <c r="P34" s="8"/>
      <c r="Q34" s="26">
        <v>2.5</v>
      </c>
      <c r="R34" s="8"/>
      <c r="S34" s="26">
        <v>2.3999999999999999</v>
      </c>
      <c r="T34" s="8"/>
      <c r="U34" s="26">
        <v>0.90000000000000002</v>
      </c>
      <c r="V34" s="8"/>
      <c r="W34" s="26">
        <v>1.5</v>
      </c>
      <c r="X34" s="8"/>
      <c r="Y34" s="26">
        <v>-0.5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679</v>
      </c>
      <c r="C35" s="26">
        <v>5.0999999999999996</v>
      </c>
      <c r="D35" s="8"/>
      <c r="E35" s="26">
        <v>4.5999999999999996</v>
      </c>
      <c r="F35" s="8"/>
      <c r="G35" s="26">
        <v>4.5999999999999996</v>
      </c>
      <c r="H35" s="8"/>
      <c r="I35" s="26">
        <v>3.1000000000000001</v>
      </c>
      <c r="J35" s="8"/>
      <c r="K35" s="26">
        <v>3.5</v>
      </c>
      <c r="L35" s="8"/>
      <c r="M35" s="26">
        <v>4.5999999999999996</v>
      </c>
      <c r="N35" s="8"/>
      <c r="O35" s="26">
        <v>3.5</v>
      </c>
      <c r="P35" s="8"/>
      <c r="Q35" s="26">
        <v>6.5</v>
      </c>
      <c r="R35" s="8"/>
      <c r="S35" s="26">
        <v>4.5999999999999996</v>
      </c>
      <c r="T35" s="8"/>
      <c r="U35" s="26">
        <v>3.2999999999999998</v>
      </c>
      <c r="V35" s="8"/>
      <c r="W35" s="26">
        <v>2.8999999999999999</v>
      </c>
      <c r="X35" s="8"/>
      <c r="Y35" s="26">
        <v>0.29999999999999999</v>
      </c>
      <c r="Z35" s="8"/>
      <c r="AA35" s="26">
        <v>-0.10000000000000001</v>
      </c>
      <c r="AB35" s="8"/>
      <c r="AC35" s="8"/>
    </row>
    <row r="36" ht="12" customHeight="1">
      <c r="A36" s="8" t="s">
        <v>133</v>
      </c>
      <c r="B36" s="8" t="s">
        <v>680</v>
      </c>
      <c r="C36" s="26">
        <v>5.5999999999999996</v>
      </c>
      <c r="D36" s="8"/>
      <c r="E36" s="26">
        <v>3.5</v>
      </c>
      <c r="F36" s="8"/>
      <c r="G36" s="26">
        <v>4.5</v>
      </c>
      <c r="H36" s="8"/>
      <c r="I36" s="26">
        <v>-0.5</v>
      </c>
      <c r="J36" s="8"/>
      <c r="K36" s="26">
        <v>-1.8</v>
      </c>
      <c r="L36" s="8"/>
      <c r="M36" s="26">
        <v>-2.2999999999999998</v>
      </c>
      <c r="N36" s="8"/>
      <c r="O36" s="26">
        <v>-3.1000000000000001</v>
      </c>
      <c r="P36" s="8"/>
      <c r="Q36" s="26">
        <v>6.5999999999999996</v>
      </c>
      <c r="R36" s="8"/>
      <c r="S36" s="26">
        <v>3.7999999999999998</v>
      </c>
      <c r="T36" s="8"/>
      <c r="U36" s="26">
        <v>4.4000000000000004</v>
      </c>
      <c r="V36" s="8"/>
      <c r="W36" s="26">
        <v>3</v>
      </c>
      <c r="X36" s="8"/>
      <c r="Y36" s="26">
        <v>-6.2999999999999998</v>
      </c>
      <c r="Z36" s="8"/>
      <c r="AA36" s="26">
        <v>-6.9000000000000004</v>
      </c>
      <c r="AB36" s="8"/>
      <c r="AC36" s="8"/>
    </row>
    <row r="37" ht="12" customHeight="1">
      <c r="A37" s="8" t="s">
        <v>135</v>
      </c>
      <c r="B37" s="8" t="s">
        <v>681</v>
      </c>
      <c r="C37" s="26">
        <v>4.7000000000000002</v>
      </c>
      <c r="D37" s="8"/>
      <c r="E37" s="26">
        <v>4.9000000000000004</v>
      </c>
      <c r="F37" s="8"/>
      <c r="G37" s="26">
        <v>4.5999999999999996</v>
      </c>
      <c r="H37" s="8"/>
      <c r="I37" s="26">
        <v>4.5</v>
      </c>
      <c r="J37" s="8"/>
      <c r="K37" s="26">
        <v>5.5999999999999996</v>
      </c>
      <c r="L37" s="8"/>
      <c r="M37" s="26">
        <v>7.4000000000000004</v>
      </c>
      <c r="N37" s="8"/>
      <c r="O37" s="26">
        <v>6.2999999999999998</v>
      </c>
      <c r="P37" s="8"/>
      <c r="Q37" s="26">
        <v>6</v>
      </c>
      <c r="R37" s="8"/>
      <c r="S37" s="26">
        <v>4.5</v>
      </c>
      <c r="T37" s="8"/>
      <c r="U37" s="26">
        <v>2.5</v>
      </c>
      <c r="V37" s="8"/>
      <c r="W37" s="26">
        <v>2.5</v>
      </c>
      <c r="X37" s="8"/>
      <c r="Y37" s="26">
        <v>3.6000000000000001</v>
      </c>
      <c r="Z37" s="8"/>
      <c r="AA37" s="26">
        <v>3.5</v>
      </c>
      <c r="AB37" s="8"/>
      <c r="AC37" s="8"/>
    </row>
    <row r="38" ht="12" customHeight="1">
      <c r="A38" s="8" t="s">
        <v>137</v>
      </c>
      <c r="B38" s="8" t="s">
        <v>682</v>
      </c>
      <c r="C38" s="26">
        <v>7.2999999999999998</v>
      </c>
      <c r="D38" s="8"/>
      <c r="E38" s="26">
        <v>9</v>
      </c>
      <c r="F38" s="8"/>
      <c r="G38" s="26">
        <v>7.7000000000000002</v>
      </c>
      <c r="H38" s="8"/>
      <c r="I38" s="26">
        <v>8.8000000000000007</v>
      </c>
      <c r="J38" s="8"/>
      <c r="K38" s="26">
        <v>12.199999999999999</v>
      </c>
      <c r="L38" s="8"/>
      <c r="M38" s="26">
        <v>13.5</v>
      </c>
      <c r="N38" s="8"/>
      <c r="O38" s="26">
        <v>11.300000000000001</v>
      </c>
      <c r="P38" s="8"/>
      <c r="Q38" s="26">
        <v>14.6</v>
      </c>
      <c r="R38" s="8"/>
      <c r="S38" s="26">
        <v>11.1</v>
      </c>
      <c r="T38" s="8"/>
      <c r="U38" s="26">
        <v>8.0999999999999996</v>
      </c>
      <c r="V38" s="8"/>
      <c r="W38" s="26">
        <v>8.3000000000000007</v>
      </c>
      <c r="X38" s="8"/>
      <c r="Y38" s="26">
        <v>3.2999999999999998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683</v>
      </c>
      <c r="C39" s="26">
        <v>8.4000000000000004</v>
      </c>
      <c r="D39" s="8"/>
      <c r="E39" s="26">
        <v>3.6000000000000001</v>
      </c>
      <c r="F39" s="8"/>
      <c r="G39" s="26">
        <v>-0.69999999999999996</v>
      </c>
      <c r="H39" s="8"/>
      <c r="I39" s="26">
        <v>4.7000000000000002</v>
      </c>
      <c r="J39" s="8"/>
      <c r="K39" s="26">
        <v>3.7999999999999998</v>
      </c>
      <c r="L39" s="8"/>
      <c r="M39" s="26">
        <v>2.3999999999999999</v>
      </c>
      <c r="N39" s="8"/>
      <c r="O39" s="26">
        <v>4.0999999999999996</v>
      </c>
      <c r="P39" s="8"/>
      <c r="Q39" s="26">
        <v>-5.2999999999999998</v>
      </c>
      <c r="R39" s="8"/>
      <c r="S39" s="26">
        <v>-3.8999999999999999</v>
      </c>
      <c r="T39" s="8"/>
      <c r="U39" s="26">
        <v>-1.1000000000000001</v>
      </c>
      <c r="V39" s="8"/>
      <c r="W39" s="26">
        <v>-1.5</v>
      </c>
      <c r="X39" s="8"/>
      <c r="Y39" s="26">
        <v>1.5</v>
      </c>
      <c r="Z39" s="8"/>
      <c r="AA39" s="26">
        <v>2.5</v>
      </c>
      <c r="AB39" s="8"/>
      <c r="AC39" s="8"/>
    </row>
    <row r="40" ht="12" customHeight="1">
      <c r="A40" s="8" t="s">
        <v>141</v>
      </c>
      <c r="B40" s="8" t="s">
        <v>684</v>
      </c>
      <c r="C40" s="26">
        <v>2.7000000000000002</v>
      </c>
      <c r="D40" s="8"/>
      <c r="E40" s="26">
        <v>1.3999999999999999</v>
      </c>
      <c r="F40" s="8"/>
      <c r="G40" s="26">
        <v>2.1000000000000001</v>
      </c>
      <c r="H40" s="8"/>
      <c r="I40" s="26">
        <v>5.2000000000000002</v>
      </c>
      <c r="J40" s="8"/>
      <c r="K40" s="26">
        <v>3</v>
      </c>
      <c r="L40" s="8"/>
      <c r="M40" s="26">
        <v>0.40000000000000002</v>
      </c>
      <c r="N40" s="8"/>
      <c r="O40" s="26">
        <v>-3</v>
      </c>
      <c r="P40" s="8"/>
      <c r="Q40" s="26">
        <v>-7.4000000000000004</v>
      </c>
      <c r="R40" s="8"/>
      <c r="S40" s="26">
        <v>-4</v>
      </c>
      <c r="T40" s="8"/>
      <c r="U40" s="26">
        <v>-2.1000000000000001</v>
      </c>
      <c r="V40" s="8"/>
      <c r="W40" s="26">
        <v>0.59999999999999998</v>
      </c>
      <c r="X40" s="8"/>
      <c r="Y40" s="26">
        <v>2.3999999999999999</v>
      </c>
      <c r="Z40" s="8"/>
      <c r="AA40" s="26">
        <v>1.2</v>
      </c>
      <c r="AB40" s="8"/>
      <c r="AC40" s="8"/>
    </row>
    <row r="41" ht="12" customHeight="1">
      <c r="A41" s="8" t="s">
        <v>143</v>
      </c>
      <c r="B41" s="8" t="s">
        <v>685</v>
      </c>
      <c r="C41" s="26">
        <v>5.0999999999999996</v>
      </c>
      <c r="D41" s="8"/>
      <c r="E41" s="26">
        <v>-3.5</v>
      </c>
      <c r="F41" s="8"/>
      <c r="G41" s="26">
        <v>-9.9000000000000004</v>
      </c>
      <c r="H41" s="8"/>
      <c r="I41" s="26">
        <v>3.2000000000000002</v>
      </c>
      <c r="J41" s="8"/>
      <c r="K41" s="26">
        <v>8.6999999999999993</v>
      </c>
      <c r="L41" s="8"/>
      <c r="M41" s="26">
        <v>9.5</v>
      </c>
      <c r="N41" s="8"/>
      <c r="O41" s="26">
        <v>12.699999999999999</v>
      </c>
      <c r="P41" s="8"/>
      <c r="Q41" s="26">
        <v>-3.7000000000000002</v>
      </c>
      <c r="R41" s="8"/>
      <c r="S41" s="26">
        <v>-5.2000000000000002</v>
      </c>
      <c r="T41" s="8"/>
      <c r="U41" s="26">
        <v>-1</v>
      </c>
      <c r="V41" s="8"/>
      <c r="W41" s="26">
        <v>-4</v>
      </c>
      <c r="X41" s="8"/>
      <c r="Y41" s="26">
        <v>1</v>
      </c>
      <c r="Z41" s="8"/>
      <c r="AA41" s="26">
        <v>3.7000000000000002</v>
      </c>
      <c r="AB41" s="8"/>
      <c r="AC41" s="8"/>
    </row>
    <row r="42" ht="12" customHeight="1">
      <c r="A42" s="8" t="s">
        <v>145</v>
      </c>
      <c r="B42" s="8" t="s">
        <v>686</v>
      </c>
      <c r="C42" s="26">
        <v>2.2999999999999998</v>
      </c>
      <c r="D42" s="8"/>
      <c r="E42" s="26">
        <v>-8.1999999999999993</v>
      </c>
      <c r="F42" s="8"/>
      <c r="G42" s="26">
        <v>-14.9</v>
      </c>
      <c r="H42" s="8"/>
      <c r="I42" s="26">
        <v>3.6000000000000001</v>
      </c>
      <c r="J42" s="8"/>
      <c r="K42" s="26">
        <v>11.800000000000001</v>
      </c>
      <c r="L42" s="8"/>
      <c r="M42" s="26">
        <v>12.199999999999999</v>
      </c>
      <c r="N42" s="8"/>
      <c r="O42" s="26">
        <v>14.800000000000001</v>
      </c>
      <c r="P42" s="8"/>
      <c r="Q42" s="26">
        <v>-8.1999999999999993</v>
      </c>
      <c r="R42" s="8"/>
      <c r="S42" s="26">
        <v>-9.5999999999999996</v>
      </c>
      <c r="T42" s="8"/>
      <c r="U42" s="26">
        <v>-3.2999999999999998</v>
      </c>
      <c r="V42" s="8"/>
      <c r="W42" s="26">
        <v>-8.5</v>
      </c>
      <c r="X42" s="8"/>
      <c r="Y42" s="26">
        <v>-1.7</v>
      </c>
      <c r="Z42" s="8"/>
      <c r="AA42" s="26">
        <v>2.2999999999999998</v>
      </c>
      <c r="AB42" s="8"/>
      <c r="AC42" s="8"/>
    </row>
    <row r="43" ht="12" customHeight="1">
      <c r="A43" s="8" t="s">
        <v>147</v>
      </c>
      <c r="B43" s="8" t="s">
        <v>687</v>
      </c>
      <c r="C43" s="26">
        <v>12.4</v>
      </c>
      <c r="D43" s="8"/>
      <c r="E43" s="26">
        <v>18.199999999999999</v>
      </c>
      <c r="F43" s="8"/>
      <c r="G43" s="26">
        <v>22</v>
      </c>
      <c r="H43" s="8"/>
      <c r="I43" s="26">
        <v>7.9000000000000004</v>
      </c>
      <c r="J43" s="8"/>
      <c r="K43" s="26">
        <v>-5.4000000000000004</v>
      </c>
      <c r="L43" s="8"/>
      <c r="M43" s="26">
        <v>-8.6999999999999993</v>
      </c>
      <c r="N43" s="8"/>
      <c r="O43" s="26">
        <v>-4.4000000000000004</v>
      </c>
      <c r="P43" s="8"/>
      <c r="Q43" s="26">
        <v>-6.5</v>
      </c>
      <c r="R43" s="8"/>
      <c r="S43" s="26">
        <v>-0.69999999999999996</v>
      </c>
      <c r="T43" s="8"/>
      <c r="U43" s="26">
        <v>0.59999999999999998</v>
      </c>
      <c r="V43" s="8"/>
      <c r="W43" s="26">
        <v>2.5</v>
      </c>
      <c r="X43" s="8"/>
      <c r="Y43" s="26">
        <v>2.2999999999999998</v>
      </c>
      <c r="Z43" s="8"/>
      <c r="AA43" s="26">
        <v>1.8</v>
      </c>
      <c r="AB43" s="8"/>
      <c r="AC43" s="8"/>
    </row>
    <row r="44" ht="12" customHeight="1">
      <c r="A44" s="11" t="s">
        <v>149</v>
      </c>
      <c r="B44" s="8" t="s">
        <v>688</v>
      </c>
      <c r="C44" s="26">
        <v>0.90000000000000002</v>
      </c>
      <c r="D44" s="8"/>
      <c r="E44" s="26">
        <v>1</v>
      </c>
      <c r="F44" s="8"/>
      <c r="G44" s="26">
        <v>1.7</v>
      </c>
      <c r="H44" s="8"/>
      <c r="I44" s="26">
        <v>1.8999999999999999</v>
      </c>
      <c r="J44" s="8"/>
      <c r="K44" s="26">
        <v>3.7999999999999998</v>
      </c>
      <c r="L44" s="8"/>
      <c r="M44" s="26">
        <v>3.8999999999999999</v>
      </c>
      <c r="N44" s="8"/>
      <c r="O44" s="26">
        <v>4.5</v>
      </c>
      <c r="P44" s="8"/>
      <c r="Q44" s="26">
        <v>3.7999999999999998</v>
      </c>
      <c r="R44" s="8"/>
      <c r="S44" s="26">
        <v>4</v>
      </c>
      <c r="T44" s="8"/>
      <c r="U44" s="26">
        <v>4</v>
      </c>
      <c r="V44" s="8"/>
      <c r="W44" s="26">
        <v>3</v>
      </c>
      <c r="X44" s="8"/>
      <c r="Y44" s="26">
        <v>3</v>
      </c>
      <c r="Z44" s="8"/>
      <c r="AA44" s="26">
        <v>4.7999999999999998</v>
      </c>
      <c r="AB44" s="8"/>
      <c r="AC44" s="8"/>
    </row>
    <row r="45" ht="12" customHeight="1">
      <c r="A45" s="8" t="s">
        <v>151</v>
      </c>
      <c r="B45" s="8" t="s">
        <v>689</v>
      </c>
      <c r="C45" s="26">
        <v>11</v>
      </c>
      <c r="D45" s="8"/>
      <c r="E45" s="26">
        <v>10.9</v>
      </c>
      <c r="F45" s="8"/>
      <c r="G45" s="26">
        <v>7.7999999999999998</v>
      </c>
      <c r="H45" s="8"/>
      <c r="I45" s="26">
        <v>8.0999999999999996</v>
      </c>
      <c r="J45" s="8"/>
      <c r="K45" s="26">
        <v>9</v>
      </c>
      <c r="L45" s="8"/>
      <c r="M45" s="26">
        <v>6.0999999999999996</v>
      </c>
      <c r="N45" s="8"/>
      <c r="O45" s="26">
        <v>7.0999999999999996</v>
      </c>
      <c r="P45" s="8"/>
      <c r="Q45" s="26">
        <v>2.2999999999999998</v>
      </c>
      <c r="R45" s="8"/>
      <c r="S45" s="26">
        <v>1.2</v>
      </c>
      <c r="T45" s="8"/>
      <c r="U45" s="26">
        <v>2.7000000000000002</v>
      </c>
      <c r="V45" s="8"/>
      <c r="W45" s="26">
        <v>3.7000000000000002</v>
      </c>
      <c r="X45" s="8"/>
      <c r="Y45" s="26">
        <v>8.6999999999999993</v>
      </c>
      <c r="Z45" s="8"/>
      <c r="AA45" s="26">
        <v>8.3000000000000007</v>
      </c>
      <c r="AB45" s="8"/>
      <c r="AC45" s="8"/>
    </row>
    <row r="46" ht="12" customHeight="1">
      <c r="A46" s="8" t="s">
        <v>153</v>
      </c>
      <c r="B46" s="8" t="s">
        <v>690</v>
      </c>
      <c r="C46" s="26">
        <v>-15.1</v>
      </c>
      <c r="D46" s="8"/>
      <c r="E46" s="26">
        <v>-10.4</v>
      </c>
      <c r="F46" s="8"/>
      <c r="G46" s="26">
        <v>-24.899999999999999</v>
      </c>
      <c r="H46" s="8"/>
      <c r="I46" s="26">
        <v>-14.5</v>
      </c>
      <c r="J46" s="8"/>
      <c r="K46" s="26">
        <v>-0.69999999999999996</v>
      </c>
      <c r="L46" s="8"/>
      <c r="M46" s="26">
        <v>-5</v>
      </c>
      <c r="N46" s="8"/>
      <c r="O46" s="26">
        <v>14.4</v>
      </c>
      <c r="P46" s="8"/>
      <c r="Q46" s="26">
        <v>3.5</v>
      </c>
      <c r="R46" s="8"/>
      <c r="S46" s="26">
        <v>-10.800000000000001</v>
      </c>
      <c r="T46" s="8"/>
      <c r="U46" s="26">
        <v>-12.9</v>
      </c>
      <c r="V46" s="8"/>
      <c r="W46" s="26">
        <v>-25.5</v>
      </c>
      <c r="X46" s="8"/>
      <c r="Y46" s="26">
        <v>-15.199999999999999</v>
      </c>
      <c r="Z46" s="8"/>
      <c r="AA46" s="26">
        <v>-5.2999999999999998</v>
      </c>
      <c r="AB46" s="8"/>
      <c r="AC46" s="8"/>
    </row>
    <row r="47" ht="12" customHeight="1">
      <c r="A47" s="8" t="s">
        <v>155</v>
      </c>
      <c r="B47" s="8" t="s">
        <v>691</v>
      </c>
      <c r="C47" s="26">
        <v>1.8</v>
      </c>
      <c r="D47" s="8"/>
      <c r="E47" s="26">
        <v>1.6000000000000001</v>
      </c>
      <c r="F47" s="8"/>
      <c r="G47" s="26">
        <v>3.7999999999999998</v>
      </c>
      <c r="H47" s="8"/>
      <c r="I47" s="26">
        <v>2.8999999999999999</v>
      </c>
      <c r="J47" s="8"/>
      <c r="K47" s="26">
        <v>3.8999999999999999</v>
      </c>
      <c r="L47" s="8"/>
      <c r="M47" s="26">
        <v>4.2999999999999998</v>
      </c>
      <c r="N47" s="8"/>
      <c r="O47" s="26">
        <v>3.7999999999999998</v>
      </c>
      <c r="P47" s="8"/>
      <c r="Q47" s="26">
        <v>4</v>
      </c>
      <c r="R47" s="8"/>
      <c r="S47" s="26">
        <v>5.2000000000000002</v>
      </c>
      <c r="T47" s="8"/>
      <c r="U47" s="26">
        <v>6.2999999999999998</v>
      </c>
      <c r="V47" s="8"/>
      <c r="W47" s="26">
        <v>7.2000000000000002</v>
      </c>
      <c r="X47" s="8"/>
      <c r="Y47" s="26">
        <v>6.5999999999999996</v>
      </c>
      <c r="Z47" s="8"/>
      <c r="AA47" s="26">
        <v>7.0999999999999996</v>
      </c>
      <c r="AB47" s="8"/>
      <c r="AC47" s="8"/>
    </row>
    <row r="48" ht="12" customHeight="1">
      <c r="A48" s="11" t="s">
        <v>157</v>
      </c>
      <c r="B48" s="8" t="s">
        <v>692</v>
      </c>
      <c r="C48" s="26">
        <v>5.7999999999999998</v>
      </c>
      <c r="D48" s="8"/>
      <c r="E48" s="26">
        <v>7.5</v>
      </c>
      <c r="F48" s="8"/>
      <c r="G48" s="26">
        <v>7.7000000000000002</v>
      </c>
      <c r="H48" s="8"/>
      <c r="I48" s="26">
        <v>6.4000000000000004</v>
      </c>
      <c r="J48" s="8"/>
      <c r="K48" s="26">
        <v>4.5</v>
      </c>
      <c r="L48" s="8"/>
      <c r="M48" s="26">
        <v>6.2000000000000002</v>
      </c>
      <c r="N48" s="8"/>
      <c r="O48" s="26">
        <v>2.7999999999999998</v>
      </c>
      <c r="P48" s="8"/>
      <c r="Q48" s="26">
        <v>2.1000000000000001</v>
      </c>
      <c r="R48" s="8"/>
      <c r="S48" s="26">
        <v>2.7000000000000002</v>
      </c>
      <c r="T48" s="8"/>
      <c r="U48" s="26">
        <v>-0.20000000000000001</v>
      </c>
      <c r="V48" s="8"/>
      <c r="W48" s="26">
        <v>2.5</v>
      </c>
      <c r="X48" s="8"/>
      <c r="Y48" s="26">
        <v>3</v>
      </c>
      <c r="Z48" s="8"/>
      <c r="AA48" s="26">
        <v>2.8999999999999999</v>
      </c>
      <c r="AB48" s="8"/>
      <c r="AC48" s="8"/>
    </row>
    <row r="49" ht="12" customHeight="1">
      <c r="A49" s="8" t="s">
        <v>159</v>
      </c>
      <c r="B49" s="8" t="s">
        <v>693</v>
      </c>
      <c r="C49" s="26">
        <v>-6.0999999999999996</v>
      </c>
      <c r="D49" s="8"/>
      <c r="E49" s="26">
        <v>-3.3999999999999999</v>
      </c>
      <c r="F49" s="8"/>
      <c r="G49" s="26">
        <v>-8</v>
      </c>
      <c r="H49" s="8"/>
      <c r="I49" s="26">
        <v>-10.4</v>
      </c>
      <c r="J49" s="8"/>
      <c r="K49" s="26">
        <v>-9.1999999999999993</v>
      </c>
      <c r="L49" s="8"/>
      <c r="M49" s="26">
        <v>-12.699999999999999</v>
      </c>
      <c r="N49" s="8"/>
      <c r="O49" s="26">
        <v>-6.7999999999999998</v>
      </c>
      <c r="P49" s="8"/>
      <c r="Q49" s="26">
        <v>-6.0999999999999996</v>
      </c>
      <c r="R49" s="8"/>
      <c r="S49" s="26">
        <v>-6.9000000000000004</v>
      </c>
      <c r="T49" s="8"/>
      <c r="U49" s="26">
        <v>-5.5999999999999996</v>
      </c>
      <c r="V49" s="8"/>
      <c r="W49" s="26">
        <v>-11.4</v>
      </c>
      <c r="X49" s="8"/>
      <c r="Y49" s="26">
        <v>-12.4</v>
      </c>
      <c r="Z49" s="8"/>
      <c r="AA49" s="26">
        <v>-10.300000000000001</v>
      </c>
      <c r="AB49" s="8"/>
      <c r="AC49" s="8"/>
    </row>
    <row r="50" ht="12" customHeight="1">
      <c r="A50" s="8" t="s">
        <v>161</v>
      </c>
      <c r="B50" s="8" t="s">
        <v>694</v>
      </c>
      <c r="C50" s="26">
        <v>7.4000000000000004</v>
      </c>
      <c r="D50" s="8"/>
      <c r="E50" s="26">
        <v>8.1999999999999993</v>
      </c>
      <c r="F50" s="8"/>
      <c r="G50" s="26">
        <v>4.5999999999999996</v>
      </c>
      <c r="H50" s="8"/>
      <c r="I50" s="26">
        <v>3.8999999999999999</v>
      </c>
      <c r="J50" s="8"/>
      <c r="K50" s="26">
        <v>3.1000000000000001</v>
      </c>
      <c r="L50" s="8"/>
      <c r="M50" s="26">
        <v>0.90000000000000002</v>
      </c>
      <c r="N50" s="8"/>
      <c r="O50" s="26">
        <v>1.2</v>
      </c>
      <c r="P50" s="8"/>
      <c r="Q50" s="26">
        <v>0.5</v>
      </c>
      <c r="R50" s="8"/>
      <c r="S50" s="26">
        <v>0.20000000000000001</v>
      </c>
      <c r="T50" s="8"/>
      <c r="U50" s="26">
        <v>1.3999999999999999</v>
      </c>
      <c r="V50" s="8"/>
      <c r="W50" s="26">
        <v>2.6000000000000001</v>
      </c>
      <c r="X50" s="8"/>
      <c r="Y50" s="26">
        <v>2.2000000000000002</v>
      </c>
      <c r="Z50" s="8"/>
      <c r="AA50" s="26">
        <v>3</v>
      </c>
      <c r="AB50" s="8"/>
      <c r="AC50" s="8"/>
    </row>
    <row r="51" ht="12" customHeight="1">
      <c r="A51" s="8" t="s">
        <v>163</v>
      </c>
      <c r="B51" s="8" t="s">
        <v>695</v>
      </c>
      <c r="C51" s="26">
        <v>6.5</v>
      </c>
      <c r="D51" s="8"/>
      <c r="E51" s="26">
        <v>8.6999999999999993</v>
      </c>
      <c r="F51" s="8"/>
      <c r="G51" s="26">
        <v>10.199999999999999</v>
      </c>
      <c r="H51" s="8"/>
      <c r="I51" s="26">
        <v>7.4000000000000004</v>
      </c>
      <c r="J51" s="8"/>
      <c r="K51" s="26">
        <v>5.2000000000000002</v>
      </c>
      <c r="L51" s="8"/>
      <c r="M51" s="26">
        <v>4.9000000000000004</v>
      </c>
      <c r="N51" s="8"/>
      <c r="O51" s="26">
        <v>-1.5</v>
      </c>
      <c r="P51" s="8"/>
      <c r="Q51" s="26">
        <v>0.69999999999999996</v>
      </c>
      <c r="R51" s="8"/>
      <c r="S51" s="26">
        <v>1.8999999999999999</v>
      </c>
      <c r="T51" s="8"/>
      <c r="U51" s="26">
        <v>-0.80000000000000004</v>
      </c>
      <c r="V51" s="8"/>
      <c r="W51" s="26">
        <v>-0.20000000000000001</v>
      </c>
      <c r="X51" s="8"/>
      <c r="Y51" s="26">
        <v>-0.80000000000000004</v>
      </c>
      <c r="Z51" s="8"/>
      <c r="AA51" s="26">
        <v>-1.6000000000000001</v>
      </c>
      <c r="AB51" s="8"/>
      <c r="AC51" s="8"/>
    </row>
    <row r="52" ht="12" customHeight="1">
      <c r="A52" s="8" t="s">
        <v>165</v>
      </c>
      <c r="B52" s="8" t="s">
        <v>696</v>
      </c>
      <c r="C52" s="26">
        <v>2</v>
      </c>
      <c r="D52" s="8"/>
      <c r="E52" s="26">
        <v>3.2999999999999998</v>
      </c>
      <c r="F52" s="8"/>
      <c r="G52" s="26">
        <v>4.4000000000000004</v>
      </c>
      <c r="H52" s="8"/>
      <c r="I52" s="26">
        <v>7.2999999999999998</v>
      </c>
      <c r="J52" s="8"/>
      <c r="K52" s="26">
        <v>7</v>
      </c>
      <c r="L52" s="8"/>
      <c r="M52" s="26">
        <v>7.7000000000000002</v>
      </c>
      <c r="N52" s="8"/>
      <c r="O52" s="26">
        <v>8.0999999999999996</v>
      </c>
      <c r="P52" s="8"/>
      <c r="Q52" s="26">
        <v>7.4000000000000004</v>
      </c>
      <c r="R52" s="8"/>
      <c r="S52" s="26">
        <v>5.4000000000000004</v>
      </c>
      <c r="T52" s="8"/>
      <c r="U52" s="26">
        <v>3.7000000000000002</v>
      </c>
      <c r="V52" s="8"/>
      <c r="W52" s="26">
        <v>6.7999999999999998</v>
      </c>
      <c r="X52" s="8"/>
      <c r="Y52" s="26">
        <v>6.5999999999999996</v>
      </c>
      <c r="Z52" s="8"/>
      <c r="AA52" s="26">
        <v>6.7999999999999998</v>
      </c>
      <c r="AB52" s="8"/>
      <c r="AC52" s="8"/>
    </row>
    <row r="53" ht="12" customHeight="1">
      <c r="A53" s="8" t="s">
        <v>167</v>
      </c>
      <c r="B53" s="8" t="s">
        <v>697</v>
      </c>
      <c r="C53" s="26">
        <v>6.9000000000000004</v>
      </c>
      <c r="D53" s="8"/>
      <c r="E53" s="26">
        <v>9.9000000000000004</v>
      </c>
      <c r="F53" s="8"/>
      <c r="G53" s="26">
        <v>8.5</v>
      </c>
      <c r="H53" s="8"/>
      <c r="I53" s="26">
        <v>9.5999999999999996</v>
      </c>
      <c r="J53" s="8"/>
      <c r="K53" s="26">
        <v>6.2999999999999998</v>
      </c>
      <c r="L53" s="8"/>
      <c r="M53" s="26">
        <v>5.2999999999999998</v>
      </c>
      <c r="N53" s="8"/>
      <c r="O53" s="26">
        <v>3.8999999999999999</v>
      </c>
      <c r="P53" s="8"/>
      <c r="Q53" s="26">
        <v>2.2999999999999998</v>
      </c>
      <c r="R53" s="8"/>
      <c r="S53" s="26">
        <v>2.7000000000000002</v>
      </c>
      <c r="T53" s="8"/>
      <c r="U53" s="26">
        <v>1.8999999999999999</v>
      </c>
      <c r="V53" s="8"/>
      <c r="W53" s="26">
        <v>0.69999999999999996</v>
      </c>
      <c r="X53" s="8"/>
      <c r="Y53" s="26">
        <v>2.7000000000000002</v>
      </c>
      <c r="Z53" s="8"/>
      <c r="AA53" s="26">
        <v>3.5</v>
      </c>
      <c r="AB53" s="8"/>
      <c r="AC53" s="8"/>
    </row>
    <row r="54" ht="12" customHeight="1">
      <c r="A54" s="8" t="s">
        <v>169</v>
      </c>
      <c r="B54" s="8" t="s">
        <v>698</v>
      </c>
      <c r="C54" s="26">
        <v>15.6</v>
      </c>
      <c r="D54" s="8"/>
      <c r="E54" s="26">
        <v>14.800000000000001</v>
      </c>
      <c r="F54" s="8"/>
      <c r="G54" s="26">
        <v>14.300000000000001</v>
      </c>
      <c r="H54" s="8"/>
      <c r="I54" s="26">
        <v>8.5</v>
      </c>
      <c r="J54" s="8"/>
      <c r="K54" s="26">
        <v>4.2000000000000002</v>
      </c>
      <c r="L54" s="8"/>
      <c r="M54" s="26">
        <v>9.5</v>
      </c>
      <c r="N54" s="8"/>
      <c r="O54" s="26">
        <v>3.2000000000000002</v>
      </c>
      <c r="P54" s="8"/>
      <c r="Q54" s="26">
        <v>0.29999999999999999</v>
      </c>
      <c r="R54" s="8"/>
      <c r="S54" s="26">
        <v>2.8999999999999999</v>
      </c>
      <c r="T54" s="8"/>
      <c r="U54" s="26">
        <v>-1.3999999999999999</v>
      </c>
      <c r="V54" s="8"/>
      <c r="W54" s="26">
        <v>4.9000000000000004</v>
      </c>
      <c r="X54" s="8"/>
      <c r="Y54" s="26">
        <v>6.9000000000000004</v>
      </c>
      <c r="Z54" s="8"/>
      <c r="AA54" s="26">
        <v>6.9000000000000004</v>
      </c>
      <c r="AB54" s="8"/>
      <c r="AC54" s="8"/>
    </row>
    <row r="55" ht="12" customHeight="1">
      <c r="A55" s="11" t="s">
        <v>171</v>
      </c>
      <c r="B55" s="8" t="s">
        <v>699</v>
      </c>
      <c r="C55" s="26">
        <v>3.2000000000000002</v>
      </c>
      <c r="D55" s="8"/>
      <c r="E55" s="26">
        <v>4.4000000000000004</v>
      </c>
      <c r="F55" s="8"/>
      <c r="G55" s="26">
        <v>4.4000000000000004</v>
      </c>
      <c r="H55" s="8"/>
      <c r="I55" s="26">
        <v>4.2999999999999998</v>
      </c>
      <c r="J55" s="8"/>
      <c r="K55" s="26">
        <v>4.2999999999999998</v>
      </c>
      <c r="L55" s="8"/>
      <c r="M55" s="26">
        <v>5.2000000000000002</v>
      </c>
      <c r="N55" s="8"/>
      <c r="O55" s="26">
        <v>5.2000000000000002</v>
      </c>
      <c r="P55" s="8"/>
      <c r="Q55" s="26">
        <v>-2</v>
      </c>
      <c r="R55" s="8"/>
      <c r="S55" s="26">
        <v>-2</v>
      </c>
      <c r="T55" s="8"/>
      <c r="U55" s="26">
        <v>0.90000000000000002</v>
      </c>
      <c r="V55" s="8"/>
      <c r="W55" s="26">
        <v>0.90000000000000002</v>
      </c>
      <c r="X55" s="8"/>
      <c r="Y55" s="26">
        <v>7.7999999999999998</v>
      </c>
      <c r="Z55" s="8"/>
      <c r="AA55" s="26">
        <v>7.7999999999999998</v>
      </c>
      <c r="AB55" s="8"/>
      <c r="AC55" s="8"/>
    </row>
    <row r="56" ht="12" customHeight="1">
      <c r="A56" s="8" t="s">
        <v>173</v>
      </c>
      <c r="B56" s="8" t="s">
        <v>700</v>
      </c>
      <c r="C56" s="26">
        <v>4</v>
      </c>
      <c r="D56" s="8"/>
      <c r="E56" s="26">
        <v>4</v>
      </c>
      <c r="F56" s="8"/>
      <c r="G56" s="26">
        <v>4</v>
      </c>
      <c r="H56" s="8"/>
      <c r="I56" s="26">
        <v>3.6000000000000001</v>
      </c>
      <c r="J56" s="8"/>
      <c r="K56" s="26">
        <v>3.6000000000000001</v>
      </c>
      <c r="L56" s="8"/>
      <c r="M56" s="26">
        <v>3.6000000000000001</v>
      </c>
      <c r="N56" s="8"/>
      <c r="O56" s="26">
        <v>3.6000000000000001</v>
      </c>
      <c r="P56" s="8"/>
      <c r="Q56" s="26">
        <v>-21.399999999999999</v>
      </c>
      <c r="R56" s="8"/>
      <c r="S56" s="26">
        <v>-21.399999999999999</v>
      </c>
      <c r="T56" s="8"/>
      <c r="U56" s="26">
        <v>-21.399999999999999</v>
      </c>
      <c r="V56" s="8"/>
      <c r="W56" s="26">
        <v>-21.399999999999999</v>
      </c>
      <c r="X56" s="8"/>
      <c r="Y56" s="26">
        <v>2.3999999999999999</v>
      </c>
      <c r="Z56" s="8"/>
      <c r="AA56" s="26">
        <v>2.3999999999999999</v>
      </c>
      <c r="AB56" s="8"/>
      <c r="AC56" s="8"/>
    </row>
    <row r="57" ht="12" customHeight="1">
      <c r="A57" s="8" t="s">
        <v>175</v>
      </c>
      <c r="B57" s="8" t="s">
        <v>701</v>
      </c>
      <c r="C57" s="26">
        <v>3.8999999999999999</v>
      </c>
      <c r="D57" s="8"/>
      <c r="E57" s="26">
        <v>4.5</v>
      </c>
      <c r="F57" s="8"/>
      <c r="G57" s="26">
        <v>4.5</v>
      </c>
      <c r="H57" s="8"/>
      <c r="I57" s="26">
        <v>4.5</v>
      </c>
      <c r="J57" s="8"/>
      <c r="K57" s="26">
        <v>4.5</v>
      </c>
      <c r="L57" s="8"/>
      <c r="M57" s="26">
        <v>6.0999999999999996</v>
      </c>
      <c r="N57" s="8"/>
      <c r="O57" s="26">
        <v>6.0999999999999996</v>
      </c>
      <c r="P57" s="8"/>
      <c r="Q57" s="26">
        <v>6.0999999999999996</v>
      </c>
      <c r="R57" s="8"/>
      <c r="S57" s="26">
        <v>6.0999999999999996</v>
      </c>
      <c r="T57" s="8"/>
      <c r="U57" s="26">
        <v>4</v>
      </c>
      <c r="V57" s="8"/>
      <c r="W57" s="26">
        <v>4</v>
      </c>
      <c r="X57" s="8"/>
      <c r="Y57" s="26">
        <v>4</v>
      </c>
      <c r="Z57" s="8"/>
      <c r="AA57" s="26">
        <v>4</v>
      </c>
      <c r="AB57" s="8"/>
      <c r="AC57" s="8"/>
    </row>
    <row r="58" ht="12" customHeight="1">
      <c r="A58" s="8" t="s">
        <v>177</v>
      </c>
      <c r="B58" s="8" t="s">
        <v>702</v>
      </c>
      <c r="C58" s="26">
        <v>1.5</v>
      </c>
      <c r="D58" s="8"/>
      <c r="E58" s="26">
        <v>4.4000000000000004</v>
      </c>
      <c r="F58" s="8"/>
      <c r="G58" s="26">
        <v>4.4000000000000004</v>
      </c>
      <c r="H58" s="8"/>
      <c r="I58" s="26">
        <v>4.4000000000000004</v>
      </c>
      <c r="J58" s="8"/>
      <c r="K58" s="26">
        <v>4.4000000000000004</v>
      </c>
      <c r="L58" s="8"/>
      <c r="M58" s="26">
        <v>5.7999999999999998</v>
      </c>
      <c r="N58" s="8"/>
      <c r="O58" s="26">
        <v>5.7999999999999998</v>
      </c>
      <c r="P58" s="8"/>
      <c r="Q58" s="26">
        <v>5.7999999999999998</v>
      </c>
      <c r="R58" s="8"/>
      <c r="S58" s="26">
        <v>5.7999999999999998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  <c r="AC58" s="8"/>
    </row>
    <row r="59" ht="12" customHeight="1">
      <c r="A59" s="8" t="s">
        <v>179</v>
      </c>
      <c r="B59" s="8" t="s">
        <v>703</v>
      </c>
      <c r="C59" s="26">
        <v>0.90000000000000002</v>
      </c>
      <c r="D59" s="8"/>
      <c r="E59" s="26">
        <v>5.9000000000000004</v>
      </c>
      <c r="F59" s="8"/>
      <c r="G59" s="26">
        <v>5.9000000000000004</v>
      </c>
      <c r="H59" s="8"/>
      <c r="I59" s="26">
        <v>5.9000000000000004</v>
      </c>
      <c r="J59" s="8"/>
      <c r="K59" s="26">
        <v>5.9000000000000004</v>
      </c>
      <c r="L59" s="8"/>
      <c r="M59" s="26">
        <v>3.1000000000000001</v>
      </c>
      <c r="N59" s="8"/>
      <c r="O59" s="26">
        <v>3.1000000000000001</v>
      </c>
      <c r="P59" s="8"/>
      <c r="Q59" s="26">
        <v>3.1000000000000001</v>
      </c>
      <c r="R59" s="8"/>
      <c r="S59" s="26">
        <v>3.1000000000000001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704</v>
      </c>
      <c r="C60" s="26">
        <v>4.5</v>
      </c>
      <c r="D60" s="8"/>
      <c r="E60" s="26">
        <v>5.2000000000000002</v>
      </c>
      <c r="F60" s="8"/>
      <c r="G60" s="26">
        <v>7.2000000000000002</v>
      </c>
      <c r="H60" s="8"/>
      <c r="I60" s="26">
        <v>8.4000000000000004</v>
      </c>
      <c r="J60" s="8"/>
      <c r="K60" s="26">
        <v>9.0999999999999996</v>
      </c>
      <c r="L60" s="8"/>
      <c r="M60" s="26">
        <v>10</v>
      </c>
      <c r="N60" s="8"/>
      <c r="O60" s="26">
        <v>9.8000000000000007</v>
      </c>
      <c r="P60" s="8"/>
      <c r="Q60" s="26">
        <v>9.1999999999999993</v>
      </c>
      <c r="R60" s="8"/>
      <c r="S60" s="26">
        <v>8.4000000000000004</v>
      </c>
      <c r="T60" s="8"/>
      <c r="U60" s="26">
        <v>7.2000000000000002</v>
      </c>
      <c r="V60" s="8"/>
      <c r="W60" s="26">
        <v>6</v>
      </c>
      <c r="X60" s="8"/>
      <c r="Y60" s="26">
        <v>5.0999999999999996</v>
      </c>
      <c r="Z60" s="8"/>
      <c r="AA60" s="26">
        <v>4.2000000000000002</v>
      </c>
      <c r="AB60" s="8"/>
      <c r="AC60" s="8"/>
    </row>
    <row r="61" ht="12" customHeight="1">
      <c r="A61" s="8" t="s">
        <v>183</v>
      </c>
      <c r="B61" s="8" t="s">
        <v>705</v>
      </c>
      <c r="C61" s="26">
        <v>6.9000000000000004</v>
      </c>
      <c r="D61" s="8"/>
      <c r="E61" s="26">
        <v>6.2000000000000002</v>
      </c>
      <c r="F61" s="8"/>
      <c r="G61" s="26">
        <v>7.0999999999999996</v>
      </c>
      <c r="H61" s="8"/>
      <c r="I61" s="26">
        <v>5.5</v>
      </c>
      <c r="J61" s="8"/>
      <c r="K61" s="26">
        <v>3.2999999999999998</v>
      </c>
      <c r="L61" s="8"/>
      <c r="M61" s="26">
        <v>2.2000000000000002</v>
      </c>
      <c r="N61" s="8"/>
      <c r="O61" s="26">
        <v>0.29999999999999999</v>
      </c>
      <c r="P61" s="8"/>
      <c r="Q61" s="26">
        <v>0.5</v>
      </c>
      <c r="R61" s="8"/>
      <c r="S61" s="26">
        <v>0.90000000000000002</v>
      </c>
      <c r="T61" s="8"/>
      <c r="U61" s="26">
        <v>1.2</v>
      </c>
      <c r="V61" s="8"/>
      <c r="W61" s="26">
        <v>1.8</v>
      </c>
      <c r="X61" s="8"/>
      <c r="Y61" s="26">
        <v>2.2999999999999998</v>
      </c>
      <c r="Z61" s="8"/>
      <c r="AA61" s="26">
        <v>1.8</v>
      </c>
      <c r="AB61" s="8"/>
      <c r="AC61" s="8"/>
    </row>
    <row r="62" ht="12" customHeight="1">
      <c r="A62" s="8" t="s">
        <v>185</v>
      </c>
      <c r="B62" s="8" t="s">
        <v>706</v>
      </c>
      <c r="C62" s="26">
        <v>6.9000000000000004</v>
      </c>
      <c r="D62" s="8"/>
      <c r="E62" s="26">
        <v>7.5999999999999996</v>
      </c>
      <c r="F62" s="8"/>
      <c r="G62" s="26">
        <v>4.2000000000000002</v>
      </c>
      <c r="H62" s="8"/>
      <c r="I62" s="26">
        <v>2</v>
      </c>
      <c r="J62" s="8"/>
      <c r="K62" s="26">
        <v>1.6000000000000001</v>
      </c>
      <c r="L62" s="8"/>
      <c r="M62" s="26">
        <v>1.6000000000000001</v>
      </c>
      <c r="N62" s="8"/>
      <c r="O62" s="26">
        <v>5.5999999999999996</v>
      </c>
      <c r="P62" s="8"/>
      <c r="Q62" s="26">
        <v>6</v>
      </c>
      <c r="R62" s="8"/>
      <c r="S62" s="26">
        <v>6.4000000000000004</v>
      </c>
      <c r="T62" s="8"/>
      <c r="U62" s="26">
        <v>6.0999999999999996</v>
      </c>
      <c r="V62" s="8"/>
      <c r="W62" s="26">
        <v>6.5</v>
      </c>
      <c r="X62" s="8"/>
      <c r="Y62" s="26">
        <v>6.5</v>
      </c>
      <c r="Z62" s="8"/>
      <c r="AA62" s="26">
        <v>8.1999999999999993</v>
      </c>
      <c r="AB62" s="8"/>
      <c r="AC62" s="8"/>
    </row>
    <row r="63" ht="12" customHeight="1">
      <c r="A63" s="8" t="s">
        <v>187</v>
      </c>
      <c r="B63" s="8" t="s">
        <v>707</v>
      </c>
      <c r="C63" s="26">
        <v>3.2999999999999998</v>
      </c>
      <c r="D63" s="8"/>
      <c r="E63" s="26">
        <v>5</v>
      </c>
      <c r="F63" s="8"/>
      <c r="G63" s="26">
        <v>8.3000000000000007</v>
      </c>
      <c r="H63" s="8"/>
      <c r="I63" s="26">
        <v>11.9</v>
      </c>
      <c r="J63" s="8"/>
      <c r="K63" s="26">
        <v>14.300000000000001</v>
      </c>
      <c r="L63" s="8"/>
      <c r="M63" s="26">
        <v>16.399999999999999</v>
      </c>
      <c r="N63" s="8"/>
      <c r="O63" s="26">
        <v>16.5</v>
      </c>
      <c r="P63" s="8"/>
      <c r="Q63" s="26">
        <v>15.300000000000001</v>
      </c>
      <c r="R63" s="8"/>
      <c r="S63" s="26">
        <v>13.6</v>
      </c>
      <c r="T63" s="8"/>
      <c r="U63" s="26">
        <v>10.9</v>
      </c>
      <c r="V63" s="8"/>
      <c r="W63" s="26">
        <v>8.5999999999999996</v>
      </c>
      <c r="X63" s="8"/>
      <c r="Y63" s="26">
        <v>6.7999999999999998</v>
      </c>
      <c r="Z63" s="8"/>
      <c r="AA63" s="26">
        <v>5.2999999999999998</v>
      </c>
      <c r="AB63" s="8"/>
      <c r="AC63" s="8"/>
    </row>
    <row r="64" ht="12" customHeight="1">
      <c r="A64" s="8" t="s">
        <v>189</v>
      </c>
      <c r="B64" s="8" t="s">
        <v>708</v>
      </c>
      <c r="C64" s="26">
        <v>-5.9000000000000004</v>
      </c>
      <c r="D64" s="8"/>
      <c r="E64" s="26">
        <v>-7.7999999999999998</v>
      </c>
      <c r="F64" s="8"/>
      <c r="G64" s="26">
        <v>2.2999999999999998</v>
      </c>
      <c r="H64" s="8"/>
      <c r="I64" s="26">
        <v>-4.2000000000000002</v>
      </c>
      <c r="J64" s="8"/>
      <c r="K64" s="26">
        <v>-2</v>
      </c>
      <c r="L64" s="8"/>
      <c r="M64" s="26">
        <v>0</v>
      </c>
      <c r="N64" s="8"/>
      <c r="O64" s="26">
        <v>0</v>
      </c>
      <c r="P64" s="8"/>
      <c r="Q64" s="26">
        <v>-3</v>
      </c>
      <c r="R64" s="8"/>
      <c r="S64" s="26">
        <v>-5.0999999999999996</v>
      </c>
      <c r="T64" s="8"/>
      <c r="U64" s="26">
        <v>-5.0999999999999996</v>
      </c>
      <c r="V64" s="8"/>
      <c r="W64" s="26">
        <v>-5.9000000000000004</v>
      </c>
      <c r="X64" s="8"/>
      <c r="Y64" s="26">
        <v>-2.8999999999999999</v>
      </c>
      <c r="Z64" s="8"/>
      <c r="AA64" s="26">
        <v>-0.80000000000000004</v>
      </c>
      <c r="AB64" s="8"/>
      <c r="AC64" s="8"/>
    </row>
    <row r="65" ht="12" customHeight="1">
      <c r="A65" s="8" t="s">
        <v>191</v>
      </c>
      <c r="B65" s="8" t="s">
        <v>709</v>
      </c>
      <c r="C65" s="26">
        <v>5.2999999999999998</v>
      </c>
      <c r="D65" s="8"/>
      <c r="E65" s="26">
        <v>5.2000000000000002</v>
      </c>
      <c r="F65" s="8"/>
      <c r="G65" s="26">
        <v>3.7999999999999998</v>
      </c>
      <c r="H65" s="8"/>
      <c r="I65" s="26">
        <v>3.6000000000000001</v>
      </c>
      <c r="J65" s="8"/>
      <c r="K65" s="26">
        <v>3.6000000000000001</v>
      </c>
      <c r="L65" s="8"/>
      <c r="M65" s="26">
        <v>2.8999999999999999</v>
      </c>
      <c r="N65" s="8"/>
      <c r="O65" s="26">
        <v>3.5</v>
      </c>
      <c r="P65" s="8"/>
      <c r="Q65" s="26">
        <v>2.7000000000000002</v>
      </c>
      <c r="R65" s="8"/>
      <c r="S65" s="26">
        <v>3.3999999999999999</v>
      </c>
      <c r="T65" s="8"/>
      <c r="U65" s="26">
        <v>3.3999999999999999</v>
      </c>
      <c r="V65" s="8"/>
      <c r="W65" s="26">
        <v>2.8999999999999999</v>
      </c>
      <c r="X65" s="8"/>
      <c r="Y65" s="26">
        <v>2.2000000000000002</v>
      </c>
      <c r="Z65" s="8"/>
      <c r="AA65" s="26">
        <v>1.3</v>
      </c>
      <c r="AB65" s="8"/>
      <c r="AC65" s="8"/>
    </row>
    <row r="66" ht="12" customHeight="1">
      <c r="A66" s="11" t="s">
        <v>193</v>
      </c>
      <c r="B66" s="8" t="s">
        <v>710</v>
      </c>
      <c r="C66" s="26">
        <v>45.299999999999997</v>
      </c>
      <c r="D66" s="8"/>
      <c r="E66" s="26">
        <v>37.5</v>
      </c>
      <c r="F66" s="8"/>
      <c r="G66" s="26">
        <v>28.399999999999999</v>
      </c>
      <c r="H66" s="8"/>
      <c r="I66" s="26">
        <v>27</v>
      </c>
      <c r="J66" s="8"/>
      <c r="K66" s="26">
        <v>31.100000000000001</v>
      </c>
      <c r="L66" s="8"/>
      <c r="M66" s="26">
        <v>28.300000000000001</v>
      </c>
      <c r="N66" s="8"/>
      <c r="O66" s="26">
        <v>27</v>
      </c>
      <c r="P66" s="8"/>
      <c r="Q66" s="26">
        <v>18.199999999999999</v>
      </c>
      <c r="R66" s="8"/>
      <c r="S66" s="26">
        <v>7.0999999999999996</v>
      </c>
      <c r="T66" s="8"/>
      <c r="U66" s="26">
        <v>0.29999999999999999</v>
      </c>
      <c r="V66" s="8"/>
      <c r="W66" s="26">
        <v>-8</v>
      </c>
      <c r="X66" s="8"/>
      <c r="Y66" s="26">
        <v>-14.800000000000001</v>
      </c>
      <c r="Z66" s="8"/>
      <c r="AA66" s="26">
        <v>-17.800000000000001</v>
      </c>
      <c r="AB66" s="8"/>
      <c r="AC66" s="8"/>
    </row>
    <row r="67" ht="12" customHeight="1">
      <c r="A67" s="8" t="s">
        <v>195</v>
      </c>
      <c r="B67" s="8" t="s">
        <v>711</v>
      </c>
      <c r="C67" s="26">
        <v>45.299999999999997</v>
      </c>
      <c r="D67" s="8"/>
      <c r="E67" s="26">
        <v>37.5</v>
      </c>
      <c r="F67" s="8"/>
      <c r="G67" s="26">
        <v>28.399999999999999</v>
      </c>
      <c r="H67" s="8"/>
      <c r="I67" s="26">
        <v>27</v>
      </c>
      <c r="J67" s="8"/>
      <c r="K67" s="26">
        <v>31.100000000000001</v>
      </c>
      <c r="L67" s="8"/>
      <c r="M67" s="26">
        <v>28.300000000000001</v>
      </c>
      <c r="N67" s="8"/>
      <c r="O67" s="26">
        <v>27</v>
      </c>
      <c r="P67" s="8"/>
      <c r="Q67" s="26">
        <v>18.199999999999999</v>
      </c>
      <c r="R67" s="8"/>
      <c r="S67" s="26">
        <v>7.0999999999999996</v>
      </c>
      <c r="T67" s="8"/>
      <c r="U67" s="26">
        <v>0.29999999999999999</v>
      </c>
      <c r="V67" s="8"/>
      <c r="W67" s="26">
        <v>-8</v>
      </c>
      <c r="X67" s="8"/>
      <c r="Y67" s="26">
        <v>-14.800000000000001</v>
      </c>
      <c r="Z67" s="8"/>
      <c r="AA67" s="26">
        <v>-17.800000000000001</v>
      </c>
      <c r="AB67" s="8"/>
      <c r="AC67" s="8"/>
    </row>
    <row r="68" ht="12" customHeight="1">
      <c r="A68" s="13" t="s">
        <v>69</v>
      </c>
      <c r="B68" s="10" t="s">
        <v>56</v>
      </c>
      <c r="C68" s="27">
        <v>9</v>
      </c>
      <c r="D68" s="10"/>
      <c r="E68" s="27">
        <v>8.3000000000000007</v>
      </c>
      <c r="F68" s="10"/>
      <c r="G68" s="27">
        <v>7.7000000000000002</v>
      </c>
      <c r="H68" s="10"/>
      <c r="I68" s="27">
        <v>7.7000000000000002</v>
      </c>
      <c r="J68" s="10"/>
      <c r="K68" s="27">
        <v>7.2999999999999998</v>
      </c>
      <c r="L68" s="10"/>
      <c r="M68" s="27">
        <v>6.5999999999999996</v>
      </c>
      <c r="N68" s="10"/>
      <c r="O68" s="27">
        <v>5.5999999999999996</v>
      </c>
      <c r="P68" s="10"/>
      <c r="Q68" s="27">
        <v>3.7000000000000002</v>
      </c>
      <c r="R68" s="10"/>
      <c r="S68" s="27">
        <v>2.7999999999999998</v>
      </c>
      <c r="T68" s="10"/>
      <c r="U68" s="27">
        <v>2.2999999999999998</v>
      </c>
      <c r="V68" s="10"/>
      <c r="W68" s="27">
        <v>1.8</v>
      </c>
      <c r="X68" s="10"/>
      <c r="Y68" s="27">
        <v>1.3</v>
      </c>
      <c r="Z68" s="10"/>
      <c r="AA68" s="27">
        <v>1.2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714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716</v>
      </c>
      <c r="C8" s="19">
        <v>1235</v>
      </c>
      <c r="D8" s="19"/>
      <c r="E8" s="19">
        <v>1290</v>
      </c>
      <c r="F8" s="19"/>
      <c r="G8" s="19">
        <v>1313</v>
      </c>
      <c r="H8" s="19"/>
      <c r="I8" s="19">
        <v>1319</v>
      </c>
      <c r="J8" s="19"/>
      <c r="K8" s="19">
        <v>1302</v>
      </c>
      <c r="L8" s="19"/>
      <c r="M8" s="19">
        <v>1309</v>
      </c>
      <c r="N8" s="19"/>
      <c r="O8" s="19">
        <v>1303</v>
      </c>
      <c r="P8" s="19"/>
      <c r="Q8" s="19">
        <v>1318</v>
      </c>
      <c r="R8" s="19"/>
      <c r="S8" s="19">
        <v>1315</v>
      </c>
      <c r="T8" s="19"/>
      <c r="U8" s="19">
        <v>1342</v>
      </c>
      <c r="V8" s="19"/>
      <c r="W8" s="19">
        <v>1365</v>
      </c>
      <c r="X8" s="19"/>
      <c r="Y8" s="19">
        <v>1392</v>
      </c>
      <c r="Z8" s="19"/>
      <c r="AA8" s="19">
        <v>1378</v>
      </c>
      <c r="AB8" s="19"/>
      <c r="AC8" s="18"/>
      <c r="AE8" s="18"/>
      <c r="AG8" s="18"/>
    </row>
    <row r="9" ht="12" customHeight="1">
      <c r="A9" s="8" t="s">
        <v>79</v>
      </c>
      <c r="B9" s="8" t="s">
        <v>717</v>
      </c>
      <c r="C9" s="24">
        <v>1419</v>
      </c>
      <c r="D9" s="8"/>
      <c r="E9" s="24">
        <v>1574</v>
      </c>
      <c r="F9" s="8"/>
      <c r="G9" s="24">
        <v>1549</v>
      </c>
      <c r="H9" s="8"/>
      <c r="I9" s="24">
        <v>1540</v>
      </c>
      <c r="J9" s="8"/>
      <c r="K9" s="24">
        <v>1467</v>
      </c>
      <c r="L9" s="8"/>
      <c r="M9" s="24">
        <v>1449</v>
      </c>
      <c r="N9" s="8"/>
      <c r="O9" s="24">
        <v>1317</v>
      </c>
      <c r="P9" s="8"/>
      <c r="Q9" s="24">
        <v>1351</v>
      </c>
      <c r="R9" s="8"/>
      <c r="S9" s="24">
        <v>1317</v>
      </c>
      <c r="T9" s="8"/>
      <c r="U9" s="24">
        <v>1338</v>
      </c>
      <c r="V9" s="8"/>
      <c r="W9" s="24">
        <v>1375</v>
      </c>
      <c r="X9" s="8"/>
      <c r="Y9" s="24">
        <v>1489</v>
      </c>
      <c r="Z9" s="8"/>
      <c r="AA9" s="24">
        <v>1369</v>
      </c>
      <c r="AB9" s="8"/>
      <c r="AC9" s="8"/>
      <c r="AE9" s="8"/>
      <c r="AG9" s="8"/>
    </row>
    <row r="10" ht="12" customHeight="1">
      <c r="A10" s="8" t="s">
        <v>81</v>
      </c>
      <c r="B10" s="8" t="s">
        <v>718</v>
      </c>
      <c r="C10" s="24">
        <v>1239</v>
      </c>
      <c r="D10" s="8"/>
      <c r="E10" s="24">
        <v>1262</v>
      </c>
      <c r="F10" s="8"/>
      <c r="G10" s="24">
        <v>1278</v>
      </c>
      <c r="H10" s="8"/>
      <c r="I10" s="24">
        <v>1286</v>
      </c>
      <c r="J10" s="8"/>
      <c r="K10" s="24">
        <v>1268</v>
      </c>
      <c r="L10" s="8"/>
      <c r="M10" s="24">
        <v>1266</v>
      </c>
      <c r="N10" s="8"/>
      <c r="O10" s="24">
        <v>1271</v>
      </c>
      <c r="P10" s="8"/>
      <c r="Q10" s="24">
        <v>1289</v>
      </c>
      <c r="R10" s="8"/>
      <c r="S10" s="24">
        <v>1295</v>
      </c>
      <c r="T10" s="8"/>
      <c r="U10" s="24">
        <v>1315</v>
      </c>
      <c r="V10" s="8"/>
      <c r="W10" s="24">
        <v>1332</v>
      </c>
      <c r="X10" s="8"/>
      <c r="Y10" s="24">
        <v>1380</v>
      </c>
      <c r="Z10" s="8"/>
      <c r="AA10" s="24">
        <v>1390</v>
      </c>
      <c r="AB10" s="8"/>
      <c r="AC10" s="8"/>
      <c r="AE10" s="8"/>
      <c r="AG10" s="8"/>
    </row>
    <row r="11" ht="12" customHeight="1">
      <c r="A11" s="8" t="s">
        <v>83</v>
      </c>
      <c r="B11" s="8" t="s">
        <v>719</v>
      </c>
      <c r="C11" s="24">
        <v>1170</v>
      </c>
      <c r="D11" s="8"/>
      <c r="E11" s="24">
        <v>1221</v>
      </c>
      <c r="F11" s="8"/>
      <c r="G11" s="24">
        <v>1256</v>
      </c>
      <c r="H11" s="8"/>
      <c r="I11" s="24">
        <v>1256</v>
      </c>
      <c r="J11" s="8"/>
      <c r="K11" s="24">
        <v>1243</v>
      </c>
      <c r="L11" s="8"/>
      <c r="M11" s="24">
        <v>1257</v>
      </c>
      <c r="N11" s="8"/>
      <c r="O11" s="24">
        <v>1270</v>
      </c>
      <c r="P11" s="8"/>
      <c r="Q11" s="24">
        <v>1283</v>
      </c>
      <c r="R11" s="8"/>
      <c r="S11" s="24">
        <v>1282</v>
      </c>
      <c r="T11" s="8"/>
      <c r="U11" s="24">
        <v>1320</v>
      </c>
      <c r="V11" s="8"/>
      <c r="W11" s="24">
        <v>1341</v>
      </c>
      <c r="X11" s="8"/>
      <c r="Y11" s="24">
        <v>1347</v>
      </c>
      <c r="Z11" s="8"/>
      <c r="AA11" s="24">
        <v>1343</v>
      </c>
      <c r="AB11" s="8"/>
      <c r="AC11" s="8"/>
      <c r="AE11" s="8"/>
      <c r="AG11" s="8"/>
    </row>
    <row r="12" ht="12" customHeight="1">
      <c r="A12" s="8" t="s">
        <v>85</v>
      </c>
      <c r="B12" s="8" t="s">
        <v>720</v>
      </c>
      <c r="C12" s="24">
        <v>1134</v>
      </c>
      <c r="D12" s="8"/>
      <c r="E12" s="24">
        <v>1162</v>
      </c>
      <c r="F12" s="8"/>
      <c r="G12" s="24">
        <v>1194</v>
      </c>
      <c r="H12" s="8"/>
      <c r="I12" s="24">
        <v>1206</v>
      </c>
      <c r="J12" s="8"/>
      <c r="K12" s="24">
        <v>1207</v>
      </c>
      <c r="L12" s="8"/>
      <c r="M12" s="24">
        <v>1223</v>
      </c>
      <c r="N12" s="8"/>
      <c r="O12" s="24">
        <v>1250</v>
      </c>
      <c r="P12" s="8"/>
      <c r="Q12" s="24">
        <v>1259</v>
      </c>
      <c r="R12" s="8"/>
      <c r="S12" s="24">
        <v>1259</v>
      </c>
      <c r="T12" s="8"/>
      <c r="U12" s="24">
        <v>1290</v>
      </c>
      <c r="V12" s="8"/>
      <c r="W12" s="24">
        <v>1324</v>
      </c>
      <c r="X12" s="8"/>
      <c r="Y12" s="24">
        <v>1315</v>
      </c>
      <c r="Z12" s="8"/>
      <c r="AA12" s="24">
        <v>1322</v>
      </c>
      <c r="AB12" s="8"/>
      <c r="AC12" s="8"/>
      <c r="AE12" s="8"/>
      <c r="AG12" s="8"/>
    </row>
    <row r="13" ht="12" customHeight="1">
      <c r="A13" s="8" t="s">
        <v>87</v>
      </c>
      <c r="B13" s="8" t="s">
        <v>721</v>
      </c>
      <c r="C13" s="24">
        <v>1351</v>
      </c>
      <c r="D13" s="8"/>
      <c r="E13" s="24">
        <v>1379</v>
      </c>
      <c r="F13" s="8"/>
      <c r="G13" s="24">
        <v>1422</v>
      </c>
      <c r="H13" s="8"/>
      <c r="I13" s="24">
        <v>1446</v>
      </c>
      <c r="J13" s="8"/>
      <c r="K13" s="24">
        <v>1458</v>
      </c>
      <c r="L13" s="8"/>
      <c r="M13" s="24">
        <v>1473</v>
      </c>
      <c r="N13" s="8"/>
      <c r="O13" s="24">
        <v>1494</v>
      </c>
      <c r="P13" s="8"/>
      <c r="Q13" s="24">
        <v>1500</v>
      </c>
      <c r="R13" s="8"/>
      <c r="S13" s="24">
        <v>1508</v>
      </c>
      <c r="T13" s="8"/>
      <c r="U13" s="24">
        <v>1512</v>
      </c>
      <c r="V13" s="8"/>
      <c r="W13" s="24">
        <v>1526</v>
      </c>
      <c r="X13" s="8"/>
      <c r="Y13" s="24">
        <v>1538</v>
      </c>
      <c r="Z13" s="8"/>
      <c r="AA13" s="24">
        <v>1544</v>
      </c>
      <c r="AB13" s="8"/>
      <c r="AC13" s="8"/>
      <c r="AE13" s="8"/>
      <c r="AG13" s="8"/>
    </row>
    <row r="14" ht="12" customHeight="1">
      <c r="A14" s="11" t="s">
        <v>89</v>
      </c>
      <c r="B14" s="8" t="s">
        <v>722</v>
      </c>
      <c r="C14" s="24">
        <v>1573</v>
      </c>
      <c r="D14" s="8"/>
      <c r="E14" s="24">
        <v>1661</v>
      </c>
      <c r="F14" s="8"/>
      <c r="G14" s="24">
        <v>1674</v>
      </c>
      <c r="H14" s="8"/>
      <c r="I14" s="24">
        <v>1691</v>
      </c>
      <c r="J14" s="8"/>
      <c r="K14" s="24">
        <v>1723</v>
      </c>
      <c r="L14" s="8"/>
      <c r="M14" s="24">
        <v>1805</v>
      </c>
      <c r="N14" s="8"/>
      <c r="O14" s="24">
        <v>1814</v>
      </c>
      <c r="P14" s="8"/>
      <c r="Q14" s="24">
        <v>1823</v>
      </c>
      <c r="R14" s="8"/>
      <c r="S14" s="24">
        <v>1829</v>
      </c>
      <c r="T14" s="8"/>
      <c r="U14" s="24">
        <v>1870</v>
      </c>
      <c r="V14" s="8"/>
      <c r="W14" s="24">
        <v>1870</v>
      </c>
      <c r="X14" s="8"/>
      <c r="Y14" s="24">
        <v>1874</v>
      </c>
      <c r="Z14" s="8"/>
      <c r="AA14" s="24">
        <v>1878</v>
      </c>
      <c r="AB14" s="8"/>
      <c r="AC14" s="8"/>
      <c r="AE14" s="8"/>
      <c r="AG14" s="8"/>
    </row>
    <row r="15" ht="12" customHeight="1">
      <c r="A15" s="8" t="s">
        <v>91</v>
      </c>
      <c r="B15" s="8" t="s">
        <v>723</v>
      </c>
      <c r="C15" s="24">
        <v>1147</v>
      </c>
      <c r="D15" s="8"/>
      <c r="E15" s="24">
        <v>1166</v>
      </c>
      <c r="F15" s="8"/>
      <c r="G15" s="24">
        <v>1192</v>
      </c>
      <c r="H15" s="8"/>
      <c r="I15" s="24">
        <v>1213</v>
      </c>
      <c r="J15" s="8"/>
      <c r="K15" s="24">
        <v>1213</v>
      </c>
      <c r="L15" s="8"/>
      <c r="M15" s="24">
        <v>1225</v>
      </c>
      <c r="N15" s="8"/>
      <c r="O15" s="24">
        <v>1244</v>
      </c>
      <c r="P15" s="8"/>
      <c r="Q15" s="24">
        <v>1253</v>
      </c>
      <c r="R15" s="8"/>
      <c r="S15" s="24">
        <v>1247</v>
      </c>
      <c r="T15" s="8"/>
      <c r="U15" s="24">
        <v>1259</v>
      </c>
      <c r="V15" s="8"/>
      <c r="W15" s="24">
        <v>1255</v>
      </c>
      <c r="X15" s="8"/>
      <c r="Y15" s="24">
        <v>1261</v>
      </c>
      <c r="Z15" s="8"/>
      <c r="AA15" s="24">
        <v>1249</v>
      </c>
      <c r="AB15" s="8"/>
      <c r="AC15" s="8"/>
      <c r="AE15" s="8"/>
      <c r="AG15" s="8"/>
    </row>
    <row r="16" ht="12" customHeight="1">
      <c r="A16" s="8" t="s">
        <v>93</v>
      </c>
      <c r="B16" s="8" t="s">
        <v>724</v>
      </c>
      <c r="C16" s="24">
        <v>1951</v>
      </c>
      <c r="D16" s="8"/>
      <c r="E16" s="24">
        <v>2100</v>
      </c>
      <c r="F16" s="8"/>
      <c r="G16" s="24">
        <v>2102</v>
      </c>
      <c r="H16" s="8"/>
      <c r="I16" s="24">
        <v>2114</v>
      </c>
      <c r="J16" s="8"/>
      <c r="K16" s="24">
        <v>2176</v>
      </c>
      <c r="L16" s="8"/>
      <c r="M16" s="24">
        <v>2320</v>
      </c>
      <c r="N16" s="8"/>
      <c r="O16" s="24">
        <v>2321</v>
      </c>
      <c r="P16" s="8"/>
      <c r="Q16" s="24">
        <v>2329</v>
      </c>
      <c r="R16" s="8"/>
      <c r="S16" s="24">
        <v>2346</v>
      </c>
      <c r="T16" s="8"/>
      <c r="U16" s="24">
        <v>2438</v>
      </c>
      <c r="V16" s="8"/>
      <c r="W16" s="24">
        <v>2444</v>
      </c>
      <c r="X16" s="8"/>
      <c r="Y16" s="24">
        <v>2443</v>
      </c>
      <c r="Z16" s="8"/>
      <c r="AA16" s="24">
        <v>2481</v>
      </c>
      <c r="AB16" s="8"/>
      <c r="AC16" s="8"/>
      <c r="AE16" s="8"/>
      <c r="AG16" s="8"/>
    </row>
    <row r="17" ht="12" customHeight="1">
      <c r="A17" s="11" t="s">
        <v>95</v>
      </c>
      <c r="B17" s="8" t="s">
        <v>725</v>
      </c>
      <c r="C17" s="24">
        <v>1072</v>
      </c>
      <c r="D17" s="8"/>
      <c r="E17" s="24">
        <v>1069</v>
      </c>
      <c r="F17" s="8"/>
      <c r="G17" s="24">
        <v>1100</v>
      </c>
      <c r="H17" s="8"/>
      <c r="I17" s="24">
        <v>1107</v>
      </c>
      <c r="J17" s="8"/>
      <c r="K17" s="24">
        <v>1111</v>
      </c>
      <c r="L17" s="8"/>
      <c r="M17" s="24">
        <v>1111</v>
      </c>
      <c r="N17" s="8"/>
      <c r="O17" s="24">
        <v>1124</v>
      </c>
      <c r="P17" s="8"/>
      <c r="Q17" s="24">
        <v>1127</v>
      </c>
      <c r="R17" s="8"/>
      <c r="S17" s="24">
        <v>1121</v>
      </c>
      <c r="T17" s="8"/>
      <c r="U17" s="24">
        <v>1126</v>
      </c>
      <c r="V17" s="8"/>
      <c r="W17" s="24">
        <v>1125</v>
      </c>
      <c r="X17" s="8"/>
      <c r="Y17" s="24">
        <v>1133</v>
      </c>
      <c r="Z17" s="8"/>
      <c r="AA17" s="24">
        <v>1140</v>
      </c>
      <c r="AB17" s="8"/>
      <c r="AC17" s="8"/>
      <c r="AE17" s="8"/>
      <c r="AG17" s="8"/>
    </row>
    <row r="18" ht="12" customHeight="1">
      <c r="A18" s="8" t="s">
        <v>97</v>
      </c>
      <c r="B18" s="8" t="s">
        <v>726</v>
      </c>
      <c r="C18" s="24">
        <v>1072</v>
      </c>
      <c r="D18" s="8"/>
      <c r="E18" s="24">
        <v>1066</v>
      </c>
      <c r="F18" s="8"/>
      <c r="G18" s="24">
        <v>1101</v>
      </c>
      <c r="H18" s="8"/>
      <c r="I18" s="24">
        <v>1111</v>
      </c>
      <c r="J18" s="8"/>
      <c r="K18" s="24">
        <v>1116</v>
      </c>
      <c r="L18" s="8"/>
      <c r="M18" s="24">
        <v>1117</v>
      </c>
      <c r="N18" s="8"/>
      <c r="O18" s="24">
        <v>1131</v>
      </c>
      <c r="P18" s="8"/>
      <c r="Q18" s="24">
        <v>1134</v>
      </c>
      <c r="R18" s="8"/>
      <c r="S18" s="24">
        <v>1126</v>
      </c>
      <c r="T18" s="8"/>
      <c r="U18" s="24">
        <v>1126</v>
      </c>
      <c r="V18" s="8"/>
      <c r="W18" s="24">
        <v>1134</v>
      </c>
      <c r="X18" s="8"/>
      <c r="Y18" s="24">
        <v>1136</v>
      </c>
      <c r="Z18" s="8"/>
      <c r="AA18" s="24">
        <v>1148</v>
      </c>
      <c r="AB18" s="8"/>
      <c r="AC18" s="8"/>
      <c r="AE18" s="8"/>
      <c r="AG18" s="8"/>
    </row>
    <row r="19" ht="12" customHeight="1">
      <c r="A19" s="8" t="s">
        <v>99</v>
      </c>
      <c r="B19" s="8" t="s">
        <v>727</v>
      </c>
      <c r="C19" s="24">
        <v>1067</v>
      </c>
      <c r="D19" s="8"/>
      <c r="E19" s="24">
        <v>1077</v>
      </c>
      <c r="F19" s="8"/>
      <c r="G19" s="24">
        <v>1085</v>
      </c>
      <c r="H19" s="8"/>
      <c r="I19" s="24">
        <v>1079</v>
      </c>
      <c r="J19" s="8"/>
      <c r="K19" s="24">
        <v>1077</v>
      </c>
      <c r="L19" s="8"/>
      <c r="M19" s="24">
        <v>1072</v>
      </c>
      <c r="N19" s="8"/>
      <c r="O19" s="24">
        <v>1077</v>
      </c>
      <c r="P19" s="8"/>
      <c r="Q19" s="24">
        <v>1084</v>
      </c>
      <c r="R19" s="8"/>
      <c r="S19" s="24">
        <v>1086</v>
      </c>
      <c r="T19" s="8"/>
      <c r="U19" s="24">
        <v>1106</v>
      </c>
      <c r="V19" s="8"/>
      <c r="W19" s="24">
        <v>1081</v>
      </c>
      <c r="X19" s="8"/>
      <c r="Y19" s="24">
        <v>1103</v>
      </c>
      <c r="Z19" s="8"/>
      <c r="AA19" s="24">
        <v>1098</v>
      </c>
      <c r="AB19" s="8"/>
      <c r="AC19" s="8"/>
      <c r="AE19" s="8"/>
      <c r="AG19" s="8"/>
    </row>
    <row r="20" ht="12" customHeight="1">
      <c r="A20" s="11" t="s">
        <v>101</v>
      </c>
      <c r="B20" s="8" t="s">
        <v>728</v>
      </c>
      <c r="C20" s="24">
        <v>1289</v>
      </c>
      <c r="D20" s="8"/>
      <c r="E20" s="24">
        <v>1305</v>
      </c>
      <c r="F20" s="8"/>
      <c r="G20" s="24">
        <v>1324</v>
      </c>
      <c r="H20" s="8"/>
      <c r="I20" s="24">
        <v>1355</v>
      </c>
      <c r="J20" s="8"/>
      <c r="K20" s="24">
        <v>1370</v>
      </c>
      <c r="L20" s="8"/>
      <c r="M20" s="24">
        <v>1381</v>
      </c>
      <c r="N20" s="8"/>
      <c r="O20" s="24">
        <v>1400</v>
      </c>
      <c r="P20" s="8"/>
      <c r="Q20" s="24">
        <v>1448</v>
      </c>
      <c r="R20" s="8"/>
      <c r="S20" s="24">
        <v>1456</v>
      </c>
      <c r="T20" s="8"/>
      <c r="U20" s="24">
        <v>1469</v>
      </c>
      <c r="V20" s="8"/>
      <c r="W20" s="24">
        <v>1492</v>
      </c>
      <c r="X20" s="8"/>
      <c r="Y20" s="24">
        <v>1537</v>
      </c>
      <c r="Z20" s="8"/>
      <c r="AA20" s="24">
        <v>1543</v>
      </c>
      <c r="AB20" s="8"/>
      <c r="AC20" s="8"/>
      <c r="AE20" s="8"/>
      <c r="AG20" s="8"/>
    </row>
    <row r="21" ht="12" customHeight="1">
      <c r="A21" s="8" t="s">
        <v>103</v>
      </c>
      <c r="B21" s="8" t="s">
        <v>729</v>
      </c>
      <c r="C21" s="24">
        <v>1309</v>
      </c>
      <c r="D21" s="8"/>
      <c r="E21" s="24">
        <v>1325</v>
      </c>
      <c r="F21" s="8"/>
      <c r="G21" s="24">
        <v>1343</v>
      </c>
      <c r="H21" s="8"/>
      <c r="I21" s="24">
        <v>1361</v>
      </c>
      <c r="J21" s="8"/>
      <c r="K21" s="24">
        <v>1378</v>
      </c>
      <c r="L21" s="8"/>
      <c r="M21" s="24">
        <v>1396</v>
      </c>
      <c r="N21" s="8"/>
      <c r="O21" s="24">
        <v>1414</v>
      </c>
      <c r="P21" s="8"/>
      <c r="Q21" s="24">
        <v>1428</v>
      </c>
      <c r="R21" s="8"/>
      <c r="S21" s="24">
        <v>1441</v>
      </c>
      <c r="T21" s="8"/>
      <c r="U21" s="24">
        <v>1451</v>
      </c>
      <c r="V21" s="8"/>
      <c r="W21" s="24">
        <v>1463</v>
      </c>
      <c r="X21" s="8"/>
      <c r="Y21" s="24">
        <v>1467</v>
      </c>
      <c r="Z21" s="8"/>
      <c r="AA21" s="24">
        <v>1469</v>
      </c>
      <c r="AB21" s="8"/>
      <c r="AC21" s="8"/>
      <c r="AE21" s="8"/>
      <c r="AG21" s="8"/>
    </row>
    <row r="22" ht="12" customHeight="1">
      <c r="A22" s="8" t="s">
        <v>105</v>
      </c>
      <c r="B22" s="8" t="s">
        <v>730</v>
      </c>
      <c r="C22" s="24">
        <v>1309</v>
      </c>
      <c r="D22" s="8"/>
      <c r="E22" s="24">
        <v>1325</v>
      </c>
      <c r="F22" s="8"/>
      <c r="G22" s="24">
        <v>1343</v>
      </c>
      <c r="H22" s="8"/>
      <c r="I22" s="24">
        <v>1361</v>
      </c>
      <c r="J22" s="8"/>
      <c r="K22" s="24">
        <v>1378</v>
      </c>
      <c r="L22" s="8"/>
      <c r="M22" s="24">
        <v>1396</v>
      </c>
      <c r="N22" s="8"/>
      <c r="O22" s="24">
        <v>1414</v>
      </c>
      <c r="P22" s="8"/>
      <c r="Q22" s="24">
        <v>1428</v>
      </c>
      <c r="R22" s="8"/>
      <c r="S22" s="24">
        <v>1441</v>
      </c>
      <c r="T22" s="8"/>
      <c r="U22" s="24">
        <v>1451</v>
      </c>
      <c r="V22" s="8"/>
      <c r="W22" s="24">
        <v>1463</v>
      </c>
      <c r="X22" s="8"/>
      <c r="Y22" s="24">
        <v>1467</v>
      </c>
      <c r="Z22" s="8"/>
      <c r="AA22" s="24">
        <v>1469</v>
      </c>
      <c r="AB22" s="8"/>
      <c r="AC22" s="8"/>
      <c r="AE22" s="8"/>
      <c r="AG22" s="8"/>
    </row>
    <row r="23" ht="12" customHeight="1">
      <c r="A23" s="8" t="s">
        <v>107</v>
      </c>
      <c r="B23" s="8" t="s">
        <v>731</v>
      </c>
      <c r="C23" s="24">
        <v>1331</v>
      </c>
      <c r="D23" s="8"/>
      <c r="E23" s="24">
        <v>1327</v>
      </c>
      <c r="F23" s="8"/>
      <c r="G23" s="24">
        <v>1356</v>
      </c>
      <c r="H23" s="8"/>
      <c r="I23" s="24">
        <v>1368</v>
      </c>
      <c r="J23" s="8"/>
      <c r="K23" s="24">
        <v>1370</v>
      </c>
      <c r="L23" s="8"/>
      <c r="M23" s="24">
        <v>1371</v>
      </c>
      <c r="N23" s="8"/>
      <c r="O23" s="24">
        <v>1393</v>
      </c>
      <c r="P23" s="8"/>
      <c r="Q23" s="24">
        <v>1412</v>
      </c>
      <c r="R23" s="8"/>
      <c r="S23" s="24">
        <v>1406</v>
      </c>
      <c r="T23" s="8"/>
      <c r="U23" s="24">
        <v>1414</v>
      </c>
      <c r="V23" s="8"/>
      <c r="W23" s="24">
        <v>1418</v>
      </c>
      <c r="X23" s="8"/>
      <c r="Y23" s="24">
        <v>1428</v>
      </c>
      <c r="Z23" s="8"/>
      <c r="AA23" s="24">
        <v>1440</v>
      </c>
      <c r="AB23" s="8"/>
      <c r="AC23" s="8"/>
      <c r="AE23" s="8"/>
      <c r="AG23" s="8"/>
    </row>
    <row r="24" ht="12" customHeight="1">
      <c r="A24" s="8" t="s">
        <v>109</v>
      </c>
      <c r="B24" s="8" t="s">
        <v>732</v>
      </c>
      <c r="C24" s="24">
        <v>1523</v>
      </c>
      <c r="D24" s="8"/>
      <c r="E24" s="24">
        <v>1523</v>
      </c>
      <c r="F24" s="8"/>
      <c r="G24" s="24">
        <v>1523</v>
      </c>
      <c r="H24" s="8"/>
      <c r="I24" s="24">
        <v>1670</v>
      </c>
      <c r="J24" s="8"/>
      <c r="K24" s="24">
        <v>1670</v>
      </c>
      <c r="L24" s="8"/>
      <c r="M24" s="24">
        <v>1671</v>
      </c>
      <c r="N24" s="8"/>
      <c r="O24" s="24">
        <v>1671</v>
      </c>
      <c r="P24" s="8"/>
      <c r="Q24" s="24">
        <v>1873</v>
      </c>
      <c r="R24" s="8"/>
      <c r="S24" s="24">
        <v>1873</v>
      </c>
      <c r="T24" s="8"/>
      <c r="U24" s="24">
        <v>1873</v>
      </c>
      <c r="V24" s="8"/>
      <c r="W24" s="24">
        <v>1874</v>
      </c>
      <c r="X24" s="8"/>
      <c r="Y24" s="24">
        <v>2031</v>
      </c>
      <c r="Z24" s="8"/>
      <c r="AA24" s="24">
        <v>2031</v>
      </c>
      <c r="AB24" s="8"/>
      <c r="AC24" s="8"/>
      <c r="AE24" s="8"/>
      <c r="AG24" s="8"/>
    </row>
    <row r="25" ht="12" customHeight="1">
      <c r="A25" s="8" t="s">
        <v>111</v>
      </c>
      <c r="B25" s="8" t="s">
        <v>733</v>
      </c>
      <c r="C25" s="24">
        <v>1544</v>
      </c>
      <c r="D25" s="8"/>
      <c r="E25" s="24">
        <v>1544</v>
      </c>
      <c r="F25" s="8"/>
      <c r="G25" s="24">
        <v>1544</v>
      </c>
      <c r="H25" s="8"/>
      <c r="I25" s="24">
        <v>1694</v>
      </c>
      <c r="J25" s="8"/>
      <c r="K25" s="24">
        <v>1694</v>
      </c>
      <c r="L25" s="8"/>
      <c r="M25" s="24">
        <v>1694</v>
      </c>
      <c r="N25" s="8"/>
      <c r="O25" s="24">
        <v>1694</v>
      </c>
      <c r="P25" s="8"/>
      <c r="Q25" s="24">
        <v>1902</v>
      </c>
      <c r="R25" s="8"/>
      <c r="S25" s="24">
        <v>1902</v>
      </c>
      <c r="T25" s="8"/>
      <c r="U25" s="24">
        <v>1902</v>
      </c>
      <c r="V25" s="8"/>
      <c r="W25" s="24">
        <v>1902</v>
      </c>
      <c r="X25" s="8"/>
      <c r="Y25" s="24">
        <v>2069</v>
      </c>
      <c r="Z25" s="8"/>
      <c r="AA25" s="24">
        <v>2069</v>
      </c>
      <c r="AB25" s="8"/>
      <c r="AC25" s="8"/>
      <c r="AE25" s="8"/>
      <c r="AG25" s="8"/>
    </row>
    <row r="26" ht="12" customHeight="1">
      <c r="A26" s="8" t="s">
        <v>113</v>
      </c>
      <c r="B26" s="8" t="s">
        <v>734</v>
      </c>
      <c r="C26" s="24">
        <v>1107</v>
      </c>
      <c r="D26" s="8"/>
      <c r="E26" s="24">
        <v>1132</v>
      </c>
      <c r="F26" s="8"/>
      <c r="G26" s="24">
        <v>1163</v>
      </c>
      <c r="H26" s="8"/>
      <c r="I26" s="24">
        <v>1148</v>
      </c>
      <c r="J26" s="8"/>
      <c r="K26" s="24">
        <v>1169</v>
      </c>
      <c r="L26" s="8"/>
      <c r="M26" s="24">
        <v>1175</v>
      </c>
      <c r="N26" s="8"/>
      <c r="O26" s="24">
        <v>1208</v>
      </c>
      <c r="P26" s="8"/>
      <c r="Q26" s="24">
        <v>1217</v>
      </c>
      <c r="R26" s="8"/>
      <c r="S26" s="24">
        <v>1227</v>
      </c>
      <c r="T26" s="8"/>
      <c r="U26" s="24">
        <v>1255</v>
      </c>
      <c r="V26" s="8"/>
      <c r="W26" s="24">
        <v>1316</v>
      </c>
      <c r="X26" s="8"/>
      <c r="Y26" s="24">
        <v>1355</v>
      </c>
      <c r="Z26" s="8"/>
      <c r="AA26" s="24">
        <v>1375</v>
      </c>
      <c r="AB26" s="8"/>
      <c r="AC26" s="8"/>
      <c r="AE26" s="8"/>
      <c r="AG26" s="8"/>
    </row>
    <row r="27" ht="12" customHeight="1">
      <c r="A27" s="8" t="s">
        <v>115</v>
      </c>
      <c r="B27" s="8" t="s">
        <v>735</v>
      </c>
      <c r="C27" s="24">
        <v>1097</v>
      </c>
      <c r="D27" s="8"/>
      <c r="E27" s="24">
        <v>1120</v>
      </c>
      <c r="F27" s="8"/>
      <c r="G27" s="24">
        <v>1150</v>
      </c>
      <c r="H27" s="8"/>
      <c r="I27" s="24">
        <v>1130</v>
      </c>
      <c r="J27" s="8"/>
      <c r="K27" s="24">
        <v>1151</v>
      </c>
      <c r="L27" s="8"/>
      <c r="M27" s="24">
        <v>1156</v>
      </c>
      <c r="N27" s="8"/>
      <c r="O27" s="24">
        <v>1191</v>
      </c>
      <c r="P27" s="8"/>
      <c r="Q27" s="24">
        <v>1198</v>
      </c>
      <c r="R27" s="8"/>
      <c r="S27" s="24">
        <v>1205</v>
      </c>
      <c r="T27" s="8"/>
      <c r="U27" s="24">
        <v>1231</v>
      </c>
      <c r="V27" s="8"/>
      <c r="W27" s="24">
        <v>1293</v>
      </c>
      <c r="X27" s="8"/>
      <c r="Y27" s="24">
        <v>1334</v>
      </c>
      <c r="Z27" s="8"/>
      <c r="AA27" s="24">
        <v>1351</v>
      </c>
      <c r="AB27" s="8"/>
      <c r="AC27" s="8"/>
      <c r="AE27" s="8"/>
      <c r="AG27" s="8"/>
    </row>
    <row r="28" ht="12" customHeight="1">
      <c r="A28" s="11" t="s">
        <v>117</v>
      </c>
      <c r="B28" s="8" t="s">
        <v>736</v>
      </c>
      <c r="C28" s="24">
        <v>1192</v>
      </c>
      <c r="D28" s="8"/>
      <c r="E28" s="24">
        <v>1176</v>
      </c>
      <c r="F28" s="8"/>
      <c r="G28" s="24">
        <v>1217</v>
      </c>
      <c r="H28" s="8"/>
      <c r="I28" s="24">
        <v>1193</v>
      </c>
      <c r="J28" s="8"/>
      <c r="K28" s="24">
        <v>1201</v>
      </c>
      <c r="L28" s="8"/>
      <c r="M28" s="24">
        <v>1170</v>
      </c>
      <c r="N28" s="8"/>
      <c r="O28" s="24">
        <v>1168</v>
      </c>
      <c r="P28" s="8"/>
      <c r="Q28" s="24">
        <v>1175</v>
      </c>
      <c r="R28" s="8"/>
      <c r="S28" s="24">
        <v>1175</v>
      </c>
      <c r="T28" s="8"/>
      <c r="U28" s="24">
        <v>1164</v>
      </c>
      <c r="V28" s="8"/>
      <c r="W28" s="24">
        <v>1170</v>
      </c>
      <c r="X28" s="8"/>
      <c r="Y28" s="24">
        <v>1163</v>
      </c>
      <c r="Z28" s="8"/>
      <c r="AA28" s="24">
        <v>1165</v>
      </c>
      <c r="AB28" s="8"/>
      <c r="AC28" s="8"/>
      <c r="AE28" s="8"/>
      <c r="AG28" s="8"/>
    </row>
    <row r="29" ht="12" customHeight="1">
      <c r="A29" s="8" t="s">
        <v>119</v>
      </c>
      <c r="B29" s="8" t="s">
        <v>737</v>
      </c>
      <c r="C29" s="24">
        <v>1330</v>
      </c>
      <c r="D29" s="8"/>
      <c r="E29" s="24">
        <v>1261</v>
      </c>
      <c r="F29" s="8"/>
      <c r="G29" s="24">
        <v>1311</v>
      </c>
      <c r="H29" s="8"/>
      <c r="I29" s="24">
        <v>1271</v>
      </c>
      <c r="J29" s="8"/>
      <c r="K29" s="24">
        <v>1277</v>
      </c>
      <c r="L29" s="8"/>
      <c r="M29" s="24">
        <v>1188</v>
      </c>
      <c r="N29" s="8"/>
      <c r="O29" s="24">
        <v>1201</v>
      </c>
      <c r="P29" s="8"/>
      <c r="Q29" s="24">
        <v>1240</v>
      </c>
      <c r="R29" s="8"/>
      <c r="S29" s="24">
        <v>1246</v>
      </c>
      <c r="T29" s="8"/>
      <c r="U29" s="24">
        <v>1225</v>
      </c>
      <c r="V29" s="8"/>
      <c r="W29" s="24">
        <v>1200</v>
      </c>
      <c r="X29" s="8"/>
      <c r="Y29" s="24">
        <v>1183</v>
      </c>
      <c r="Z29" s="8"/>
      <c r="AA29" s="24">
        <v>1231</v>
      </c>
      <c r="AB29" s="8"/>
      <c r="AC29" s="8"/>
      <c r="AE29" s="8"/>
      <c r="AG29" s="8"/>
    </row>
    <row r="30" ht="12" customHeight="1">
      <c r="A30" s="8" t="s">
        <v>121</v>
      </c>
      <c r="B30" s="8" t="s">
        <v>738</v>
      </c>
      <c r="C30" s="24">
        <v>1066</v>
      </c>
      <c r="D30" s="8"/>
      <c r="E30" s="24">
        <v>1092</v>
      </c>
      <c r="F30" s="8"/>
      <c r="G30" s="24">
        <v>1075</v>
      </c>
      <c r="H30" s="8"/>
      <c r="I30" s="24">
        <v>1044</v>
      </c>
      <c r="J30" s="8"/>
      <c r="K30" s="24">
        <v>1108</v>
      </c>
      <c r="L30" s="8"/>
      <c r="M30" s="24">
        <v>1101</v>
      </c>
      <c r="N30" s="8"/>
      <c r="O30" s="24">
        <v>1148</v>
      </c>
      <c r="P30" s="8"/>
      <c r="Q30" s="24">
        <v>1141</v>
      </c>
      <c r="R30" s="8"/>
      <c r="S30" s="24">
        <v>1049</v>
      </c>
      <c r="T30" s="8"/>
      <c r="U30" s="24">
        <v>1095</v>
      </c>
      <c r="V30" s="8"/>
      <c r="W30" s="24">
        <v>1135</v>
      </c>
      <c r="X30" s="8"/>
      <c r="Y30" s="24">
        <v>1123</v>
      </c>
      <c r="Z30" s="8"/>
      <c r="AA30" s="24">
        <v>1101</v>
      </c>
      <c r="AB30" s="8"/>
      <c r="AC30" s="8"/>
      <c r="AE30" s="8"/>
      <c r="AG30" s="8"/>
    </row>
    <row r="31" ht="12" customHeight="1">
      <c r="A31" s="8" t="s">
        <v>123</v>
      </c>
      <c r="B31" s="8" t="s">
        <v>739</v>
      </c>
      <c r="C31" s="24">
        <v>1139</v>
      </c>
      <c r="D31" s="8"/>
      <c r="E31" s="24">
        <v>1127</v>
      </c>
      <c r="F31" s="8"/>
      <c r="G31" s="24">
        <v>1176</v>
      </c>
      <c r="H31" s="8"/>
      <c r="I31" s="24">
        <v>1161</v>
      </c>
      <c r="J31" s="8"/>
      <c r="K31" s="24">
        <v>1154</v>
      </c>
      <c r="L31" s="8"/>
      <c r="M31" s="24">
        <v>1138</v>
      </c>
      <c r="N31" s="8"/>
      <c r="O31" s="24">
        <v>1125</v>
      </c>
      <c r="P31" s="8"/>
      <c r="Q31" s="24">
        <v>1107</v>
      </c>
      <c r="R31" s="8"/>
      <c r="S31" s="24">
        <v>1123</v>
      </c>
      <c r="T31" s="8"/>
      <c r="U31" s="24">
        <v>1108</v>
      </c>
      <c r="V31" s="8"/>
      <c r="W31" s="24">
        <v>1117</v>
      </c>
      <c r="X31" s="8"/>
      <c r="Y31" s="24">
        <v>1112</v>
      </c>
      <c r="Z31" s="8"/>
      <c r="AA31" s="24">
        <v>1115</v>
      </c>
      <c r="AB31" s="8"/>
      <c r="AC31" s="8"/>
      <c r="AE31" s="8"/>
      <c r="AG31" s="8"/>
    </row>
    <row r="32" ht="12" customHeight="1">
      <c r="A32" s="8" t="s">
        <v>125</v>
      </c>
      <c r="B32" s="8" t="s">
        <v>740</v>
      </c>
      <c r="C32" s="24">
        <v>1133</v>
      </c>
      <c r="D32" s="8"/>
      <c r="E32" s="24">
        <v>1085</v>
      </c>
      <c r="F32" s="8"/>
      <c r="G32" s="24">
        <v>1113</v>
      </c>
      <c r="H32" s="8"/>
      <c r="I32" s="24">
        <v>1076</v>
      </c>
      <c r="J32" s="8"/>
      <c r="K32" s="24">
        <v>1196</v>
      </c>
      <c r="L32" s="8"/>
      <c r="M32" s="24">
        <v>1120</v>
      </c>
      <c r="N32" s="8"/>
      <c r="O32" s="24">
        <v>1115</v>
      </c>
      <c r="P32" s="8"/>
      <c r="Q32" s="24">
        <v>1060</v>
      </c>
      <c r="R32" s="8"/>
      <c r="S32" s="24">
        <v>1065</v>
      </c>
      <c r="T32" s="8"/>
      <c r="U32" s="24">
        <v>1084</v>
      </c>
      <c r="V32" s="8"/>
      <c r="W32" s="24">
        <v>1069</v>
      </c>
      <c r="X32" s="8"/>
      <c r="Y32" s="24">
        <v>1060</v>
      </c>
      <c r="Z32" s="8"/>
      <c r="AA32" s="24">
        <v>1035</v>
      </c>
      <c r="AB32" s="8"/>
      <c r="AC32" s="8"/>
      <c r="AE32" s="8"/>
      <c r="AG32" s="8"/>
    </row>
    <row r="33" ht="12" customHeight="1">
      <c r="A33" s="8" t="s">
        <v>127</v>
      </c>
      <c r="B33" s="8" t="s">
        <v>741</v>
      </c>
      <c r="C33" s="24">
        <v>1095</v>
      </c>
      <c r="D33" s="8"/>
      <c r="E33" s="24">
        <v>1101</v>
      </c>
      <c r="F33" s="8"/>
      <c r="G33" s="24">
        <v>1145</v>
      </c>
      <c r="H33" s="8"/>
      <c r="I33" s="24">
        <v>1146</v>
      </c>
      <c r="J33" s="8"/>
      <c r="K33" s="24">
        <v>1137</v>
      </c>
      <c r="L33" s="8"/>
      <c r="M33" s="24">
        <v>1149</v>
      </c>
      <c r="N33" s="8"/>
      <c r="O33" s="24">
        <v>1105</v>
      </c>
      <c r="P33" s="8"/>
      <c r="Q33" s="24">
        <v>1098</v>
      </c>
      <c r="R33" s="8"/>
      <c r="S33" s="24">
        <v>1105</v>
      </c>
      <c r="T33" s="8"/>
      <c r="U33" s="24">
        <v>1094</v>
      </c>
      <c r="V33" s="8"/>
      <c r="W33" s="24">
        <v>1098</v>
      </c>
      <c r="X33" s="8"/>
      <c r="Y33" s="24">
        <v>1098</v>
      </c>
      <c r="Z33" s="8"/>
      <c r="AA33" s="24">
        <v>1075</v>
      </c>
      <c r="AB33" s="8"/>
      <c r="AC33" s="8"/>
      <c r="AE33" s="8"/>
      <c r="AG33" s="8"/>
    </row>
    <row r="34" ht="12" customHeight="1">
      <c r="A34" s="8" t="s">
        <v>129</v>
      </c>
      <c r="B34" s="8" t="s">
        <v>742</v>
      </c>
      <c r="C34" s="24">
        <v>1174</v>
      </c>
      <c r="D34" s="8"/>
      <c r="E34" s="24">
        <v>1205</v>
      </c>
      <c r="F34" s="8"/>
      <c r="G34" s="24">
        <v>1238</v>
      </c>
      <c r="H34" s="8"/>
      <c r="I34" s="24">
        <v>1220</v>
      </c>
      <c r="J34" s="8"/>
      <c r="K34" s="24">
        <v>1218</v>
      </c>
      <c r="L34" s="8"/>
      <c r="M34" s="24">
        <v>1225</v>
      </c>
      <c r="N34" s="8"/>
      <c r="O34" s="24">
        <v>1227</v>
      </c>
      <c r="P34" s="8"/>
      <c r="Q34" s="24">
        <v>1243</v>
      </c>
      <c r="R34" s="8"/>
      <c r="S34" s="24">
        <v>1233</v>
      </c>
      <c r="T34" s="8"/>
      <c r="U34" s="24">
        <v>1218</v>
      </c>
      <c r="V34" s="8"/>
      <c r="W34" s="24">
        <v>1240</v>
      </c>
      <c r="X34" s="8"/>
      <c r="Y34" s="24">
        <v>1235</v>
      </c>
      <c r="Z34" s="8"/>
      <c r="AA34" s="24">
        <v>1230</v>
      </c>
      <c r="AB34" s="8"/>
      <c r="AC34" s="8"/>
      <c r="AE34" s="8"/>
      <c r="AG34" s="8"/>
    </row>
    <row r="35" ht="12" customHeight="1">
      <c r="A35" s="11" t="s">
        <v>131</v>
      </c>
      <c r="B35" s="8" t="s">
        <v>743</v>
      </c>
      <c r="C35" s="24">
        <v>1134</v>
      </c>
      <c r="D35" s="8"/>
      <c r="E35" s="24">
        <v>1140</v>
      </c>
      <c r="F35" s="8"/>
      <c r="G35" s="24">
        <v>1153</v>
      </c>
      <c r="H35" s="8"/>
      <c r="I35" s="24">
        <v>1099</v>
      </c>
      <c r="J35" s="8"/>
      <c r="K35" s="24">
        <v>1122</v>
      </c>
      <c r="L35" s="8"/>
      <c r="M35" s="24">
        <v>1141</v>
      </c>
      <c r="N35" s="8"/>
      <c r="O35" s="24">
        <v>1141</v>
      </c>
      <c r="P35" s="8"/>
      <c r="Q35" s="24">
        <v>1218</v>
      </c>
      <c r="R35" s="8"/>
      <c r="S35" s="24">
        <v>1205</v>
      </c>
      <c r="T35" s="8"/>
      <c r="U35" s="24">
        <v>1209</v>
      </c>
      <c r="V35" s="8"/>
      <c r="W35" s="24">
        <v>1209</v>
      </c>
      <c r="X35" s="8"/>
      <c r="Y35" s="24">
        <v>1206</v>
      </c>
      <c r="Z35" s="8"/>
      <c r="AA35" s="24">
        <v>1198</v>
      </c>
      <c r="AB35" s="8"/>
      <c r="AC35" s="8"/>
      <c r="AE35" s="8"/>
      <c r="AG35" s="8"/>
    </row>
    <row r="36" ht="12" customHeight="1">
      <c r="A36" s="8" t="s">
        <v>133</v>
      </c>
      <c r="B36" s="8" t="s">
        <v>744</v>
      </c>
      <c r="C36" s="24">
        <v>1034</v>
      </c>
      <c r="D36" s="8"/>
      <c r="E36" s="24">
        <v>1040</v>
      </c>
      <c r="F36" s="8"/>
      <c r="G36" s="24">
        <v>1052</v>
      </c>
      <c r="H36" s="8"/>
      <c r="I36" s="24">
        <v>875</v>
      </c>
      <c r="J36" s="8"/>
      <c r="K36" s="24">
        <v>879</v>
      </c>
      <c r="L36" s="8"/>
      <c r="M36" s="24">
        <v>877</v>
      </c>
      <c r="N36" s="8"/>
      <c r="O36" s="24">
        <v>877</v>
      </c>
      <c r="P36" s="8"/>
      <c r="Q36" s="24">
        <v>1071</v>
      </c>
      <c r="R36" s="8"/>
      <c r="S36" s="24">
        <v>1004</v>
      </c>
      <c r="T36" s="8"/>
      <c r="U36" s="24">
        <v>1006</v>
      </c>
      <c r="V36" s="8"/>
      <c r="W36" s="24">
        <v>1000</v>
      </c>
      <c r="X36" s="8"/>
      <c r="Y36" s="24">
        <v>964</v>
      </c>
      <c r="Z36" s="8"/>
      <c r="AA36" s="24">
        <v>933</v>
      </c>
      <c r="AB36" s="8"/>
      <c r="AC36" s="8"/>
      <c r="AE36" s="8"/>
      <c r="AG36" s="8"/>
    </row>
    <row r="37" ht="12" customHeight="1">
      <c r="A37" s="8" t="s">
        <v>135</v>
      </c>
      <c r="B37" s="8" t="s">
        <v>745</v>
      </c>
      <c r="C37" s="24">
        <v>1184</v>
      </c>
      <c r="D37" s="8"/>
      <c r="E37" s="24">
        <v>1190</v>
      </c>
      <c r="F37" s="8"/>
      <c r="G37" s="24">
        <v>1203</v>
      </c>
      <c r="H37" s="8"/>
      <c r="I37" s="24">
        <v>1215</v>
      </c>
      <c r="J37" s="8"/>
      <c r="K37" s="24">
        <v>1249</v>
      </c>
      <c r="L37" s="8"/>
      <c r="M37" s="24">
        <v>1277</v>
      </c>
      <c r="N37" s="8"/>
      <c r="O37" s="24">
        <v>1278</v>
      </c>
      <c r="P37" s="8"/>
      <c r="Q37" s="24">
        <v>1292</v>
      </c>
      <c r="R37" s="8"/>
      <c r="S37" s="24">
        <v>1309</v>
      </c>
      <c r="T37" s="8"/>
      <c r="U37" s="24">
        <v>1315</v>
      </c>
      <c r="V37" s="8"/>
      <c r="W37" s="24">
        <v>1319</v>
      </c>
      <c r="X37" s="8"/>
      <c r="Y37" s="24">
        <v>1343</v>
      </c>
      <c r="Z37" s="8"/>
      <c r="AA37" s="24">
        <v>1356</v>
      </c>
      <c r="AB37" s="8"/>
      <c r="AC37" s="8"/>
      <c r="AE37" s="8"/>
      <c r="AG37" s="8"/>
    </row>
    <row r="38" ht="12" customHeight="1">
      <c r="A38" s="8" t="s">
        <v>137</v>
      </c>
      <c r="B38" s="8" t="s">
        <v>746</v>
      </c>
      <c r="C38" s="24">
        <v>1405</v>
      </c>
      <c r="D38" s="8"/>
      <c r="E38" s="24">
        <v>1433</v>
      </c>
      <c r="F38" s="8"/>
      <c r="G38" s="24">
        <v>1464</v>
      </c>
      <c r="H38" s="8"/>
      <c r="I38" s="24">
        <v>1528</v>
      </c>
      <c r="J38" s="8"/>
      <c r="K38" s="24">
        <v>1628</v>
      </c>
      <c r="L38" s="8"/>
      <c r="M38" s="24">
        <v>1640</v>
      </c>
      <c r="N38" s="8"/>
      <c r="O38" s="24">
        <v>1654</v>
      </c>
      <c r="P38" s="8"/>
      <c r="Q38" s="24">
        <v>1777</v>
      </c>
      <c r="R38" s="8"/>
      <c r="S38" s="24">
        <v>1809</v>
      </c>
      <c r="T38" s="8"/>
      <c r="U38" s="24">
        <v>1810</v>
      </c>
      <c r="V38" s="8"/>
      <c r="W38" s="24">
        <v>1825</v>
      </c>
      <c r="X38" s="8"/>
      <c r="Y38" s="24">
        <v>1852</v>
      </c>
      <c r="Z38" s="8"/>
      <c r="AA38" s="24">
        <v>1872</v>
      </c>
      <c r="AB38" s="8"/>
      <c r="AC38" s="8"/>
      <c r="AE38" s="8"/>
      <c r="AG38" s="8"/>
    </row>
    <row r="39" ht="12" customHeight="1">
      <c r="A39" s="11" t="s">
        <v>139</v>
      </c>
      <c r="B39" s="8" t="s">
        <v>747</v>
      </c>
      <c r="C39" s="24">
        <v>1093</v>
      </c>
      <c r="D39" s="8"/>
      <c r="E39" s="24">
        <v>1072</v>
      </c>
      <c r="F39" s="8"/>
      <c r="G39" s="24">
        <v>1050</v>
      </c>
      <c r="H39" s="8"/>
      <c r="I39" s="24">
        <v>1153</v>
      </c>
      <c r="J39" s="8"/>
      <c r="K39" s="24">
        <v>1158</v>
      </c>
      <c r="L39" s="8"/>
      <c r="M39" s="24">
        <v>1138</v>
      </c>
      <c r="N39" s="8"/>
      <c r="O39" s="24">
        <v>1141</v>
      </c>
      <c r="P39" s="8"/>
      <c r="Q39" s="24">
        <v>1112</v>
      </c>
      <c r="R39" s="8"/>
      <c r="S39" s="24">
        <v>1120</v>
      </c>
      <c r="T39" s="8"/>
      <c r="U39" s="24">
        <v>1148</v>
      </c>
      <c r="V39" s="8"/>
      <c r="W39" s="24">
        <v>1126</v>
      </c>
      <c r="X39" s="8"/>
      <c r="Y39" s="24">
        <v>1130</v>
      </c>
      <c r="Z39" s="8"/>
      <c r="AA39" s="24">
        <v>1150</v>
      </c>
      <c r="AB39" s="8"/>
      <c r="AC39" s="8"/>
      <c r="AE39" s="8"/>
      <c r="AG39" s="8"/>
    </row>
    <row r="40" ht="12" customHeight="1">
      <c r="A40" s="8" t="s">
        <v>141</v>
      </c>
      <c r="B40" s="8" t="s">
        <v>748</v>
      </c>
      <c r="C40" s="24">
        <v>1136</v>
      </c>
      <c r="D40" s="8"/>
      <c r="E40" s="24">
        <v>1149</v>
      </c>
      <c r="F40" s="8"/>
      <c r="G40" s="24">
        <v>1162</v>
      </c>
      <c r="H40" s="8"/>
      <c r="I40" s="24">
        <v>1181</v>
      </c>
      <c r="J40" s="8"/>
      <c r="K40" s="24">
        <v>1147</v>
      </c>
      <c r="L40" s="8"/>
      <c r="M40" s="24">
        <v>1150</v>
      </c>
      <c r="N40" s="8"/>
      <c r="O40" s="24">
        <v>1097</v>
      </c>
      <c r="P40" s="8"/>
      <c r="Q40" s="24">
        <v>1068</v>
      </c>
      <c r="R40" s="8"/>
      <c r="S40" s="24">
        <v>1112</v>
      </c>
      <c r="T40" s="8"/>
      <c r="U40" s="24">
        <v>1114</v>
      </c>
      <c r="V40" s="8"/>
      <c r="W40" s="24">
        <v>1128</v>
      </c>
      <c r="X40" s="8"/>
      <c r="Y40" s="24">
        <v>1126</v>
      </c>
      <c r="Z40" s="8"/>
      <c r="AA40" s="24">
        <v>1126</v>
      </c>
      <c r="AB40" s="8"/>
      <c r="AC40" s="8"/>
      <c r="AE40" s="8"/>
      <c r="AG40" s="8"/>
    </row>
    <row r="41" ht="12" customHeight="1">
      <c r="A41" s="8" t="s">
        <v>143</v>
      </c>
      <c r="B41" s="8" t="s">
        <v>749</v>
      </c>
      <c r="C41" s="24">
        <v>1051</v>
      </c>
      <c r="D41" s="8"/>
      <c r="E41" s="24">
        <v>1032</v>
      </c>
      <c r="F41" s="8"/>
      <c r="G41" s="24">
        <v>1021</v>
      </c>
      <c r="H41" s="8"/>
      <c r="I41" s="24">
        <v>1142</v>
      </c>
      <c r="J41" s="8"/>
      <c r="K41" s="24">
        <v>1149</v>
      </c>
      <c r="L41" s="8"/>
      <c r="M41" s="24">
        <v>1133</v>
      </c>
      <c r="N41" s="8"/>
      <c r="O41" s="24">
        <v>1155</v>
      </c>
      <c r="P41" s="8"/>
      <c r="Q41" s="24">
        <v>1110</v>
      </c>
      <c r="R41" s="8"/>
      <c r="S41" s="24">
        <v>1101</v>
      </c>
      <c r="T41" s="8"/>
      <c r="U41" s="24">
        <v>1136</v>
      </c>
      <c r="V41" s="8"/>
      <c r="W41" s="24">
        <v>1115</v>
      </c>
      <c r="X41" s="8"/>
      <c r="Y41" s="24">
        <v>1119</v>
      </c>
      <c r="Z41" s="8"/>
      <c r="AA41" s="24">
        <v>1139</v>
      </c>
      <c r="AB41" s="8"/>
      <c r="AC41" s="8"/>
      <c r="AE41" s="8"/>
      <c r="AG41" s="8"/>
    </row>
    <row r="42" ht="12" customHeight="1">
      <c r="A42" s="8" t="s">
        <v>145</v>
      </c>
      <c r="B42" s="8" t="s">
        <v>750</v>
      </c>
      <c r="C42" s="24">
        <v>1192</v>
      </c>
      <c r="D42" s="8"/>
      <c r="E42" s="24">
        <v>1161</v>
      </c>
      <c r="F42" s="8"/>
      <c r="G42" s="24">
        <v>1143</v>
      </c>
      <c r="H42" s="8"/>
      <c r="I42" s="24">
        <v>1332</v>
      </c>
      <c r="J42" s="8"/>
      <c r="K42" s="24">
        <v>1333</v>
      </c>
      <c r="L42" s="8"/>
      <c r="M42" s="24">
        <v>1302</v>
      </c>
      <c r="N42" s="8"/>
      <c r="O42" s="24">
        <v>1310</v>
      </c>
      <c r="P42" s="8"/>
      <c r="Q42" s="24">
        <v>1230</v>
      </c>
      <c r="R42" s="8"/>
      <c r="S42" s="24">
        <v>1213</v>
      </c>
      <c r="T42" s="8"/>
      <c r="U42" s="24">
        <v>1269</v>
      </c>
      <c r="V42" s="8"/>
      <c r="W42" s="24">
        <v>1209</v>
      </c>
      <c r="X42" s="8"/>
      <c r="Y42" s="24">
        <v>1210</v>
      </c>
      <c r="Z42" s="8"/>
      <c r="AA42" s="24">
        <v>1240</v>
      </c>
      <c r="AB42" s="8"/>
      <c r="AC42" s="8"/>
      <c r="AE42" s="8"/>
      <c r="AG42" s="8"/>
    </row>
    <row r="43" ht="12" customHeight="1">
      <c r="A43" s="8" t="s">
        <v>147</v>
      </c>
      <c r="B43" s="8" t="s">
        <v>751</v>
      </c>
      <c r="C43" s="24">
        <v>1297</v>
      </c>
      <c r="D43" s="8"/>
      <c r="E43" s="24">
        <v>1241</v>
      </c>
      <c r="F43" s="8"/>
      <c r="G43" s="24">
        <v>1133</v>
      </c>
      <c r="H43" s="8"/>
      <c r="I43" s="24">
        <v>1208</v>
      </c>
      <c r="J43" s="8"/>
      <c r="K43" s="24">
        <v>1222</v>
      </c>
      <c r="L43" s="8"/>
      <c r="M43" s="24">
        <v>1174</v>
      </c>
      <c r="N43" s="8"/>
      <c r="O43" s="24">
        <v>1119</v>
      </c>
      <c r="P43" s="8"/>
      <c r="Q43" s="24">
        <v>1163</v>
      </c>
      <c r="R43" s="8"/>
      <c r="S43" s="24">
        <v>1226</v>
      </c>
      <c r="T43" s="8"/>
      <c r="U43" s="24">
        <v>1224</v>
      </c>
      <c r="V43" s="8"/>
      <c r="W43" s="24">
        <v>1151</v>
      </c>
      <c r="X43" s="8"/>
      <c r="Y43" s="24">
        <v>1161</v>
      </c>
      <c r="Z43" s="8"/>
      <c r="AA43" s="24">
        <v>1207</v>
      </c>
      <c r="AB43" s="8"/>
      <c r="AC43" s="8"/>
      <c r="AE43" s="8"/>
      <c r="AG43" s="8"/>
    </row>
    <row r="44" ht="12" customHeight="1">
      <c r="A44" s="11" t="s">
        <v>149</v>
      </c>
      <c r="B44" s="8" t="s">
        <v>752</v>
      </c>
      <c r="C44" s="24">
        <v>977</v>
      </c>
      <c r="D44" s="8"/>
      <c r="E44" s="24">
        <v>980</v>
      </c>
      <c r="F44" s="8"/>
      <c r="G44" s="24">
        <v>987</v>
      </c>
      <c r="H44" s="8"/>
      <c r="I44" s="24">
        <v>1006</v>
      </c>
      <c r="J44" s="8"/>
      <c r="K44" s="24">
        <v>1021</v>
      </c>
      <c r="L44" s="8"/>
      <c r="M44" s="24">
        <v>1030</v>
      </c>
      <c r="N44" s="8"/>
      <c r="O44" s="24">
        <v>1039</v>
      </c>
      <c r="P44" s="8"/>
      <c r="Q44" s="24">
        <v>1048</v>
      </c>
      <c r="R44" s="8"/>
      <c r="S44" s="24">
        <v>1075</v>
      </c>
      <c r="T44" s="8"/>
      <c r="U44" s="24">
        <v>1085</v>
      </c>
      <c r="V44" s="8"/>
      <c r="W44" s="24">
        <v>1092</v>
      </c>
      <c r="X44" s="8"/>
      <c r="Y44" s="24">
        <v>1100</v>
      </c>
      <c r="Z44" s="8"/>
      <c r="AA44" s="24">
        <v>1138</v>
      </c>
      <c r="AB44" s="8"/>
      <c r="AC44" s="8"/>
      <c r="AE44" s="8"/>
      <c r="AG44" s="8"/>
    </row>
    <row r="45" ht="12" customHeight="1">
      <c r="A45" s="8" t="s">
        <v>151</v>
      </c>
      <c r="B45" s="8" t="s">
        <v>753</v>
      </c>
      <c r="C45" s="24">
        <v>1424</v>
      </c>
      <c r="D45" s="8"/>
      <c r="E45" s="24">
        <v>1438</v>
      </c>
      <c r="F45" s="8"/>
      <c r="G45" s="24">
        <v>1423</v>
      </c>
      <c r="H45" s="8"/>
      <c r="I45" s="24">
        <v>1523</v>
      </c>
      <c r="J45" s="8"/>
      <c r="K45" s="24">
        <v>1541</v>
      </c>
      <c r="L45" s="8"/>
      <c r="M45" s="24">
        <v>1515</v>
      </c>
      <c r="N45" s="8"/>
      <c r="O45" s="24">
        <v>1507</v>
      </c>
      <c r="P45" s="8"/>
      <c r="Q45" s="24">
        <v>1542</v>
      </c>
      <c r="R45" s="8"/>
      <c r="S45" s="24">
        <v>1540</v>
      </c>
      <c r="T45" s="8"/>
      <c r="U45" s="24">
        <v>1534</v>
      </c>
      <c r="V45" s="8"/>
      <c r="W45" s="24">
        <v>1549</v>
      </c>
      <c r="X45" s="8"/>
      <c r="Y45" s="24">
        <v>1665</v>
      </c>
      <c r="Z45" s="8"/>
      <c r="AA45" s="24">
        <v>1670</v>
      </c>
      <c r="AB45" s="8"/>
      <c r="AC45" s="8"/>
      <c r="AE45" s="8"/>
      <c r="AG45" s="8"/>
    </row>
    <row r="46" ht="12" customHeight="1">
      <c r="A46" s="8" t="s">
        <v>153</v>
      </c>
      <c r="B46" s="8" t="s">
        <v>754</v>
      </c>
      <c r="C46" s="24">
        <v>410</v>
      </c>
      <c r="D46" s="8"/>
      <c r="E46" s="24">
        <v>417</v>
      </c>
      <c r="F46" s="8"/>
      <c r="G46" s="24">
        <v>375</v>
      </c>
      <c r="H46" s="8"/>
      <c r="I46" s="24">
        <v>352</v>
      </c>
      <c r="J46" s="8"/>
      <c r="K46" s="24">
        <v>408</v>
      </c>
      <c r="L46" s="8"/>
      <c r="M46" s="24">
        <v>396</v>
      </c>
      <c r="N46" s="8"/>
      <c r="O46" s="24">
        <v>428</v>
      </c>
      <c r="P46" s="8"/>
      <c r="Q46" s="24">
        <v>364</v>
      </c>
      <c r="R46" s="8"/>
      <c r="S46" s="24">
        <v>363</v>
      </c>
      <c r="T46" s="8"/>
      <c r="U46" s="24">
        <v>344</v>
      </c>
      <c r="V46" s="8"/>
      <c r="W46" s="24">
        <v>320</v>
      </c>
      <c r="X46" s="8"/>
      <c r="Y46" s="24">
        <v>308</v>
      </c>
      <c r="Z46" s="8"/>
      <c r="AA46" s="24">
        <v>343</v>
      </c>
      <c r="AB46" s="8"/>
      <c r="AC46" s="8"/>
      <c r="AE46" s="8"/>
      <c r="AG46" s="8"/>
    </row>
    <row r="47" ht="12" customHeight="1">
      <c r="A47" s="8" t="s">
        <v>155</v>
      </c>
      <c r="B47" s="8" t="s">
        <v>755</v>
      </c>
      <c r="C47" s="24">
        <v>983</v>
      </c>
      <c r="D47" s="8"/>
      <c r="E47" s="24">
        <v>986</v>
      </c>
      <c r="F47" s="8"/>
      <c r="G47" s="24">
        <v>995</v>
      </c>
      <c r="H47" s="8"/>
      <c r="I47" s="24">
        <v>1013</v>
      </c>
      <c r="J47" s="8"/>
      <c r="K47" s="24">
        <v>1028</v>
      </c>
      <c r="L47" s="8"/>
      <c r="M47" s="24">
        <v>1038</v>
      </c>
      <c r="N47" s="8"/>
      <c r="O47" s="24">
        <v>1046</v>
      </c>
      <c r="P47" s="8"/>
      <c r="Q47" s="24">
        <v>1056</v>
      </c>
      <c r="R47" s="8"/>
      <c r="S47" s="24">
        <v>1085</v>
      </c>
      <c r="T47" s="8"/>
      <c r="U47" s="24">
        <v>1103</v>
      </c>
      <c r="V47" s="8"/>
      <c r="W47" s="24">
        <v>1118</v>
      </c>
      <c r="X47" s="8"/>
      <c r="Y47" s="24">
        <v>1129</v>
      </c>
      <c r="Z47" s="8"/>
      <c r="AA47" s="24">
        <v>1161</v>
      </c>
      <c r="AB47" s="8"/>
      <c r="AC47" s="8"/>
      <c r="AE47" s="8"/>
      <c r="AG47" s="8"/>
    </row>
    <row r="48" ht="12" customHeight="1">
      <c r="A48" s="11" t="s">
        <v>157</v>
      </c>
      <c r="B48" s="8" t="s">
        <v>756</v>
      </c>
      <c r="C48" s="24">
        <v>1113</v>
      </c>
      <c r="D48" s="8"/>
      <c r="E48" s="24">
        <v>1120</v>
      </c>
      <c r="F48" s="8"/>
      <c r="G48" s="24">
        <v>1128</v>
      </c>
      <c r="H48" s="8"/>
      <c r="I48" s="24">
        <v>1143</v>
      </c>
      <c r="J48" s="8"/>
      <c r="K48" s="24">
        <v>1168</v>
      </c>
      <c r="L48" s="8"/>
      <c r="M48" s="24">
        <v>1190</v>
      </c>
      <c r="N48" s="8"/>
      <c r="O48" s="24">
        <v>1184</v>
      </c>
      <c r="P48" s="8"/>
      <c r="Q48" s="24">
        <v>1185</v>
      </c>
      <c r="R48" s="8"/>
      <c r="S48" s="24">
        <v>1210</v>
      </c>
      <c r="T48" s="8"/>
      <c r="U48" s="24">
        <v>1202</v>
      </c>
      <c r="V48" s="8"/>
      <c r="W48" s="24">
        <v>1206</v>
      </c>
      <c r="X48" s="8"/>
      <c r="Y48" s="24">
        <v>1216</v>
      </c>
      <c r="Z48" s="8"/>
      <c r="AA48" s="24">
        <v>1231</v>
      </c>
      <c r="AB48" s="8"/>
      <c r="AC48" s="8"/>
      <c r="AE48" s="8"/>
      <c r="AG48" s="8"/>
    </row>
    <row r="49" ht="12" customHeight="1">
      <c r="A49" s="8" t="s">
        <v>159</v>
      </c>
      <c r="B49" s="8" t="s">
        <v>757</v>
      </c>
      <c r="C49" s="24">
        <v>465</v>
      </c>
      <c r="D49" s="8"/>
      <c r="E49" s="24">
        <v>434</v>
      </c>
      <c r="F49" s="8"/>
      <c r="G49" s="24">
        <v>351</v>
      </c>
      <c r="H49" s="8"/>
      <c r="I49" s="24">
        <v>368</v>
      </c>
      <c r="J49" s="8"/>
      <c r="K49" s="24">
        <v>405</v>
      </c>
      <c r="L49" s="8"/>
      <c r="M49" s="24">
        <v>361</v>
      </c>
      <c r="N49" s="8"/>
      <c r="O49" s="24">
        <v>313</v>
      </c>
      <c r="P49" s="8"/>
      <c r="Q49" s="24">
        <v>329</v>
      </c>
      <c r="R49" s="8"/>
      <c r="S49" s="24">
        <v>366</v>
      </c>
      <c r="T49" s="8"/>
      <c r="U49" s="24">
        <v>340</v>
      </c>
      <c r="V49" s="8"/>
      <c r="W49" s="24">
        <v>293</v>
      </c>
      <c r="X49" s="8"/>
      <c r="Y49" s="24">
        <v>300</v>
      </c>
      <c r="Z49" s="8"/>
      <c r="AA49" s="24">
        <v>327</v>
      </c>
      <c r="AB49" s="8"/>
      <c r="AC49" s="8"/>
      <c r="AE49" s="8"/>
      <c r="AG49" s="8"/>
    </row>
    <row r="50" ht="12" customHeight="1">
      <c r="A50" s="8" t="s">
        <v>161</v>
      </c>
      <c r="B50" s="8" t="s">
        <v>758</v>
      </c>
      <c r="C50" s="24">
        <v>1233</v>
      </c>
      <c r="D50" s="8"/>
      <c r="E50" s="24">
        <v>1241</v>
      </c>
      <c r="F50" s="8"/>
      <c r="G50" s="24">
        <v>1245</v>
      </c>
      <c r="H50" s="8"/>
      <c r="I50" s="24">
        <v>1231</v>
      </c>
      <c r="J50" s="8"/>
      <c r="K50" s="24">
        <v>1210</v>
      </c>
      <c r="L50" s="8"/>
      <c r="M50" s="24">
        <v>1223</v>
      </c>
      <c r="N50" s="8"/>
      <c r="O50" s="24">
        <v>1255</v>
      </c>
      <c r="P50" s="8"/>
      <c r="Q50" s="24">
        <v>1246</v>
      </c>
      <c r="R50" s="8"/>
      <c r="S50" s="24">
        <v>1228</v>
      </c>
      <c r="T50" s="8"/>
      <c r="U50" s="24">
        <v>1237</v>
      </c>
      <c r="V50" s="8"/>
      <c r="W50" s="24">
        <v>1259</v>
      </c>
      <c r="X50" s="8"/>
      <c r="Y50" s="24">
        <v>1255</v>
      </c>
      <c r="Z50" s="8"/>
      <c r="AA50" s="24">
        <v>1264</v>
      </c>
      <c r="AB50" s="8"/>
      <c r="AC50" s="8"/>
      <c r="AE50" s="8"/>
      <c r="AG50" s="8"/>
    </row>
    <row r="51" ht="12" customHeight="1">
      <c r="A51" s="8" t="s">
        <v>163</v>
      </c>
      <c r="B51" s="8" t="s">
        <v>759</v>
      </c>
      <c r="C51" s="24">
        <v>1273</v>
      </c>
      <c r="D51" s="8"/>
      <c r="E51" s="24">
        <v>1291</v>
      </c>
      <c r="F51" s="8"/>
      <c r="G51" s="24">
        <v>1354</v>
      </c>
      <c r="H51" s="8"/>
      <c r="I51" s="24">
        <v>1358</v>
      </c>
      <c r="J51" s="8"/>
      <c r="K51" s="24">
        <v>1368</v>
      </c>
      <c r="L51" s="8"/>
      <c r="M51" s="24">
        <v>1377</v>
      </c>
      <c r="N51" s="8"/>
      <c r="O51" s="24">
        <v>1350</v>
      </c>
      <c r="P51" s="8"/>
      <c r="Q51" s="24">
        <v>1363</v>
      </c>
      <c r="R51" s="8"/>
      <c r="S51" s="24">
        <v>1373</v>
      </c>
      <c r="T51" s="8"/>
      <c r="U51" s="24">
        <v>1371</v>
      </c>
      <c r="V51" s="8"/>
      <c r="W51" s="24">
        <v>1349</v>
      </c>
      <c r="X51" s="8"/>
      <c r="Y51" s="24">
        <v>1360</v>
      </c>
      <c r="Z51" s="8"/>
      <c r="AA51" s="24">
        <v>1366</v>
      </c>
      <c r="AB51" s="8"/>
      <c r="AC51" s="8"/>
      <c r="AE51" s="8"/>
      <c r="AG51" s="8"/>
    </row>
    <row r="52" ht="12" customHeight="1">
      <c r="A52" s="8" t="s">
        <v>165</v>
      </c>
      <c r="B52" s="8" t="s">
        <v>760</v>
      </c>
      <c r="C52" s="24">
        <v>1050</v>
      </c>
      <c r="D52" s="8"/>
      <c r="E52" s="24">
        <v>1062</v>
      </c>
      <c r="F52" s="8"/>
      <c r="G52" s="24">
        <v>1067</v>
      </c>
      <c r="H52" s="8"/>
      <c r="I52" s="24">
        <v>1077</v>
      </c>
      <c r="J52" s="8"/>
      <c r="K52" s="24">
        <v>1107</v>
      </c>
      <c r="L52" s="8"/>
      <c r="M52" s="24">
        <v>1149</v>
      </c>
      <c r="N52" s="8"/>
      <c r="O52" s="24">
        <v>1173</v>
      </c>
      <c r="P52" s="8"/>
      <c r="Q52" s="24">
        <v>1158</v>
      </c>
      <c r="R52" s="8"/>
      <c r="S52" s="24">
        <v>1178</v>
      </c>
      <c r="T52" s="8"/>
      <c r="U52" s="24">
        <v>1180</v>
      </c>
      <c r="V52" s="8"/>
      <c r="W52" s="24">
        <v>1261</v>
      </c>
      <c r="X52" s="8"/>
      <c r="Y52" s="24">
        <v>1264</v>
      </c>
      <c r="Z52" s="8"/>
      <c r="AA52" s="24">
        <v>1265</v>
      </c>
      <c r="AB52" s="8"/>
      <c r="AC52" s="8"/>
      <c r="AE52" s="8"/>
      <c r="AG52" s="8"/>
    </row>
    <row r="53" ht="12" customHeight="1">
      <c r="A53" s="8" t="s">
        <v>167</v>
      </c>
      <c r="B53" s="8" t="s">
        <v>761</v>
      </c>
      <c r="C53" s="24">
        <v>1456</v>
      </c>
      <c r="D53" s="8"/>
      <c r="E53" s="24">
        <v>1462</v>
      </c>
      <c r="F53" s="8"/>
      <c r="G53" s="24">
        <v>1494</v>
      </c>
      <c r="H53" s="8"/>
      <c r="I53" s="24">
        <v>1538</v>
      </c>
      <c r="J53" s="8"/>
      <c r="K53" s="24">
        <v>1548</v>
      </c>
      <c r="L53" s="8"/>
      <c r="M53" s="24">
        <v>1561</v>
      </c>
      <c r="N53" s="8"/>
      <c r="O53" s="24">
        <v>1593</v>
      </c>
      <c r="P53" s="8"/>
      <c r="Q53" s="24">
        <v>1616</v>
      </c>
      <c r="R53" s="8"/>
      <c r="S53" s="24">
        <v>1638</v>
      </c>
      <c r="T53" s="8"/>
      <c r="U53" s="24">
        <v>1625</v>
      </c>
      <c r="V53" s="8"/>
      <c r="W53" s="24">
        <v>1618</v>
      </c>
      <c r="X53" s="8"/>
      <c r="Y53" s="24">
        <v>1655</v>
      </c>
      <c r="Z53" s="8"/>
      <c r="AA53" s="24">
        <v>1671</v>
      </c>
      <c r="AB53" s="8"/>
      <c r="AC53" s="8"/>
      <c r="AE53" s="8"/>
      <c r="AG53" s="8"/>
    </row>
    <row r="54" ht="12" customHeight="1">
      <c r="A54" s="8" t="s">
        <v>169</v>
      </c>
      <c r="B54" s="8" t="s">
        <v>762</v>
      </c>
      <c r="C54" s="24">
        <v>1579</v>
      </c>
      <c r="D54" s="8"/>
      <c r="E54" s="24">
        <v>1616</v>
      </c>
      <c r="F54" s="8"/>
      <c r="G54" s="24">
        <v>1610</v>
      </c>
      <c r="H54" s="8"/>
      <c r="I54" s="24">
        <v>1641</v>
      </c>
      <c r="J54" s="8"/>
      <c r="K54" s="24">
        <v>1671</v>
      </c>
      <c r="L54" s="8"/>
      <c r="M54" s="24">
        <v>1782</v>
      </c>
      <c r="N54" s="8"/>
      <c r="O54" s="24">
        <v>1694</v>
      </c>
      <c r="P54" s="8"/>
      <c r="Q54" s="24">
        <v>1684</v>
      </c>
      <c r="R54" s="8"/>
      <c r="S54" s="24">
        <v>1763</v>
      </c>
      <c r="T54" s="8"/>
      <c r="U54" s="24">
        <v>1796</v>
      </c>
      <c r="V54" s="8"/>
      <c r="W54" s="24">
        <v>1784</v>
      </c>
      <c r="X54" s="8"/>
      <c r="Y54" s="24">
        <v>1793</v>
      </c>
      <c r="Z54" s="8"/>
      <c r="AA54" s="24">
        <v>1868</v>
      </c>
      <c r="AB54" s="8"/>
      <c r="AC54" s="8"/>
      <c r="AE54" s="8"/>
      <c r="AG54" s="8"/>
    </row>
    <row r="55" ht="12" customHeight="1">
      <c r="A55" s="11" t="s">
        <v>171</v>
      </c>
      <c r="B55" s="8" t="s">
        <v>763</v>
      </c>
      <c r="C55" s="24">
        <v>1055</v>
      </c>
      <c r="D55" s="8"/>
      <c r="E55" s="24">
        <v>1070</v>
      </c>
      <c r="F55" s="8"/>
      <c r="G55" s="24">
        <v>1070</v>
      </c>
      <c r="H55" s="8"/>
      <c r="I55" s="24">
        <v>1082</v>
      </c>
      <c r="J55" s="8"/>
      <c r="K55" s="24">
        <v>1082</v>
      </c>
      <c r="L55" s="8"/>
      <c r="M55" s="24">
        <v>1108</v>
      </c>
      <c r="N55" s="8"/>
      <c r="O55" s="24">
        <v>1108</v>
      </c>
      <c r="P55" s="8"/>
      <c r="Q55" s="24">
        <v>1037</v>
      </c>
      <c r="R55" s="8"/>
      <c r="S55" s="24">
        <v>1037</v>
      </c>
      <c r="T55" s="8"/>
      <c r="U55" s="24">
        <v>1106</v>
      </c>
      <c r="V55" s="8"/>
      <c r="W55" s="24">
        <v>1106</v>
      </c>
      <c r="X55" s="8"/>
      <c r="Y55" s="24">
        <v>1110</v>
      </c>
      <c r="Z55" s="8"/>
      <c r="AA55" s="24">
        <v>1110</v>
      </c>
      <c r="AB55" s="8"/>
      <c r="AC55" s="8"/>
      <c r="AE55" s="8"/>
      <c r="AG55" s="8"/>
    </row>
    <row r="56" ht="12" customHeight="1">
      <c r="A56" s="8" t="s">
        <v>173</v>
      </c>
      <c r="B56" s="8" t="s">
        <v>764</v>
      </c>
      <c r="C56" s="24">
        <v>1252</v>
      </c>
      <c r="D56" s="8"/>
      <c r="E56" s="24">
        <v>1252</v>
      </c>
      <c r="F56" s="8"/>
      <c r="G56" s="24">
        <v>1252</v>
      </c>
      <c r="H56" s="8"/>
      <c r="I56" s="24">
        <v>1296</v>
      </c>
      <c r="J56" s="8"/>
      <c r="K56" s="24">
        <v>1296</v>
      </c>
      <c r="L56" s="8"/>
      <c r="M56" s="24">
        <v>1296</v>
      </c>
      <c r="N56" s="8"/>
      <c r="O56" s="24">
        <v>1296</v>
      </c>
      <c r="P56" s="8"/>
      <c r="Q56" s="24">
        <v>1037</v>
      </c>
      <c r="R56" s="8"/>
      <c r="S56" s="24">
        <v>1037</v>
      </c>
      <c r="T56" s="8"/>
      <c r="U56" s="24">
        <v>1037</v>
      </c>
      <c r="V56" s="8"/>
      <c r="W56" s="24">
        <v>1037</v>
      </c>
      <c r="X56" s="8"/>
      <c r="Y56" s="24">
        <v>1062</v>
      </c>
      <c r="Z56" s="8"/>
      <c r="AA56" s="24">
        <v>1062</v>
      </c>
      <c r="AB56" s="8"/>
      <c r="AC56" s="8"/>
      <c r="AE56" s="8"/>
      <c r="AG56" s="8"/>
    </row>
    <row r="57" ht="12" customHeight="1">
      <c r="A57" s="8" t="s">
        <v>175</v>
      </c>
      <c r="B57" s="8" t="s">
        <v>765</v>
      </c>
      <c r="C57" s="24">
        <v>1129</v>
      </c>
      <c r="D57" s="8"/>
      <c r="E57" s="24">
        <v>1131</v>
      </c>
      <c r="F57" s="8"/>
      <c r="G57" s="24">
        <v>1131</v>
      </c>
      <c r="H57" s="8"/>
      <c r="I57" s="24">
        <v>1131</v>
      </c>
      <c r="J57" s="8"/>
      <c r="K57" s="24">
        <v>1131</v>
      </c>
      <c r="L57" s="8"/>
      <c r="M57" s="24">
        <v>1157</v>
      </c>
      <c r="N57" s="8"/>
      <c r="O57" s="24">
        <v>1157</v>
      </c>
      <c r="P57" s="8"/>
      <c r="Q57" s="24">
        <v>1157</v>
      </c>
      <c r="R57" s="8"/>
      <c r="S57" s="24">
        <v>1157</v>
      </c>
      <c r="T57" s="8"/>
      <c r="U57" s="24">
        <v>1204</v>
      </c>
      <c r="V57" s="8"/>
      <c r="W57" s="24">
        <v>1204</v>
      </c>
      <c r="X57" s="8"/>
      <c r="Y57" s="24">
        <v>1204</v>
      </c>
      <c r="Z57" s="8"/>
      <c r="AA57" s="24">
        <v>1204</v>
      </c>
      <c r="AB57" s="8"/>
      <c r="AC57" s="8"/>
      <c r="AE57" s="8"/>
      <c r="AG57" s="8"/>
    </row>
    <row r="58" ht="12" customHeight="1">
      <c r="A58" s="8" t="s">
        <v>177</v>
      </c>
      <c r="B58" s="8" t="s">
        <v>766</v>
      </c>
      <c r="C58" s="24">
        <v>923</v>
      </c>
      <c r="D58" s="8"/>
      <c r="E58" s="24">
        <v>970</v>
      </c>
      <c r="F58" s="8"/>
      <c r="G58" s="24">
        <v>970</v>
      </c>
      <c r="H58" s="8"/>
      <c r="I58" s="24">
        <v>970</v>
      </c>
      <c r="J58" s="8"/>
      <c r="K58" s="24">
        <v>970</v>
      </c>
      <c r="L58" s="8"/>
      <c r="M58" s="24">
        <v>1022</v>
      </c>
      <c r="N58" s="8"/>
      <c r="O58" s="24">
        <v>1022</v>
      </c>
      <c r="P58" s="8"/>
      <c r="Q58" s="24">
        <v>1022</v>
      </c>
      <c r="R58" s="8"/>
      <c r="S58" s="24">
        <v>1022</v>
      </c>
      <c r="T58" s="8"/>
      <c r="U58" s="24">
        <v>1253</v>
      </c>
      <c r="V58" s="8"/>
      <c r="W58" s="24">
        <v>1253</v>
      </c>
      <c r="X58" s="8"/>
      <c r="Y58" s="24">
        <v>1253</v>
      </c>
      <c r="Z58" s="8"/>
      <c r="AA58" s="24">
        <v>1253</v>
      </c>
      <c r="AB58" s="8"/>
      <c r="AC58" s="8"/>
      <c r="AE58" s="8"/>
      <c r="AG58" s="8"/>
    </row>
    <row r="59" ht="12" customHeight="1">
      <c r="A59" s="8" t="s">
        <v>179</v>
      </c>
      <c r="B59" s="8" t="s">
        <v>767</v>
      </c>
      <c r="C59" s="24">
        <v>1120</v>
      </c>
      <c r="D59" s="8"/>
      <c r="E59" s="24">
        <v>1183</v>
      </c>
      <c r="F59" s="8"/>
      <c r="G59" s="24">
        <v>1183</v>
      </c>
      <c r="H59" s="8"/>
      <c r="I59" s="24">
        <v>1183</v>
      </c>
      <c r="J59" s="8"/>
      <c r="K59" s="24">
        <v>1183</v>
      </c>
      <c r="L59" s="8"/>
      <c r="M59" s="24">
        <v>1239</v>
      </c>
      <c r="N59" s="8"/>
      <c r="O59" s="24">
        <v>1239</v>
      </c>
      <c r="P59" s="8"/>
      <c r="Q59" s="24">
        <v>1239</v>
      </c>
      <c r="R59" s="8"/>
      <c r="S59" s="24">
        <v>1239</v>
      </c>
      <c r="T59" s="8"/>
      <c r="U59" s="24">
        <v>1302</v>
      </c>
      <c r="V59" s="8"/>
      <c r="W59" s="24">
        <v>1302</v>
      </c>
      <c r="X59" s="8"/>
      <c r="Y59" s="24">
        <v>1302</v>
      </c>
      <c r="Z59" s="8"/>
      <c r="AA59" s="24">
        <v>1302</v>
      </c>
      <c r="AB59" s="8"/>
      <c r="AC59" s="8"/>
      <c r="AE59" s="8"/>
      <c r="AG59" s="8"/>
    </row>
    <row r="60" ht="12" customHeight="1">
      <c r="A60" s="11" t="s">
        <v>181</v>
      </c>
      <c r="B60" s="8" t="s">
        <v>768</v>
      </c>
      <c r="C60" s="24">
        <v>1325</v>
      </c>
      <c r="D60" s="8"/>
      <c r="E60" s="24">
        <v>1359</v>
      </c>
      <c r="F60" s="8"/>
      <c r="G60" s="24">
        <v>1406</v>
      </c>
      <c r="H60" s="8"/>
      <c r="I60" s="24">
        <v>1447</v>
      </c>
      <c r="J60" s="8"/>
      <c r="K60" s="24">
        <v>1486</v>
      </c>
      <c r="L60" s="8"/>
      <c r="M60" s="24">
        <v>1538</v>
      </c>
      <c r="N60" s="8"/>
      <c r="O60" s="24">
        <v>1582</v>
      </c>
      <c r="P60" s="8"/>
      <c r="Q60" s="24">
        <v>1612</v>
      </c>
      <c r="R60" s="8"/>
      <c r="S60" s="24">
        <v>1640</v>
      </c>
      <c r="T60" s="8"/>
      <c r="U60" s="24">
        <v>1657</v>
      </c>
      <c r="V60" s="8"/>
      <c r="W60" s="24">
        <v>1673</v>
      </c>
      <c r="X60" s="8"/>
      <c r="Y60" s="24">
        <v>1678</v>
      </c>
      <c r="Z60" s="8"/>
      <c r="AA60" s="24">
        <v>1678</v>
      </c>
      <c r="AB60" s="8"/>
      <c r="AC60" s="8"/>
      <c r="AE60" s="8"/>
      <c r="AG60" s="8"/>
    </row>
    <row r="61" ht="12" customHeight="1">
      <c r="A61" s="8" t="s">
        <v>183</v>
      </c>
      <c r="B61" s="8" t="s">
        <v>769</v>
      </c>
      <c r="C61" s="24">
        <v>1132</v>
      </c>
      <c r="D61" s="8"/>
      <c r="E61" s="24">
        <v>1159</v>
      </c>
      <c r="F61" s="8"/>
      <c r="G61" s="24">
        <v>1184</v>
      </c>
      <c r="H61" s="8"/>
      <c r="I61" s="24">
        <v>1176</v>
      </c>
      <c r="J61" s="8"/>
      <c r="K61" s="24">
        <v>1155</v>
      </c>
      <c r="L61" s="8"/>
      <c r="M61" s="24">
        <v>1157</v>
      </c>
      <c r="N61" s="8"/>
      <c r="O61" s="24">
        <v>1151</v>
      </c>
      <c r="P61" s="8"/>
      <c r="Q61" s="24">
        <v>1143</v>
      </c>
      <c r="R61" s="8"/>
      <c r="S61" s="24">
        <v>1142</v>
      </c>
      <c r="T61" s="8"/>
      <c r="U61" s="24">
        <v>1145</v>
      </c>
      <c r="V61" s="8"/>
      <c r="W61" s="24">
        <v>1156</v>
      </c>
      <c r="X61" s="8"/>
      <c r="Y61" s="24">
        <v>1159</v>
      </c>
      <c r="Z61" s="8"/>
      <c r="AA61" s="24">
        <v>1158</v>
      </c>
      <c r="AB61" s="8"/>
      <c r="AC61" s="8"/>
      <c r="AE61" s="8"/>
      <c r="AG61" s="8"/>
    </row>
    <row r="62" ht="12" customHeight="1">
      <c r="A62" s="8" t="s">
        <v>185</v>
      </c>
      <c r="B62" s="8" t="s">
        <v>770</v>
      </c>
      <c r="C62" s="24">
        <v>1136</v>
      </c>
      <c r="D62" s="8"/>
      <c r="E62" s="24">
        <v>1167</v>
      </c>
      <c r="F62" s="8"/>
      <c r="G62" s="24">
        <v>1161</v>
      </c>
      <c r="H62" s="8"/>
      <c r="I62" s="24">
        <v>1168</v>
      </c>
      <c r="J62" s="8"/>
      <c r="K62" s="24">
        <v>1167</v>
      </c>
      <c r="L62" s="8"/>
      <c r="M62" s="24">
        <v>1188</v>
      </c>
      <c r="N62" s="8"/>
      <c r="O62" s="24">
        <v>1189</v>
      </c>
      <c r="P62" s="8"/>
      <c r="Q62" s="24">
        <v>1185</v>
      </c>
      <c r="R62" s="8"/>
      <c r="S62" s="24">
        <v>1176</v>
      </c>
      <c r="T62" s="8"/>
      <c r="U62" s="24">
        <v>1170</v>
      </c>
      <c r="V62" s="8"/>
      <c r="W62" s="24">
        <v>1193</v>
      </c>
      <c r="X62" s="8"/>
      <c r="Y62" s="24">
        <v>1208</v>
      </c>
      <c r="Z62" s="8"/>
      <c r="AA62" s="24">
        <v>1233</v>
      </c>
      <c r="AB62" s="8"/>
      <c r="AC62" s="8"/>
      <c r="AE62" s="8"/>
      <c r="AG62" s="8"/>
    </row>
    <row r="63" ht="12" customHeight="1">
      <c r="A63" s="8" t="s">
        <v>187</v>
      </c>
      <c r="B63" s="8" t="s">
        <v>771</v>
      </c>
      <c r="C63" s="24">
        <v>1386</v>
      </c>
      <c r="D63" s="8"/>
      <c r="E63" s="24">
        <v>1424</v>
      </c>
      <c r="F63" s="8"/>
      <c r="G63" s="24">
        <v>1487</v>
      </c>
      <c r="H63" s="8"/>
      <c r="I63" s="24">
        <v>1556</v>
      </c>
      <c r="J63" s="8"/>
      <c r="K63" s="24">
        <v>1627</v>
      </c>
      <c r="L63" s="8"/>
      <c r="M63" s="24">
        <v>1708</v>
      </c>
      <c r="N63" s="8"/>
      <c r="O63" s="24">
        <v>1781</v>
      </c>
      <c r="P63" s="8"/>
      <c r="Q63" s="24">
        <v>1835</v>
      </c>
      <c r="R63" s="8"/>
      <c r="S63" s="24">
        <v>1879</v>
      </c>
      <c r="T63" s="8"/>
      <c r="U63" s="24">
        <v>1903</v>
      </c>
      <c r="V63" s="8"/>
      <c r="W63" s="24">
        <v>1923</v>
      </c>
      <c r="X63" s="8"/>
      <c r="Y63" s="24">
        <v>1930</v>
      </c>
      <c r="Z63" s="8"/>
      <c r="AA63" s="24">
        <v>1930</v>
      </c>
      <c r="AB63" s="8"/>
      <c r="AC63" s="8"/>
      <c r="AE63" s="8"/>
      <c r="AG63" s="8"/>
    </row>
    <row r="64" ht="12" customHeight="1">
      <c r="A64" s="8" t="s">
        <v>189</v>
      </c>
      <c r="B64" s="8" t="s">
        <v>772</v>
      </c>
      <c r="C64" s="24">
        <v>736</v>
      </c>
      <c r="D64" s="8"/>
      <c r="E64" s="24">
        <v>736</v>
      </c>
      <c r="F64" s="8"/>
      <c r="G64" s="24">
        <v>736</v>
      </c>
      <c r="H64" s="8"/>
      <c r="I64" s="24">
        <v>736</v>
      </c>
      <c r="J64" s="8"/>
      <c r="K64" s="24">
        <v>736</v>
      </c>
      <c r="L64" s="8"/>
      <c r="M64" s="24">
        <v>736</v>
      </c>
      <c r="N64" s="8"/>
      <c r="O64" s="24">
        <v>736</v>
      </c>
      <c r="P64" s="8"/>
      <c r="Q64" s="24">
        <v>719</v>
      </c>
      <c r="R64" s="8"/>
      <c r="S64" s="24">
        <v>719</v>
      </c>
      <c r="T64" s="8"/>
      <c r="U64" s="24">
        <v>719</v>
      </c>
      <c r="V64" s="8"/>
      <c r="W64" s="24">
        <v>714</v>
      </c>
      <c r="X64" s="8"/>
      <c r="Y64" s="24">
        <v>714</v>
      </c>
      <c r="Z64" s="8"/>
      <c r="AA64" s="24">
        <v>714</v>
      </c>
      <c r="AB64" s="8"/>
      <c r="AC64" s="8"/>
      <c r="AE64" s="8"/>
      <c r="AG64" s="8"/>
    </row>
    <row r="65" ht="12" customHeight="1">
      <c r="A65" s="8" t="s">
        <v>191</v>
      </c>
      <c r="B65" s="8" t="s">
        <v>773</v>
      </c>
      <c r="C65" s="24">
        <v>1408</v>
      </c>
      <c r="D65" s="8"/>
      <c r="E65" s="24">
        <v>1426</v>
      </c>
      <c r="F65" s="8"/>
      <c r="G65" s="24">
        <v>1443</v>
      </c>
      <c r="H65" s="8"/>
      <c r="I65" s="24">
        <v>1463</v>
      </c>
      <c r="J65" s="8"/>
      <c r="K65" s="24">
        <v>1472</v>
      </c>
      <c r="L65" s="8"/>
      <c r="M65" s="24">
        <v>1484</v>
      </c>
      <c r="N65" s="8"/>
      <c r="O65" s="24">
        <v>1511</v>
      </c>
      <c r="P65" s="8"/>
      <c r="Q65" s="24">
        <v>1511</v>
      </c>
      <c r="R65" s="8"/>
      <c r="S65" s="24">
        <v>1513</v>
      </c>
      <c r="T65" s="8"/>
      <c r="U65" s="24">
        <v>1527</v>
      </c>
      <c r="V65" s="8"/>
      <c r="W65" s="24">
        <v>1541</v>
      </c>
      <c r="X65" s="8"/>
      <c r="Y65" s="24">
        <v>1516</v>
      </c>
      <c r="Z65" s="8"/>
      <c r="AA65" s="24">
        <v>1515</v>
      </c>
      <c r="AB65" s="8"/>
      <c r="AC65" s="8"/>
      <c r="AE65" s="8"/>
      <c r="AG65" s="8"/>
    </row>
    <row r="66" ht="12" customHeight="1">
      <c r="A66" s="11" t="s">
        <v>193</v>
      </c>
      <c r="B66" s="8" t="s">
        <v>774</v>
      </c>
      <c r="C66" s="24">
        <v>1362</v>
      </c>
      <c r="D66" s="8"/>
      <c r="E66" s="24">
        <v>1455</v>
      </c>
      <c r="F66" s="8"/>
      <c r="G66" s="24">
        <v>1512</v>
      </c>
      <c r="H66" s="8"/>
      <c r="I66" s="24">
        <v>1633</v>
      </c>
      <c r="J66" s="8"/>
      <c r="K66" s="24">
        <v>1780</v>
      </c>
      <c r="L66" s="8"/>
      <c r="M66" s="24">
        <v>1858</v>
      </c>
      <c r="N66" s="8"/>
      <c r="O66" s="24">
        <v>1898</v>
      </c>
      <c r="P66" s="8"/>
      <c r="Q66" s="24">
        <v>1920</v>
      </c>
      <c r="R66" s="8"/>
      <c r="S66" s="24">
        <v>1910</v>
      </c>
      <c r="T66" s="8"/>
      <c r="U66" s="24">
        <v>1874</v>
      </c>
      <c r="V66" s="8"/>
      <c r="W66" s="24">
        <v>1764</v>
      </c>
      <c r="X66" s="8"/>
      <c r="Y66" s="24">
        <v>1660</v>
      </c>
      <c r="Z66" s="8"/>
      <c r="AA66" s="24">
        <v>1597</v>
      </c>
      <c r="AB66" s="8"/>
      <c r="AC66" s="8"/>
      <c r="AE66" s="8"/>
      <c r="AG66" s="8"/>
    </row>
    <row r="67" ht="12" customHeight="1">
      <c r="A67" s="8" t="s">
        <v>195</v>
      </c>
      <c r="B67" s="8" t="s">
        <v>775</v>
      </c>
      <c r="C67" s="24">
        <v>1362</v>
      </c>
      <c r="D67" s="8"/>
      <c r="E67" s="24">
        <v>1455</v>
      </c>
      <c r="F67" s="8"/>
      <c r="G67" s="24">
        <v>1512</v>
      </c>
      <c r="H67" s="8"/>
      <c r="I67" s="24">
        <v>1633</v>
      </c>
      <c r="J67" s="8"/>
      <c r="K67" s="24">
        <v>1780</v>
      </c>
      <c r="L67" s="8"/>
      <c r="M67" s="24">
        <v>1858</v>
      </c>
      <c r="N67" s="8"/>
      <c r="O67" s="24">
        <v>1898</v>
      </c>
      <c r="P67" s="8"/>
      <c r="Q67" s="24">
        <v>1920</v>
      </c>
      <c r="R67" s="8"/>
      <c r="S67" s="24">
        <v>1910</v>
      </c>
      <c r="T67" s="8"/>
      <c r="U67" s="24">
        <v>1874</v>
      </c>
      <c r="V67" s="8"/>
      <c r="W67" s="24">
        <v>1764</v>
      </c>
      <c r="X67" s="8"/>
      <c r="Y67" s="24">
        <v>1660</v>
      </c>
      <c r="Z67" s="8"/>
      <c r="AA67" s="24">
        <v>1597</v>
      </c>
      <c r="AB67" s="8"/>
      <c r="AC67" s="8"/>
      <c r="AE67" s="8"/>
      <c r="AG67" s="8"/>
    </row>
    <row r="68" ht="12" customHeight="1">
      <c r="A68" s="13" t="s">
        <v>69</v>
      </c>
      <c r="B68" s="10" t="s">
        <v>58</v>
      </c>
      <c r="C68" s="25">
        <v>1239</v>
      </c>
      <c r="D68" s="10"/>
      <c r="E68" s="25">
        <v>1262</v>
      </c>
      <c r="F68" s="10"/>
      <c r="G68" s="25">
        <v>1280</v>
      </c>
      <c r="H68" s="10"/>
      <c r="I68" s="25">
        <v>1309</v>
      </c>
      <c r="J68" s="10"/>
      <c r="K68" s="25">
        <v>1321</v>
      </c>
      <c r="L68" s="10"/>
      <c r="M68" s="25">
        <v>1334</v>
      </c>
      <c r="N68" s="10"/>
      <c r="O68" s="25">
        <v>1344</v>
      </c>
      <c r="P68" s="10"/>
      <c r="Q68" s="25">
        <v>1365</v>
      </c>
      <c r="R68" s="10"/>
      <c r="S68" s="25">
        <v>1373</v>
      </c>
      <c r="T68" s="10"/>
      <c r="U68" s="25">
        <v>1389</v>
      </c>
      <c r="V68" s="10"/>
      <c r="W68" s="25">
        <v>1400</v>
      </c>
      <c r="X68" s="10"/>
      <c r="Y68" s="25">
        <v>1420</v>
      </c>
      <c r="Z68" s="10"/>
      <c r="AA68" s="25">
        <v>1424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776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716</v>
      </c>
      <c r="C8" s="22">
        <v>2.2999999999999998</v>
      </c>
      <c r="D8" s="22"/>
      <c r="E8" s="22">
        <v>4.5</v>
      </c>
      <c r="F8" s="22"/>
      <c r="G8" s="22">
        <v>1.8</v>
      </c>
      <c r="H8" s="22"/>
      <c r="I8" s="22">
        <v>0.5</v>
      </c>
      <c r="J8" s="22"/>
      <c r="K8" s="22">
        <v>-1.3</v>
      </c>
      <c r="L8" s="22"/>
      <c r="M8" s="22">
        <v>0.5</v>
      </c>
      <c r="N8" s="22"/>
      <c r="O8" s="22">
        <v>-0.5</v>
      </c>
      <c r="P8" s="22"/>
      <c r="Q8" s="22">
        <v>1.2</v>
      </c>
      <c r="R8" s="22"/>
      <c r="S8" s="22">
        <v>-0.20000000000000001</v>
      </c>
      <c r="T8" s="22"/>
      <c r="U8" s="22">
        <v>2.1000000000000001</v>
      </c>
      <c r="V8" s="22"/>
      <c r="W8" s="22">
        <v>1.7</v>
      </c>
      <c r="X8" s="22"/>
      <c r="Y8" s="22">
        <v>2</v>
      </c>
      <c r="Z8" s="22"/>
      <c r="AA8" s="22">
        <v>-1</v>
      </c>
      <c r="AB8" s="22"/>
      <c r="AC8" s="18"/>
    </row>
    <row r="9" ht="12" customHeight="1">
      <c r="A9" s="8" t="s">
        <v>79</v>
      </c>
      <c r="B9" s="8" t="s">
        <v>717</v>
      </c>
      <c r="C9" s="26">
        <v>-2.5</v>
      </c>
      <c r="D9" s="8"/>
      <c r="E9" s="26">
        <v>10.9</v>
      </c>
      <c r="F9" s="8"/>
      <c r="G9" s="26">
        <v>-1.6000000000000001</v>
      </c>
      <c r="H9" s="8"/>
      <c r="I9" s="26">
        <v>-0.59999999999999998</v>
      </c>
      <c r="J9" s="8"/>
      <c r="K9" s="26">
        <v>-4.7000000000000002</v>
      </c>
      <c r="L9" s="8"/>
      <c r="M9" s="26">
        <v>-1.2</v>
      </c>
      <c r="N9" s="8"/>
      <c r="O9" s="26">
        <v>-9.0999999999999996</v>
      </c>
      <c r="P9" s="8"/>
      <c r="Q9" s="26">
        <v>2.6000000000000001</v>
      </c>
      <c r="R9" s="8"/>
      <c r="S9" s="26">
        <v>-2.5</v>
      </c>
      <c r="T9" s="8"/>
      <c r="U9" s="26">
        <v>1.6000000000000001</v>
      </c>
      <c r="V9" s="8"/>
      <c r="W9" s="26">
        <v>2.7999999999999998</v>
      </c>
      <c r="X9" s="8"/>
      <c r="Y9" s="26">
        <v>8.3000000000000007</v>
      </c>
      <c r="Z9" s="8"/>
      <c r="AA9" s="26">
        <v>-8.0999999999999996</v>
      </c>
      <c r="AB9" s="8"/>
      <c r="AC9" s="8"/>
    </row>
    <row r="10" ht="12" customHeight="1">
      <c r="A10" s="8" t="s">
        <v>81</v>
      </c>
      <c r="B10" s="8" t="s">
        <v>718</v>
      </c>
      <c r="C10" s="26">
        <v>3.8999999999999999</v>
      </c>
      <c r="D10" s="8"/>
      <c r="E10" s="26">
        <v>1.8999999999999999</v>
      </c>
      <c r="F10" s="8"/>
      <c r="G10" s="26">
        <v>1.3</v>
      </c>
      <c r="H10" s="8"/>
      <c r="I10" s="26">
        <v>0.59999999999999998</v>
      </c>
      <c r="J10" s="8"/>
      <c r="K10" s="26">
        <v>-1.3999999999999999</v>
      </c>
      <c r="L10" s="8"/>
      <c r="M10" s="26">
        <v>-0.20000000000000001</v>
      </c>
      <c r="N10" s="8"/>
      <c r="O10" s="26">
        <v>0.40000000000000002</v>
      </c>
      <c r="P10" s="8"/>
      <c r="Q10" s="26">
        <v>1.3999999999999999</v>
      </c>
      <c r="R10" s="8"/>
      <c r="S10" s="26">
        <v>0.5</v>
      </c>
      <c r="T10" s="8"/>
      <c r="U10" s="26">
        <v>1.5</v>
      </c>
      <c r="V10" s="8"/>
      <c r="W10" s="26">
        <v>1.3</v>
      </c>
      <c r="X10" s="8"/>
      <c r="Y10" s="26">
        <v>3.6000000000000001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719</v>
      </c>
      <c r="C11" s="26">
        <v>3.6000000000000001</v>
      </c>
      <c r="D11" s="8"/>
      <c r="E11" s="26">
        <v>4.4000000000000004</v>
      </c>
      <c r="F11" s="8"/>
      <c r="G11" s="26">
        <v>2.8999999999999999</v>
      </c>
      <c r="H11" s="8"/>
      <c r="I11" s="26">
        <v>0</v>
      </c>
      <c r="J11" s="8"/>
      <c r="K11" s="26">
        <v>-1</v>
      </c>
      <c r="L11" s="8"/>
      <c r="M11" s="26">
        <v>1.1000000000000001</v>
      </c>
      <c r="N11" s="8"/>
      <c r="O11" s="26">
        <v>1</v>
      </c>
      <c r="P11" s="8"/>
      <c r="Q11" s="26">
        <v>1</v>
      </c>
      <c r="R11" s="8"/>
      <c r="S11" s="26">
        <v>-0.10000000000000001</v>
      </c>
      <c r="T11" s="8"/>
      <c r="U11" s="26">
        <v>3</v>
      </c>
      <c r="V11" s="8"/>
      <c r="W11" s="26">
        <v>1.6000000000000001</v>
      </c>
      <c r="X11" s="8"/>
      <c r="Y11" s="26">
        <v>0.40000000000000002</v>
      </c>
      <c r="Z11" s="8"/>
      <c r="AA11" s="26">
        <v>-0.29999999999999999</v>
      </c>
      <c r="AB11" s="8"/>
      <c r="AC11" s="8"/>
    </row>
    <row r="12" ht="12" customHeight="1">
      <c r="A12" s="8" t="s">
        <v>85</v>
      </c>
      <c r="B12" s="8" t="s">
        <v>720</v>
      </c>
      <c r="C12" s="26">
        <v>2.7000000000000002</v>
      </c>
      <c r="D12" s="8"/>
      <c r="E12" s="26">
        <v>2.5</v>
      </c>
      <c r="F12" s="8"/>
      <c r="G12" s="26">
        <v>2.7999999999999998</v>
      </c>
      <c r="H12" s="8"/>
      <c r="I12" s="26">
        <v>1</v>
      </c>
      <c r="J12" s="8"/>
      <c r="K12" s="26">
        <v>0.10000000000000001</v>
      </c>
      <c r="L12" s="8"/>
      <c r="M12" s="26">
        <v>1.3</v>
      </c>
      <c r="N12" s="8"/>
      <c r="O12" s="26">
        <v>2.2000000000000002</v>
      </c>
      <c r="P12" s="8"/>
      <c r="Q12" s="26">
        <v>0.69999999999999996</v>
      </c>
      <c r="R12" s="8"/>
      <c r="S12" s="26">
        <v>0</v>
      </c>
      <c r="T12" s="8"/>
      <c r="U12" s="26">
        <v>2.5</v>
      </c>
      <c r="V12" s="8"/>
      <c r="W12" s="26">
        <v>2.6000000000000001</v>
      </c>
      <c r="X12" s="8"/>
      <c r="Y12" s="26">
        <v>-0.69999999999999996</v>
      </c>
      <c r="Z12" s="8"/>
      <c r="AA12" s="26">
        <v>0.5</v>
      </c>
      <c r="AB12" s="8"/>
      <c r="AC12" s="8"/>
    </row>
    <row r="13" ht="12" customHeight="1">
      <c r="A13" s="8" t="s">
        <v>87</v>
      </c>
      <c r="B13" s="8" t="s">
        <v>721</v>
      </c>
      <c r="C13" s="26">
        <v>2.2999999999999998</v>
      </c>
      <c r="D13" s="8"/>
      <c r="E13" s="26">
        <v>2.1000000000000001</v>
      </c>
      <c r="F13" s="8"/>
      <c r="G13" s="26">
        <v>3.1000000000000001</v>
      </c>
      <c r="H13" s="8"/>
      <c r="I13" s="26">
        <v>1.7</v>
      </c>
      <c r="J13" s="8"/>
      <c r="K13" s="26">
        <v>0.80000000000000004</v>
      </c>
      <c r="L13" s="8"/>
      <c r="M13" s="26">
        <v>1</v>
      </c>
      <c r="N13" s="8"/>
      <c r="O13" s="26">
        <v>1.3999999999999999</v>
      </c>
      <c r="P13" s="8"/>
      <c r="Q13" s="26">
        <v>0.40000000000000002</v>
      </c>
      <c r="R13" s="8"/>
      <c r="S13" s="26">
        <v>0.5</v>
      </c>
      <c r="T13" s="8"/>
      <c r="U13" s="26">
        <v>0.29999999999999999</v>
      </c>
      <c r="V13" s="8"/>
      <c r="W13" s="26">
        <v>0.90000000000000002</v>
      </c>
      <c r="X13" s="8"/>
      <c r="Y13" s="26">
        <v>0.80000000000000004</v>
      </c>
      <c r="Z13" s="8"/>
      <c r="AA13" s="26">
        <v>0.40000000000000002</v>
      </c>
      <c r="AB13" s="8"/>
      <c r="AC13" s="8"/>
    </row>
    <row r="14" ht="12" customHeight="1">
      <c r="A14" s="11" t="s">
        <v>89</v>
      </c>
      <c r="B14" s="8" t="s">
        <v>722</v>
      </c>
      <c r="C14" s="26">
        <v>0.59999999999999998</v>
      </c>
      <c r="D14" s="8"/>
      <c r="E14" s="26">
        <v>5.5999999999999996</v>
      </c>
      <c r="F14" s="8"/>
      <c r="G14" s="26">
        <v>0.80000000000000004</v>
      </c>
      <c r="H14" s="8"/>
      <c r="I14" s="26">
        <v>1</v>
      </c>
      <c r="J14" s="8"/>
      <c r="K14" s="26">
        <v>1.8999999999999999</v>
      </c>
      <c r="L14" s="8"/>
      <c r="M14" s="26">
        <v>4.7999999999999998</v>
      </c>
      <c r="N14" s="8"/>
      <c r="O14" s="26">
        <v>0.5</v>
      </c>
      <c r="P14" s="8"/>
      <c r="Q14" s="26">
        <v>0.5</v>
      </c>
      <c r="R14" s="8"/>
      <c r="S14" s="26">
        <v>0.29999999999999999</v>
      </c>
      <c r="T14" s="8"/>
      <c r="U14" s="26">
        <v>2.2000000000000002</v>
      </c>
      <c r="V14" s="8"/>
      <c r="W14" s="26">
        <v>0</v>
      </c>
      <c r="X14" s="8"/>
      <c r="Y14" s="26">
        <v>0.20000000000000001</v>
      </c>
      <c r="Z14" s="8"/>
      <c r="AA14" s="26">
        <v>0.20000000000000001</v>
      </c>
      <c r="AB14" s="8"/>
      <c r="AC14" s="8"/>
    </row>
    <row r="15" ht="12" customHeight="1">
      <c r="A15" s="8" t="s">
        <v>91</v>
      </c>
      <c r="B15" s="8" t="s">
        <v>723</v>
      </c>
      <c r="C15" s="26">
        <v>0.69999999999999996</v>
      </c>
      <c r="D15" s="8"/>
      <c r="E15" s="26">
        <v>1.7</v>
      </c>
      <c r="F15" s="8"/>
      <c r="G15" s="26">
        <v>2.2000000000000002</v>
      </c>
      <c r="H15" s="8"/>
      <c r="I15" s="26">
        <v>1.8</v>
      </c>
      <c r="J15" s="8"/>
      <c r="K15" s="26">
        <v>0</v>
      </c>
      <c r="L15" s="8"/>
      <c r="M15" s="26">
        <v>1</v>
      </c>
      <c r="N15" s="8"/>
      <c r="O15" s="26">
        <v>1.6000000000000001</v>
      </c>
      <c r="P15" s="8"/>
      <c r="Q15" s="26">
        <v>0.69999999999999996</v>
      </c>
      <c r="R15" s="8"/>
      <c r="S15" s="26">
        <v>-0.5</v>
      </c>
      <c r="T15" s="8"/>
      <c r="U15" s="26">
        <v>1</v>
      </c>
      <c r="V15" s="8"/>
      <c r="W15" s="26">
        <v>-0.29999999999999999</v>
      </c>
      <c r="X15" s="8"/>
      <c r="Y15" s="26">
        <v>0.5</v>
      </c>
      <c r="Z15" s="8"/>
      <c r="AA15" s="26">
        <v>-1</v>
      </c>
      <c r="AB15" s="8"/>
      <c r="AC15" s="8"/>
    </row>
    <row r="16" ht="12" customHeight="1">
      <c r="A16" s="8" t="s">
        <v>93</v>
      </c>
      <c r="B16" s="8" t="s">
        <v>724</v>
      </c>
      <c r="C16" s="26">
        <v>0.69999999999999996</v>
      </c>
      <c r="D16" s="8"/>
      <c r="E16" s="26">
        <v>7.5999999999999996</v>
      </c>
      <c r="F16" s="8"/>
      <c r="G16" s="26">
        <v>0.10000000000000001</v>
      </c>
      <c r="H16" s="8"/>
      <c r="I16" s="26">
        <v>0.59999999999999998</v>
      </c>
      <c r="J16" s="8"/>
      <c r="K16" s="26">
        <v>2.8999999999999999</v>
      </c>
      <c r="L16" s="8"/>
      <c r="M16" s="26">
        <v>6.5999999999999996</v>
      </c>
      <c r="N16" s="8"/>
      <c r="O16" s="26">
        <v>0</v>
      </c>
      <c r="P16" s="8"/>
      <c r="Q16" s="26">
        <v>0.29999999999999999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725</v>
      </c>
      <c r="C17" s="26">
        <v>0.5</v>
      </c>
      <c r="D17" s="8"/>
      <c r="E17" s="26">
        <v>-0.29999999999999999</v>
      </c>
      <c r="F17" s="8"/>
      <c r="G17" s="26">
        <v>2.8999999999999999</v>
      </c>
      <c r="H17" s="8"/>
      <c r="I17" s="26">
        <v>0.59999999999999998</v>
      </c>
      <c r="J17" s="8"/>
      <c r="K17" s="26">
        <v>0.40000000000000002</v>
      </c>
      <c r="L17" s="8"/>
      <c r="M17" s="26">
        <v>0</v>
      </c>
      <c r="N17" s="8"/>
      <c r="O17" s="26">
        <v>1.2</v>
      </c>
      <c r="P17" s="8"/>
      <c r="Q17" s="26">
        <v>0.29999999999999999</v>
      </c>
      <c r="R17" s="8"/>
      <c r="S17" s="26">
        <v>-0.5</v>
      </c>
      <c r="T17" s="8"/>
      <c r="U17" s="26">
        <v>0.40000000000000002</v>
      </c>
      <c r="V17" s="8"/>
      <c r="W17" s="26">
        <v>-0.10000000000000001</v>
      </c>
      <c r="X17" s="8"/>
      <c r="Y17" s="26">
        <v>0.69999999999999996</v>
      </c>
      <c r="Z17" s="8"/>
      <c r="AA17" s="26">
        <v>0.59999999999999998</v>
      </c>
      <c r="AB17" s="8"/>
      <c r="AC17" s="8"/>
    </row>
    <row r="18" ht="12" customHeight="1">
      <c r="A18" s="8" t="s">
        <v>97</v>
      </c>
      <c r="B18" s="8" t="s">
        <v>726</v>
      </c>
      <c r="C18" s="26">
        <v>0.40000000000000002</v>
      </c>
      <c r="D18" s="8"/>
      <c r="E18" s="26">
        <v>-0.59999999999999998</v>
      </c>
      <c r="F18" s="8"/>
      <c r="G18" s="26">
        <v>3.2999999999999998</v>
      </c>
      <c r="H18" s="8"/>
      <c r="I18" s="26">
        <v>0.90000000000000002</v>
      </c>
      <c r="J18" s="8"/>
      <c r="K18" s="26">
        <v>0.5</v>
      </c>
      <c r="L18" s="8"/>
      <c r="M18" s="26">
        <v>0.10000000000000001</v>
      </c>
      <c r="N18" s="8"/>
      <c r="O18" s="26">
        <v>1.3</v>
      </c>
      <c r="P18" s="8"/>
      <c r="Q18" s="26">
        <v>0.29999999999999999</v>
      </c>
      <c r="R18" s="8"/>
      <c r="S18" s="26">
        <v>-0.69999999999999996</v>
      </c>
      <c r="T18" s="8"/>
      <c r="U18" s="26">
        <v>0</v>
      </c>
      <c r="V18" s="8"/>
      <c r="W18" s="26">
        <v>0.69999999999999996</v>
      </c>
      <c r="X18" s="8"/>
      <c r="Y18" s="26">
        <v>0.20000000000000001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727</v>
      </c>
      <c r="C19" s="26">
        <v>1.5</v>
      </c>
      <c r="D19" s="8"/>
      <c r="E19" s="26">
        <v>0.90000000000000002</v>
      </c>
      <c r="F19" s="8"/>
      <c r="G19" s="26">
        <v>0.69999999999999996</v>
      </c>
      <c r="H19" s="8"/>
      <c r="I19" s="26">
        <v>-0.59999999999999998</v>
      </c>
      <c r="J19" s="8"/>
      <c r="K19" s="26">
        <v>-0.20000000000000001</v>
      </c>
      <c r="L19" s="8"/>
      <c r="M19" s="26">
        <v>-0.5</v>
      </c>
      <c r="N19" s="8"/>
      <c r="O19" s="26">
        <v>0.5</v>
      </c>
      <c r="P19" s="8"/>
      <c r="Q19" s="26">
        <v>0.59999999999999998</v>
      </c>
      <c r="R19" s="8"/>
      <c r="S19" s="26">
        <v>0.20000000000000001</v>
      </c>
      <c r="T19" s="8"/>
      <c r="U19" s="26">
        <v>1.8</v>
      </c>
      <c r="V19" s="8"/>
      <c r="W19" s="26">
        <v>-2.2999999999999998</v>
      </c>
      <c r="X19" s="8"/>
      <c r="Y19" s="26">
        <v>2</v>
      </c>
      <c r="Z19" s="8"/>
      <c r="AA19" s="26">
        <v>-0.5</v>
      </c>
      <c r="AB19" s="8"/>
      <c r="AC19" s="8"/>
    </row>
    <row r="20" ht="12" customHeight="1">
      <c r="A20" s="11" t="s">
        <v>101</v>
      </c>
      <c r="B20" s="8" t="s">
        <v>728</v>
      </c>
      <c r="C20" s="26">
        <v>0.90000000000000002</v>
      </c>
      <c r="D20" s="8"/>
      <c r="E20" s="26">
        <v>1.2</v>
      </c>
      <c r="F20" s="8"/>
      <c r="G20" s="26">
        <v>1.5</v>
      </c>
      <c r="H20" s="8"/>
      <c r="I20" s="26">
        <v>2.2999999999999998</v>
      </c>
      <c r="J20" s="8"/>
      <c r="K20" s="26">
        <v>1.1000000000000001</v>
      </c>
      <c r="L20" s="8"/>
      <c r="M20" s="26">
        <v>0.80000000000000004</v>
      </c>
      <c r="N20" s="8"/>
      <c r="O20" s="26">
        <v>1.3999999999999999</v>
      </c>
      <c r="P20" s="8"/>
      <c r="Q20" s="26">
        <v>3.3999999999999999</v>
      </c>
      <c r="R20" s="8"/>
      <c r="S20" s="26">
        <v>0.59999999999999998</v>
      </c>
      <c r="T20" s="8"/>
      <c r="U20" s="26">
        <v>0.90000000000000002</v>
      </c>
      <c r="V20" s="8"/>
      <c r="W20" s="26">
        <v>1.6000000000000001</v>
      </c>
      <c r="X20" s="8"/>
      <c r="Y20" s="26">
        <v>3</v>
      </c>
      <c r="Z20" s="8"/>
      <c r="AA20" s="26">
        <v>0.40000000000000002</v>
      </c>
      <c r="AB20" s="8"/>
      <c r="AC20" s="8"/>
    </row>
    <row r="21" ht="12" customHeight="1">
      <c r="A21" s="8" t="s">
        <v>103</v>
      </c>
      <c r="B21" s="8" t="s">
        <v>729</v>
      </c>
      <c r="C21" s="26">
        <v>1.2</v>
      </c>
      <c r="D21" s="8"/>
      <c r="E21" s="26">
        <v>1.2</v>
      </c>
      <c r="F21" s="8"/>
      <c r="G21" s="26">
        <v>1.3999999999999999</v>
      </c>
      <c r="H21" s="8"/>
      <c r="I21" s="26">
        <v>1.3</v>
      </c>
      <c r="J21" s="8"/>
      <c r="K21" s="26">
        <v>1.2</v>
      </c>
      <c r="L21" s="8"/>
      <c r="M21" s="26">
        <v>1.3</v>
      </c>
      <c r="N21" s="8"/>
      <c r="O21" s="26">
        <v>1.3</v>
      </c>
      <c r="P21" s="8"/>
      <c r="Q21" s="26">
        <v>1</v>
      </c>
      <c r="R21" s="8"/>
      <c r="S21" s="26">
        <v>0.90000000000000002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730</v>
      </c>
      <c r="C22" s="26">
        <v>1.2</v>
      </c>
      <c r="D22" s="8"/>
      <c r="E22" s="26">
        <v>1.2</v>
      </c>
      <c r="F22" s="8"/>
      <c r="G22" s="26">
        <v>1.3999999999999999</v>
      </c>
      <c r="H22" s="8"/>
      <c r="I22" s="26">
        <v>1.3</v>
      </c>
      <c r="J22" s="8"/>
      <c r="K22" s="26">
        <v>1.2</v>
      </c>
      <c r="L22" s="8"/>
      <c r="M22" s="26">
        <v>1.3</v>
      </c>
      <c r="N22" s="8"/>
      <c r="O22" s="26">
        <v>1.3</v>
      </c>
      <c r="P22" s="8"/>
      <c r="Q22" s="26">
        <v>1</v>
      </c>
      <c r="R22" s="8"/>
      <c r="S22" s="26">
        <v>0.90000000000000002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731</v>
      </c>
      <c r="C23" s="26">
        <v>1.2</v>
      </c>
      <c r="D23" s="8"/>
      <c r="E23" s="26">
        <v>-0.29999999999999999</v>
      </c>
      <c r="F23" s="8"/>
      <c r="G23" s="26">
        <v>2.2000000000000002</v>
      </c>
      <c r="H23" s="8"/>
      <c r="I23" s="26">
        <v>0.90000000000000002</v>
      </c>
      <c r="J23" s="8"/>
      <c r="K23" s="26">
        <v>0.10000000000000001</v>
      </c>
      <c r="L23" s="8"/>
      <c r="M23" s="26">
        <v>0.10000000000000001</v>
      </c>
      <c r="N23" s="8"/>
      <c r="O23" s="26">
        <v>1.6000000000000001</v>
      </c>
      <c r="P23" s="8"/>
      <c r="Q23" s="26">
        <v>1.3999999999999999</v>
      </c>
      <c r="R23" s="8"/>
      <c r="S23" s="26">
        <v>-0.40000000000000002</v>
      </c>
      <c r="T23" s="8"/>
      <c r="U23" s="26">
        <v>0.59999999999999998</v>
      </c>
      <c r="V23" s="8"/>
      <c r="W23" s="26">
        <v>0.29999999999999999</v>
      </c>
      <c r="X23" s="8"/>
      <c r="Y23" s="26">
        <v>0.69999999999999996</v>
      </c>
      <c r="Z23" s="8"/>
      <c r="AA23" s="26">
        <v>0.80000000000000004</v>
      </c>
      <c r="AB23" s="8"/>
      <c r="AC23" s="8"/>
    </row>
    <row r="24" ht="12" customHeight="1">
      <c r="A24" s="8" t="s">
        <v>109</v>
      </c>
      <c r="B24" s="8" t="s">
        <v>732</v>
      </c>
      <c r="C24" s="26">
        <v>0.10000000000000001</v>
      </c>
      <c r="D24" s="8"/>
      <c r="E24" s="26">
        <v>0</v>
      </c>
      <c r="F24" s="8"/>
      <c r="G24" s="26">
        <v>0</v>
      </c>
      <c r="H24" s="8"/>
      <c r="I24" s="26">
        <v>9.6999999999999993</v>
      </c>
      <c r="J24" s="8"/>
      <c r="K24" s="26">
        <v>0</v>
      </c>
      <c r="L24" s="8"/>
      <c r="M24" s="26">
        <v>0.10000000000000001</v>
      </c>
      <c r="N24" s="8"/>
      <c r="O24" s="26">
        <v>0</v>
      </c>
      <c r="P24" s="8"/>
      <c r="Q24" s="26">
        <v>12.1</v>
      </c>
      <c r="R24" s="8"/>
      <c r="S24" s="26">
        <v>0</v>
      </c>
      <c r="T24" s="8"/>
      <c r="U24" s="26">
        <v>0</v>
      </c>
      <c r="V24" s="8"/>
      <c r="W24" s="26">
        <v>0.10000000000000001</v>
      </c>
      <c r="X24" s="8"/>
      <c r="Y24" s="26">
        <v>8.4000000000000004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733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12.300000000000001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734</v>
      </c>
      <c r="C26" s="26">
        <v>1</v>
      </c>
      <c r="D26" s="8"/>
      <c r="E26" s="26">
        <v>2.2999999999999998</v>
      </c>
      <c r="F26" s="8"/>
      <c r="G26" s="26">
        <v>2.7000000000000002</v>
      </c>
      <c r="H26" s="8"/>
      <c r="I26" s="26">
        <v>-1.3</v>
      </c>
      <c r="J26" s="8"/>
      <c r="K26" s="26">
        <v>1.8</v>
      </c>
      <c r="L26" s="8"/>
      <c r="M26" s="26">
        <v>0.5</v>
      </c>
      <c r="N26" s="8"/>
      <c r="O26" s="26">
        <v>2.7999999999999998</v>
      </c>
      <c r="P26" s="8"/>
      <c r="Q26" s="26">
        <v>0.69999999999999996</v>
      </c>
      <c r="R26" s="8"/>
      <c r="S26" s="26">
        <v>0.80000000000000004</v>
      </c>
      <c r="T26" s="8"/>
      <c r="U26" s="26">
        <v>2.2999999999999998</v>
      </c>
      <c r="V26" s="8"/>
      <c r="W26" s="26">
        <v>4.9000000000000004</v>
      </c>
      <c r="X26" s="8"/>
      <c r="Y26" s="26">
        <v>3</v>
      </c>
      <c r="Z26" s="8"/>
      <c r="AA26" s="26">
        <v>1.5</v>
      </c>
      <c r="AB26" s="8"/>
      <c r="AC26" s="8"/>
    </row>
    <row r="27" ht="12" customHeight="1">
      <c r="A27" s="8" t="s">
        <v>115</v>
      </c>
      <c r="B27" s="8" t="s">
        <v>735</v>
      </c>
      <c r="C27" s="26">
        <v>0.90000000000000002</v>
      </c>
      <c r="D27" s="8"/>
      <c r="E27" s="26">
        <v>2.1000000000000001</v>
      </c>
      <c r="F27" s="8"/>
      <c r="G27" s="26">
        <v>2.7000000000000002</v>
      </c>
      <c r="H27" s="8"/>
      <c r="I27" s="26">
        <v>-1.7</v>
      </c>
      <c r="J27" s="8"/>
      <c r="K27" s="26">
        <v>1.8999999999999999</v>
      </c>
      <c r="L27" s="8"/>
      <c r="M27" s="26">
        <v>0.40000000000000002</v>
      </c>
      <c r="N27" s="8"/>
      <c r="O27" s="26">
        <v>3</v>
      </c>
      <c r="P27" s="8"/>
      <c r="Q27" s="26">
        <v>0.59999999999999998</v>
      </c>
      <c r="R27" s="8"/>
      <c r="S27" s="26">
        <v>0.59999999999999998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736</v>
      </c>
      <c r="C28" s="26">
        <v>4.7000000000000002</v>
      </c>
      <c r="D28" s="8"/>
      <c r="E28" s="26">
        <v>-1.3</v>
      </c>
      <c r="F28" s="8"/>
      <c r="G28" s="26">
        <v>3.5</v>
      </c>
      <c r="H28" s="8"/>
      <c r="I28" s="26">
        <v>-2</v>
      </c>
      <c r="J28" s="8"/>
      <c r="K28" s="26">
        <v>0.69999999999999996</v>
      </c>
      <c r="L28" s="8"/>
      <c r="M28" s="26">
        <v>-2.6000000000000001</v>
      </c>
      <c r="N28" s="8"/>
      <c r="O28" s="26">
        <v>-0.20000000000000001</v>
      </c>
      <c r="P28" s="8"/>
      <c r="Q28" s="26">
        <v>0.59999999999999998</v>
      </c>
      <c r="R28" s="8"/>
      <c r="S28" s="26">
        <v>0</v>
      </c>
      <c r="T28" s="8"/>
      <c r="U28" s="26">
        <v>-0.90000000000000002</v>
      </c>
      <c r="V28" s="8"/>
      <c r="W28" s="26">
        <v>0.5</v>
      </c>
      <c r="X28" s="8"/>
      <c r="Y28" s="26">
        <v>-0.59999999999999998</v>
      </c>
      <c r="Z28" s="8"/>
      <c r="AA28" s="26">
        <v>0.20000000000000001</v>
      </c>
      <c r="AB28" s="8"/>
      <c r="AC28" s="8"/>
    </row>
    <row r="29" ht="12" customHeight="1">
      <c r="A29" s="8" t="s">
        <v>119</v>
      </c>
      <c r="B29" s="8" t="s">
        <v>737</v>
      </c>
      <c r="C29" s="26">
        <v>8</v>
      </c>
      <c r="D29" s="8"/>
      <c r="E29" s="26">
        <v>-5.2000000000000002</v>
      </c>
      <c r="F29" s="8"/>
      <c r="G29" s="26">
        <v>4</v>
      </c>
      <c r="H29" s="8"/>
      <c r="I29" s="26">
        <v>-3.1000000000000001</v>
      </c>
      <c r="J29" s="8"/>
      <c r="K29" s="26">
        <v>0.5</v>
      </c>
      <c r="L29" s="8"/>
      <c r="M29" s="26">
        <v>-7</v>
      </c>
      <c r="N29" s="8"/>
      <c r="O29" s="26">
        <v>1.1000000000000001</v>
      </c>
      <c r="P29" s="8"/>
      <c r="Q29" s="26">
        <v>3.2000000000000002</v>
      </c>
      <c r="R29" s="8"/>
      <c r="S29" s="26">
        <v>0.5</v>
      </c>
      <c r="T29" s="8"/>
      <c r="U29" s="26">
        <v>-1.7</v>
      </c>
      <c r="V29" s="8"/>
      <c r="W29" s="26">
        <v>-2</v>
      </c>
      <c r="X29" s="8"/>
      <c r="Y29" s="26">
        <v>-1.3999999999999999</v>
      </c>
      <c r="Z29" s="8"/>
      <c r="AA29" s="26">
        <v>4.0999999999999996</v>
      </c>
      <c r="AB29" s="8"/>
      <c r="AC29" s="8"/>
    </row>
    <row r="30" ht="12" customHeight="1">
      <c r="A30" s="8" t="s">
        <v>121</v>
      </c>
      <c r="B30" s="8" t="s">
        <v>738</v>
      </c>
      <c r="C30" s="26">
        <v>1.3999999999999999</v>
      </c>
      <c r="D30" s="8"/>
      <c r="E30" s="26">
        <v>2.3999999999999999</v>
      </c>
      <c r="F30" s="8"/>
      <c r="G30" s="26">
        <v>-1.6000000000000001</v>
      </c>
      <c r="H30" s="8"/>
      <c r="I30" s="26">
        <v>-2.8999999999999999</v>
      </c>
      <c r="J30" s="8"/>
      <c r="K30" s="26">
        <v>6.0999999999999996</v>
      </c>
      <c r="L30" s="8"/>
      <c r="M30" s="26">
        <v>-0.59999999999999998</v>
      </c>
      <c r="N30" s="8"/>
      <c r="O30" s="26">
        <v>4.2999999999999998</v>
      </c>
      <c r="P30" s="8"/>
      <c r="Q30" s="26">
        <v>-0.59999999999999998</v>
      </c>
      <c r="R30" s="8"/>
      <c r="S30" s="26">
        <v>-8.0999999999999996</v>
      </c>
      <c r="T30" s="8"/>
      <c r="U30" s="26">
        <v>4.4000000000000004</v>
      </c>
      <c r="V30" s="8"/>
      <c r="W30" s="26">
        <v>3.7000000000000002</v>
      </c>
      <c r="X30" s="8"/>
      <c r="Y30" s="26">
        <v>-1.1000000000000001</v>
      </c>
      <c r="Z30" s="8"/>
      <c r="AA30" s="26">
        <v>-2</v>
      </c>
      <c r="AB30" s="8"/>
      <c r="AC30" s="8"/>
    </row>
    <row r="31" ht="12" customHeight="1">
      <c r="A31" s="8" t="s">
        <v>123</v>
      </c>
      <c r="B31" s="8" t="s">
        <v>739</v>
      </c>
      <c r="C31" s="26">
        <v>1.3999999999999999</v>
      </c>
      <c r="D31" s="8"/>
      <c r="E31" s="26">
        <v>-1.1000000000000001</v>
      </c>
      <c r="F31" s="8"/>
      <c r="G31" s="26">
        <v>4.2999999999999998</v>
      </c>
      <c r="H31" s="8"/>
      <c r="I31" s="26">
        <v>-1.3</v>
      </c>
      <c r="J31" s="8"/>
      <c r="K31" s="26">
        <v>-0.59999999999999998</v>
      </c>
      <c r="L31" s="8"/>
      <c r="M31" s="26">
        <v>-1.3999999999999999</v>
      </c>
      <c r="N31" s="8"/>
      <c r="O31" s="26">
        <v>-1.1000000000000001</v>
      </c>
      <c r="P31" s="8"/>
      <c r="Q31" s="26">
        <v>-1.6000000000000001</v>
      </c>
      <c r="R31" s="8"/>
      <c r="S31" s="26">
        <v>1.3999999999999999</v>
      </c>
      <c r="T31" s="8"/>
      <c r="U31" s="26">
        <v>-1.3</v>
      </c>
      <c r="V31" s="8"/>
      <c r="W31" s="26">
        <v>0.80000000000000004</v>
      </c>
      <c r="X31" s="8"/>
      <c r="Y31" s="26">
        <v>-0.40000000000000002</v>
      </c>
      <c r="Z31" s="8"/>
      <c r="AA31" s="26">
        <v>0.29999999999999999</v>
      </c>
      <c r="AB31" s="8"/>
      <c r="AC31" s="8"/>
    </row>
    <row r="32" ht="12" customHeight="1">
      <c r="A32" s="8" t="s">
        <v>125</v>
      </c>
      <c r="B32" s="8" t="s">
        <v>740</v>
      </c>
      <c r="C32" s="26">
        <v>13.300000000000001</v>
      </c>
      <c r="D32" s="8"/>
      <c r="E32" s="26">
        <v>-4.2000000000000002</v>
      </c>
      <c r="F32" s="8"/>
      <c r="G32" s="26">
        <v>2.6000000000000001</v>
      </c>
      <c r="H32" s="8"/>
      <c r="I32" s="26">
        <v>-3.2999999999999998</v>
      </c>
      <c r="J32" s="8"/>
      <c r="K32" s="26">
        <v>11.199999999999999</v>
      </c>
      <c r="L32" s="8"/>
      <c r="M32" s="26">
        <v>-6.4000000000000004</v>
      </c>
      <c r="N32" s="8"/>
      <c r="O32" s="26">
        <v>-0.40000000000000002</v>
      </c>
      <c r="P32" s="8"/>
      <c r="Q32" s="26">
        <v>-4.9000000000000004</v>
      </c>
      <c r="R32" s="8"/>
      <c r="S32" s="26">
        <v>0.5</v>
      </c>
      <c r="T32" s="8"/>
      <c r="U32" s="26">
        <v>1.8</v>
      </c>
      <c r="V32" s="8"/>
      <c r="W32" s="26">
        <v>-1.3999999999999999</v>
      </c>
      <c r="X32" s="8"/>
      <c r="Y32" s="26">
        <v>-0.80000000000000004</v>
      </c>
      <c r="Z32" s="8"/>
      <c r="AA32" s="26">
        <v>-2.3999999999999999</v>
      </c>
      <c r="AB32" s="8"/>
      <c r="AC32" s="8"/>
    </row>
    <row r="33" ht="12" customHeight="1">
      <c r="A33" s="8" t="s">
        <v>127</v>
      </c>
      <c r="B33" s="8" t="s">
        <v>741</v>
      </c>
      <c r="C33" s="26">
        <v>1.2</v>
      </c>
      <c r="D33" s="8"/>
      <c r="E33" s="26">
        <v>0.5</v>
      </c>
      <c r="F33" s="8"/>
      <c r="G33" s="26">
        <v>4</v>
      </c>
      <c r="H33" s="8"/>
      <c r="I33" s="26">
        <v>0.10000000000000001</v>
      </c>
      <c r="J33" s="8"/>
      <c r="K33" s="26">
        <v>-0.80000000000000004</v>
      </c>
      <c r="L33" s="8"/>
      <c r="M33" s="26">
        <v>1.1000000000000001</v>
      </c>
      <c r="N33" s="8"/>
      <c r="O33" s="26">
        <v>-3.7999999999999998</v>
      </c>
      <c r="P33" s="8"/>
      <c r="Q33" s="26">
        <v>-0.59999999999999998</v>
      </c>
      <c r="R33" s="8"/>
      <c r="S33" s="26">
        <v>0.59999999999999998</v>
      </c>
      <c r="T33" s="8"/>
      <c r="U33" s="26">
        <v>-1</v>
      </c>
      <c r="V33" s="8"/>
      <c r="W33" s="26">
        <v>0.40000000000000002</v>
      </c>
      <c r="X33" s="8"/>
      <c r="Y33" s="26">
        <v>0</v>
      </c>
      <c r="Z33" s="8"/>
      <c r="AA33" s="26">
        <v>-2.1000000000000001</v>
      </c>
      <c r="AB33" s="8"/>
      <c r="AC33" s="8"/>
    </row>
    <row r="34" ht="12" customHeight="1">
      <c r="A34" s="8" t="s">
        <v>129</v>
      </c>
      <c r="B34" s="8" t="s">
        <v>742</v>
      </c>
      <c r="C34" s="26">
        <v>4.2999999999999998</v>
      </c>
      <c r="D34" s="8"/>
      <c r="E34" s="26">
        <v>2.6000000000000001</v>
      </c>
      <c r="F34" s="8"/>
      <c r="G34" s="26">
        <v>2.7000000000000002</v>
      </c>
      <c r="H34" s="8"/>
      <c r="I34" s="26">
        <v>-1.5</v>
      </c>
      <c r="J34" s="8"/>
      <c r="K34" s="26">
        <v>-0.20000000000000001</v>
      </c>
      <c r="L34" s="8"/>
      <c r="M34" s="26">
        <v>0.59999999999999998</v>
      </c>
      <c r="N34" s="8"/>
      <c r="O34" s="26">
        <v>0.20000000000000001</v>
      </c>
      <c r="P34" s="8"/>
      <c r="Q34" s="26">
        <v>1.3</v>
      </c>
      <c r="R34" s="8"/>
      <c r="S34" s="26">
        <v>-0.80000000000000004</v>
      </c>
      <c r="T34" s="8"/>
      <c r="U34" s="26">
        <v>-1.2</v>
      </c>
      <c r="V34" s="8"/>
      <c r="W34" s="26">
        <v>1.8</v>
      </c>
      <c r="X34" s="8"/>
      <c r="Y34" s="26">
        <v>-0.40000000000000002</v>
      </c>
      <c r="Z34" s="8"/>
      <c r="AA34" s="26">
        <v>-0.40000000000000002</v>
      </c>
      <c r="AB34" s="8"/>
      <c r="AC34" s="8"/>
    </row>
    <row r="35" ht="12" customHeight="1">
      <c r="A35" s="11" t="s">
        <v>131</v>
      </c>
      <c r="B35" s="8" t="s">
        <v>743</v>
      </c>
      <c r="C35" s="26">
        <v>1.7</v>
      </c>
      <c r="D35" s="8"/>
      <c r="E35" s="26">
        <v>0.5</v>
      </c>
      <c r="F35" s="8"/>
      <c r="G35" s="26">
        <v>1.1000000000000001</v>
      </c>
      <c r="H35" s="8"/>
      <c r="I35" s="26">
        <v>-4.7000000000000002</v>
      </c>
      <c r="J35" s="8"/>
      <c r="K35" s="26">
        <v>2.1000000000000001</v>
      </c>
      <c r="L35" s="8"/>
      <c r="M35" s="26">
        <v>1.7</v>
      </c>
      <c r="N35" s="8"/>
      <c r="O35" s="26">
        <v>0</v>
      </c>
      <c r="P35" s="8"/>
      <c r="Q35" s="26">
        <v>6.7000000000000002</v>
      </c>
      <c r="R35" s="8"/>
      <c r="S35" s="26">
        <v>-1.1000000000000001</v>
      </c>
      <c r="T35" s="8"/>
      <c r="U35" s="26">
        <v>0.29999999999999999</v>
      </c>
      <c r="V35" s="8"/>
      <c r="W35" s="26">
        <v>0</v>
      </c>
      <c r="X35" s="8"/>
      <c r="Y35" s="26">
        <v>-0.20000000000000001</v>
      </c>
      <c r="Z35" s="8"/>
      <c r="AA35" s="26">
        <v>-0.69999999999999996</v>
      </c>
      <c r="AB35" s="8"/>
      <c r="AC35" s="8"/>
    </row>
    <row r="36" ht="12" customHeight="1">
      <c r="A36" s="8" t="s">
        <v>133</v>
      </c>
      <c r="B36" s="8" t="s">
        <v>744</v>
      </c>
      <c r="C36" s="26">
        <v>1.5</v>
      </c>
      <c r="D36" s="8"/>
      <c r="E36" s="26">
        <v>0.59999999999999998</v>
      </c>
      <c r="F36" s="8"/>
      <c r="G36" s="26">
        <v>1.2</v>
      </c>
      <c r="H36" s="8"/>
      <c r="I36" s="26">
        <v>-16.800000000000001</v>
      </c>
      <c r="J36" s="8"/>
      <c r="K36" s="26">
        <v>0.5</v>
      </c>
      <c r="L36" s="8"/>
      <c r="M36" s="26">
        <v>-0.20000000000000001</v>
      </c>
      <c r="N36" s="8"/>
      <c r="O36" s="26">
        <v>0</v>
      </c>
      <c r="P36" s="8"/>
      <c r="Q36" s="26">
        <v>22.100000000000001</v>
      </c>
      <c r="R36" s="8"/>
      <c r="S36" s="26">
        <v>-6.2999999999999998</v>
      </c>
      <c r="T36" s="8"/>
      <c r="U36" s="26">
        <v>0.20000000000000001</v>
      </c>
      <c r="V36" s="8"/>
      <c r="W36" s="26">
        <v>-0.59999999999999998</v>
      </c>
      <c r="X36" s="8"/>
      <c r="Y36" s="26">
        <v>-3.6000000000000001</v>
      </c>
      <c r="Z36" s="8"/>
      <c r="AA36" s="26">
        <v>-3.2000000000000002</v>
      </c>
      <c r="AB36" s="8"/>
      <c r="AC36" s="8"/>
    </row>
    <row r="37" ht="12" customHeight="1">
      <c r="A37" s="8" t="s">
        <v>135</v>
      </c>
      <c r="B37" s="8" t="s">
        <v>745</v>
      </c>
      <c r="C37" s="26">
        <v>1.7</v>
      </c>
      <c r="D37" s="8"/>
      <c r="E37" s="26">
        <v>0.5</v>
      </c>
      <c r="F37" s="8"/>
      <c r="G37" s="26">
        <v>1.1000000000000001</v>
      </c>
      <c r="H37" s="8"/>
      <c r="I37" s="26">
        <v>1</v>
      </c>
      <c r="J37" s="8"/>
      <c r="K37" s="26">
        <v>2.7999999999999998</v>
      </c>
      <c r="L37" s="8"/>
      <c r="M37" s="26">
        <v>2.2000000000000002</v>
      </c>
      <c r="N37" s="8"/>
      <c r="O37" s="26">
        <v>0.10000000000000001</v>
      </c>
      <c r="P37" s="8"/>
      <c r="Q37" s="26">
        <v>1.1000000000000001</v>
      </c>
      <c r="R37" s="8"/>
      <c r="S37" s="26">
        <v>1.3</v>
      </c>
      <c r="T37" s="8"/>
      <c r="U37" s="26">
        <v>0.5</v>
      </c>
      <c r="V37" s="8"/>
      <c r="W37" s="26">
        <v>0.29999999999999999</v>
      </c>
      <c r="X37" s="8"/>
      <c r="Y37" s="26">
        <v>1.8</v>
      </c>
      <c r="Z37" s="8"/>
      <c r="AA37" s="26">
        <v>1</v>
      </c>
      <c r="AB37" s="8"/>
      <c r="AC37" s="8"/>
    </row>
    <row r="38" ht="12" customHeight="1">
      <c r="A38" s="8" t="s">
        <v>137</v>
      </c>
      <c r="B38" s="8" t="s">
        <v>746</v>
      </c>
      <c r="C38" s="26">
        <v>2</v>
      </c>
      <c r="D38" s="8"/>
      <c r="E38" s="26">
        <v>2</v>
      </c>
      <c r="F38" s="8"/>
      <c r="G38" s="26">
        <v>2.2000000000000002</v>
      </c>
      <c r="H38" s="8"/>
      <c r="I38" s="26">
        <v>4.4000000000000004</v>
      </c>
      <c r="J38" s="8"/>
      <c r="K38" s="26">
        <v>6.5</v>
      </c>
      <c r="L38" s="8"/>
      <c r="M38" s="26">
        <v>0.69999999999999996</v>
      </c>
      <c r="N38" s="8"/>
      <c r="O38" s="26">
        <v>0.90000000000000002</v>
      </c>
      <c r="P38" s="8"/>
      <c r="Q38" s="26">
        <v>7.4000000000000004</v>
      </c>
      <c r="R38" s="8"/>
      <c r="S38" s="26">
        <v>1.8</v>
      </c>
      <c r="T38" s="8"/>
      <c r="U38" s="26">
        <v>0.10000000000000001</v>
      </c>
      <c r="V38" s="8"/>
      <c r="W38" s="26">
        <v>0.80000000000000004</v>
      </c>
      <c r="X38" s="8"/>
      <c r="Y38" s="26">
        <v>1.5</v>
      </c>
      <c r="Z38" s="8"/>
      <c r="AA38" s="26">
        <v>1.1000000000000001</v>
      </c>
      <c r="AB38" s="8"/>
      <c r="AC38" s="8"/>
    </row>
    <row r="39" ht="12" customHeight="1">
      <c r="A39" s="11" t="s">
        <v>139</v>
      </c>
      <c r="B39" s="8" t="s">
        <v>747</v>
      </c>
      <c r="C39" s="26">
        <v>-1.3999999999999999</v>
      </c>
      <c r="D39" s="8"/>
      <c r="E39" s="26">
        <v>-1.8999999999999999</v>
      </c>
      <c r="F39" s="8"/>
      <c r="G39" s="26">
        <v>-2.1000000000000001</v>
      </c>
      <c r="H39" s="8"/>
      <c r="I39" s="26">
        <v>9.8000000000000007</v>
      </c>
      <c r="J39" s="8"/>
      <c r="K39" s="26">
        <v>0.40000000000000002</v>
      </c>
      <c r="L39" s="8"/>
      <c r="M39" s="26">
        <v>-1.7</v>
      </c>
      <c r="N39" s="8"/>
      <c r="O39" s="26">
        <v>0.29999999999999999</v>
      </c>
      <c r="P39" s="8"/>
      <c r="Q39" s="26">
        <v>-2.5</v>
      </c>
      <c r="R39" s="8"/>
      <c r="S39" s="26">
        <v>0.69999999999999996</v>
      </c>
      <c r="T39" s="8"/>
      <c r="U39" s="26">
        <v>2.5</v>
      </c>
      <c r="V39" s="8"/>
      <c r="W39" s="26">
        <v>-1.8999999999999999</v>
      </c>
      <c r="X39" s="8"/>
      <c r="Y39" s="26">
        <v>0.40000000000000002</v>
      </c>
      <c r="Z39" s="8"/>
      <c r="AA39" s="26">
        <v>1.8</v>
      </c>
      <c r="AB39" s="8"/>
      <c r="AC39" s="8"/>
    </row>
    <row r="40" ht="12" customHeight="1">
      <c r="A40" s="8" t="s">
        <v>141</v>
      </c>
      <c r="B40" s="8" t="s">
        <v>748</v>
      </c>
      <c r="C40" s="26">
        <v>-0.10000000000000001</v>
      </c>
      <c r="D40" s="8"/>
      <c r="E40" s="26">
        <v>1.1000000000000001</v>
      </c>
      <c r="F40" s="8"/>
      <c r="G40" s="26">
        <v>1.1000000000000001</v>
      </c>
      <c r="H40" s="8"/>
      <c r="I40" s="26">
        <v>1.6000000000000001</v>
      </c>
      <c r="J40" s="8"/>
      <c r="K40" s="26">
        <v>-2.8999999999999999</v>
      </c>
      <c r="L40" s="8"/>
      <c r="M40" s="26">
        <v>0.29999999999999999</v>
      </c>
      <c r="N40" s="8"/>
      <c r="O40" s="26">
        <v>-4.5999999999999996</v>
      </c>
      <c r="P40" s="8"/>
      <c r="Q40" s="26">
        <v>-2.6000000000000001</v>
      </c>
      <c r="R40" s="8"/>
      <c r="S40" s="26">
        <v>4.0999999999999996</v>
      </c>
      <c r="T40" s="8"/>
      <c r="U40" s="26">
        <v>0.20000000000000001</v>
      </c>
      <c r="V40" s="8"/>
      <c r="W40" s="26">
        <v>1.3</v>
      </c>
      <c r="X40" s="8"/>
      <c r="Y40" s="26">
        <v>-0.20000000000000001</v>
      </c>
      <c r="Z40" s="8"/>
      <c r="AA40" s="26">
        <v>0</v>
      </c>
      <c r="AB40" s="8"/>
      <c r="AC40" s="8"/>
    </row>
    <row r="41" ht="12" customHeight="1">
      <c r="A41" s="8" t="s">
        <v>143</v>
      </c>
      <c r="B41" s="8" t="s">
        <v>749</v>
      </c>
      <c r="C41" s="26">
        <v>-4.2999999999999998</v>
      </c>
      <c r="D41" s="8"/>
      <c r="E41" s="26">
        <v>-1.8</v>
      </c>
      <c r="F41" s="8"/>
      <c r="G41" s="26">
        <v>-1.1000000000000001</v>
      </c>
      <c r="H41" s="8"/>
      <c r="I41" s="26">
        <v>11.9</v>
      </c>
      <c r="J41" s="8"/>
      <c r="K41" s="26">
        <v>0.59999999999999998</v>
      </c>
      <c r="L41" s="8"/>
      <c r="M41" s="26">
        <v>-1.3999999999999999</v>
      </c>
      <c r="N41" s="8"/>
      <c r="O41" s="26">
        <v>1.8999999999999999</v>
      </c>
      <c r="P41" s="8"/>
      <c r="Q41" s="26">
        <v>-3.8999999999999999</v>
      </c>
      <c r="R41" s="8"/>
      <c r="S41" s="26">
        <v>-0.80000000000000004</v>
      </c>
      <c r="T41" s="8"/>
      <c r="U41" s="26">
        <v>3.2000000000000002</v>
      </c>
      <c r="V41" s="8"/>
      <c r="W41" s="26">
        <v>-1.8</v>
      </c>
      <c r="X41" s="8"/>
      <c r="Y41" s="26">
        <v>0.40000000000000002</v>
      </c>
      <c r="Z41" s="8"/>
      <c r="AA41" s="26">
        <v>1.8</v>
      </c>
      <c r="AB41" s="8"/>
      <c r="AC41" s="8"/>
    </row>
    <row r="42" ht="12" customHeight="1">
      <c r="A42" s="8" t="s">
        <v>145</v>
      </c>
      <c r="B42" s="8" t="s">
        <v>750</v>
      </c>
      <c r="C42" s="26">
        <v>-7.0999999999999996</v>
      </c>
      <c r="D42" s="8"/>
      <c r="E42" s="26">
        <v>-2.6000000000000001</v>
      </c>
      <c r="F42" s="8"/>
      <c r="G42" s="26">
        <v>-1.6000000000000001</v>
      </c>
      <c r="H42" s="8"/>
      <c r="I42" s="26">
        <v>16.5</v>
      </c>
      <c r="J42" s="8"/>
      <c r="K42" s="26">
        <v>0.10000000000000001</v>
      </c>
      <c r="L42" s="8"/>
      <c r="M42" s="26">
        <v>-2.2999999999999998</v>
      </c>
      <c r="N42" s="8"/>
      <c r="O42" s="26">
        <v>0.59999999999999998</v>
      </c>
      <c r="P42" s="8"/>
      <c r="Q42" s="26">
        <v>-6.0999999999999996</v>
      </c>
      <c r="R42" s="8"/>
      <c r="S42" s="26">
        <v>-1.3999999999999999</v>
      </c>
      <c r="T42" s="8"/>
      <c r="U42" s="26">
        <v>4.5999999999999996</v>
      </c>
      <c r="V42" s="8"/>
      <c r="W42" s="26">
        <v>-4.7000000000000002</v>
      </c>
      <c r="X42" s="8"/>
      <c r="Y42" s="26">
        <v>0.10000000000000001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751</v>
      </c>
      <c r="C43" s="26">
        <v>13.300000000000001</v>
      </c>
      <c r="D43" s="8"/>
      <c r="E43" s="26">
        <v>-4.2999999999999998</v>
      </c>
      <c r="F43" s="8"/>
      <c r="G43" s="26">
        <v>-8.6999999999999993</v>
      </c>
      <c r="H43" s="8"/>
      <c r="I43" s="26">
        <v>6.5999999999999996</v>
      </c>
      <c r="J43" s="8"/>
      <c r="K43" s="26">
        <v>1.2</v>
      </c>
      <c r="L43" s="8"/>
      <c r="M43" s="26">
        <v>-3.8999999999999999</v>
      </c>
      <c r="N43" s="8"/>
      <c r="O43" s="26">
        <v>-4.7000000000000002</v>
      </c>
      <c r="P43" s="8"/>
      <c r="Q43" s="26">
        <v>3.8999999999999999</v>
      </c>
      <c r="R43" s="8"/>
      <c r="S43" s="26">
        <v>5.4000000000000004</v>
      </c>
      <c r="T43" s="8"/>
      <c r="U43" s="26">
        <v>-0.20000000000000001</v>
      </c>
      <c r="V43" s="8"/>
      <c r="W43" s="26">
        <v>-6</v>
      </c>
      <c r="X43" s="8"/>
      <c r="Y43" s="26">
        <v>0.90000000000000002</v>
      </c>
      <c r="Z43" s="8"/>
      <c r="AA43" s="26">
        <v>4</v>
      </c>
      <c r="AB43" s="8"/>
      <c r="AC43" s="8"/>
    </row>
    <row r="44" ht="12" customHeight="1">
      <c r="A44" s="11" t="s">
        <v>149</v>
      </c>
      <c r="B44" s="8" t="s">
        <v>752</v>
      </c>
      <c r="C44" s="26">
        <v>0.40000000000000002</v>
      </c>
      <c r="D44" s="8"/>
      <c r="E44" s="26">
        <v>0.29999999999999999</v>
      </c>
      <c r="F44" s="8"/>
      <c r="G44" s="26">
        <v>0.69999999999999996</v>
      </c>
      <c r="H44" s="8"/>
      <c r="I44" s="26">
        <v>1.8999999999999999</v>
      </c>
      <c r="J44" s="8"/>
      <c r="K44" s="26">
        <v>1.5</v>
      </c>
      <c r="L44" s="8"/>
      <c r="M44" s="26">
        <v>0.90000000000000002</v>
      </c>
      <c r="N44" s="8"/>
      <c r="O44" s="26">
        <v>0.90000000000000002</v>
      </c>
      <c r="P44" s="8"/>
      <c r="Q44" s="26">
        <v>0.90000000000000002</v>
      </c>
      <c r="R44" s="8"/>
      <c r="S44" s="26">
        <v>2.6000000000000001</v>
      </c>
      <c r="T44" s="8"/>
      <c r="U44" s="26">
        <v>0.90000000000000002</v>
      </c>
      <c r="V44" s="8"/>
      <c r="W44" s="26">
        <v>0.59999999999999998</v>
      </c>
      <c r="X44" s="8"/>
      <c r="Y44" s="26">
        <v>0.69999999999999996</v>
      </c>
      <c r="Z44" s="8"/>
      <c r="AA44" s="26">
        <v>3.5</v>
      </c>
      <c r="AB44" s="8"/>
      <c r="AC44" s="8"/>
    </row>
    <row r="45" ht="12" customHeight="1">
      <c r="A45" s="8" t="s">
        <v>151</v>
      </c>
      <c r="B45" s="8" t="s">
        <v>753</v>
      </c>
      <c r="C45" s="26">
        <v>1.3999999999999999</v>
      </c>
      <c r="D45" s="8"/>
      <c r="E45" s="26">
        <v>1</v>
      </c>
      <c r="F45" s="8"/>
      <c r="G45" s="26">
        <v>-1</v>
      </c>
      <c r="H45" s="8"/>
      <c r="I45" s="26">
        <v>7</v>
      </c>
      <c r="J45" s="8"/>
      <c r="K45" s="26">
        <v>1.2</v>
      </c>
      <c r="L45" s="8"/>
      <c r="M45" s="26">
        <v>-1.7</v>
      </c>
      <c r="N45" s="8"/>
      <c r="O45" s="26">
        <v>-0.5</v>
      </c>
      <c r="P45" s="8"/>
      <c r="Q45" s="26">
        <v>2.2999999999999998</v>
      </c>
      <c r="R45" s="8"/>
      <c r="S45" s="26">
        <v>-0.10000000000000001</v>
      </c>
      <c r="T45" s="8"/>
      <c r="U45" s="26">
        <v>-0.40000000000000002</v>
      </c>
      <c r="V45" s="8"/>
      <c r="W45" s="26">
        <v>1</v>
      </c>
      <c r="X45" s="8"/>
      <c r="Y45" s="26">
        <v>7.5</v>
      </c>
      <c r="Z45" s="8"/>
      <c r="AA45" s="26">
        <v>0.29999999999999999</v>
      </c>
      <c r="AB45" s="8"/>
      <c r="AC45" s="8"/>
    </row>
    <row r="46" ht="12" customHeight="1">
      <c r="A46" s="8" t="s">
        <v>153</v>
      </c>
      <c r="B46" s="8" t="s">
        <v>754</v>
      </c>
      <c r="C46" s="26">
        <v>-0.5</v>
      </c>
      <c r="D46" s="8"/>
      <c r="E46" s="26">
        <v>1.7</v>
      </c>
      <c r="F46" s="8"/>
      <c r="G46" s="26">
        <v>-10.1</v>
      </c>
      <c r="H46" s="8"/>
      <c r="I46" s="26">
        <v>-6.0999999999999996</v>
      </c>
      <c r="J46" s="8"/>
      <c r="K46" s="26">
        <v>15.9</v>
      </c>
      <c r="L46" s="8"/>
      <c r="M46" s="26">
        <v>-2.8999999999999999</v>
      </c>
      <c r="N46" s="8"/>
      <c r="O46" s="26">
        <v>8.0999999999999996</v>
      </c>
      <c r="P46" s="8"/>
      <c r="Q46" s="26">
        <v>-15</v>
      </c>
      <c r="R46" s="8"/>
      <c r="S46" s="26">
        <v>-0.29999999999999999</v>
      </c>
      <c r="T46" s="8"/>
      <c r="U46" s="26">
        <v>-5.2000000000000002</v>
      </c>
      <c r="V46" s="8"/>
      <c r="W46" s="26">
        <v>-7</v>
      </c>
      <c r="X46" s="8"/>
      <c r="Y46" s="26">
        <v>-3.7000000000000002</v>
      </c>
      <c r="Z46" s="8"/>
      <c r="AA46" s="26">
        <v>11.4</v>
      </c>
      <c r="AB46" s="8"/>
      <c r="AC46" s="8"/>
    </row>
    <row r="47" ht="12" customHeight="1">
      <c r="A47" s="8" t="s">
        <v>155</v>
      </c>
      <c r="B47" s="8" t="s">
        <v>755</v>
      </c>
      <c r="C47" s="26">
        <v>0.29999999999999999</v>
      </c>
      <c r="D47" s="8"/>
      <c r="E47" s="26">
        <v>0.29999999999999999</v>
      </c>
      <c r="F47" s="8"/>
      <c r="G47" s="26">
        <v>0.90000000000000002</v>
      </c>
      <c r="H47" s="8"/>
      <c r="I47" s="26">
        <v>1.8</v>
      </c>
      <c r="J47" s="8"/>
      <c r="K47" s="26">
        <v>1.5</v>
      </c>
      <c r="L47" s="8"/>
      <c r="M47" s="26">
        <v>1</v>
      </c>
      <c r="N47" s="8"/>
      <c r="O47" s="26">
        <v>0.80000000000000004</v>
      </c>
      <c r="P47" s="8"/>
      <c r="Q47" s="26">
        <v>1</v>
      </c>
      <c r="R47" s="8"/>
      <c r="S47" s="26">
        <v>2.7000000000000002</v>
      </c>
      <c r="T47" s="8"/>
      <c r="U47" s="26">
        <v>1.7</v>
      </c>
      <c r="V47" s="8"/>
      <c r="W47" s="26">
        <v>1.3999999999999999</v>
      </c>
      <c r="X47" s="8"/>
      <c r="Y47" s="26">
        <v>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756</v>
      </c>
      <c r="C48" s="26">
        <v>3.2000000000000002</v>
      </c>
      <c r="D48" s="8"/>
      <c r="E48" s="26">
        <v>0.59999999999999998</v>
      </c>
      <c r="F48" s="8"/>
      <c r="G48" s="26">
        <v>0.69999999999999996</v>
      </c>
      <c r="H48" s="8"/>
      <c r="I48" s="26">
        <v>1.3</v>
      </c>
      <c r="J48" s="8"/>
      <c r="K48" s="26">
        <v>2.2000000000000002</v>
      </c>
      <c r="L48" s="8"/>
      <c r="M48" s="26">
        <v>1.8999999999999999</v>
      </c>
      <c r="N48" s="8"/>
      <c r="O48" s="26">
        <v>-0.5</v>
      </c>
      <c r="P48" s="8"/>
      <c r="Q48" s="26">
        <v>0.10000000000000001</v>
      </c>
      <c r="R48" s="8"/>
      <c r="S48" s="26">
        <v>2.1000000000000001</v>
      </c>
      <c r="T48" s="8"/>
      <c r="U48" s="26">
        <v>-0.69999999999999996</v>
      </c>
      <c r="V48" s="8"/>
      <c r="W48" s="26">
        <v>0.29999999999999999</v>
      </c>
      <c r="X48" s="8"/>
      <c r="Y48" s="26">
        <v>0.80000000000000004</v>
      </c>
      <c r="Z48" s="8"/>
      <c r="AA48" s="26">
        <v>1.2</v>
      </c>
      <c r="AB48" s="8"/>
      <c r="AC48" s="8"/>
    </row>
    <row r="49" ht="12" customHeight="1">
      <c r="A49" s="8" t="s">
        <v>159</v>
      </c>
      <c r="B49" s="8" t="s">
        <v>757</v>
      </c>
      <c r="C49" s="26">
        <v>9.6999999999999993</v>
      </c>
      <c r="D49" s="8"/>
      <c r="E49" s="26">
        <v>-6.7000000000000002</v>
      </c>
      <c r="F49" s="8"/>
      <c r="G49" s="26">
        <v>-19.100000000000001</v>
      </c>
      <c r="H49" s="8"/>
      <c r="I49" s="26">
        <v>4.7999999999999998</v>
      </c>
      <c r="J49" s="8"/>
      <c r="K49" s="26">
        <v>10.1</v>
      </c>
      <c r="L49" s="8"/>
      <c r="M49" s="26">
        <v>-10.9</v>
      </c>
      <c r="N49" s="8"/>
      <c r="O49" s="26">
        <v>-13.300000000000001</v>
      </c>
      <c r="P49" s="8"/>
      <c r="Q49" s="26">
        <v>5.0999999999999996</v>
      </c>
      <c r="R49" s="8"/>
      <c r="S49" s="26">
        <v>11.199999999999999</v>
      </c>
      <c r="T49" s="8"/>
      <c r="U49" s="26">
        <v>-7.0999999999999996</v>
      </c>
      <c r="V49" s="8"/>
      <c r="W49" s="26">
        <v>-13.800000000000001</v>
      </c>
      <c r="X49" s="8"/>
      <c r="Y49" s="26">
        <v>2.3999999999999999</v>
      </c>
      <c r="Z49" s="8"/>
      <c r="AA49" s="26">
        <v>9</v>
      </c>
      <c r="AB49" s="8"/>
      <c r="AC49" s="8"/>
    </row>
    <row r="50" ht="12" customHeight="1">
      <c r="A50" s="8" t="s">
        <v>161</v>
      </c>
      <c r="B50" s="8" t="s">
        <v>758</v>
      </c>
      <c r="C50" s="26">
        <v>2.6000000000000001</v>
      </c>
      <c r="D50" s="8"/>
      <c r="E50" s="26">
        <v>0.59999999999999998</v>
      </c>
      <c r="F50" s="8"/>
      <c r="G50" s="26">
        <v>0.29999999999999999</v>
      </c>
      <c r="H50" s="8"/>
      <c r="I50" s="26">
        <v>-1.1000000000000001</v>
      </c>
      <c r="J50" s="8"/>
      <c r="K50" s="26">
        <v>-1.7</v>
      </c>
      <c r="L50" s="8"/>
      <c r="M50" s="26">
        <v>1.1000000000000001</v>
      </c>
      <c r="N50" s="8"/>
      <c r="O50" s="26">
        <v>2.6000000000000001</v>
      </c>
      <c r="P50" s="8"/>
      <c r="Q50" s="26">
        <v>-0.69999999999999996</v>
      </c>
      <c r="R50" s="8"/>
      <c r="S50" s="26">
        <v>-1.3999999999999999</v>
      </c>
      <c r="T50" s="8"/>
      <c r="U50" s="26">
        <v>0.69999999999999996</v>
      </c>
      <c r="V50" s="8"/>
      <c r="W50" s="26">
        <v>1.8</v>
      </c>
      <c r="X50" s="8"/>
      <c r="Y50" s="26">
        <v>-0.29999999999999999</v>
      </c>
      <c r="Z50" s="8"/>
      <c r="AA50" s="26">
        <v>0.69999999999999996</v>
      </c>
      <c r="AB50" s="8"/>
      <c r="AC50" s="8"/>
    </row>
    <row r="51" ht="12" customHeight="1">
      <c r="A51" s="8" t="s">
        <v>163</v>
      </c>
      <c r="B51" s="8" t="s">
        <v>759</v>
      </c>
      <c r="C51" s="26">
        <v>2.6000000000000001</v>
      </c>
      <c r="D51" s="8"/>
      <c r="E51" s="26">
        <v>1.3999999999999999</v>
      </c>
      <c r="F51" s="8"/>
      <c r="G51" s="26">
        <v>4.9000000000000004</v>
      </c>
      <c r="H51" s="8"/>
      <c r="I51" s="26">
        <v>0.29999999999999999</v>
      </c>
      <c r="J51" s="8"/>
      <c r="K51" s="26">
        <v>0.69999999999999996</v>
      </c>
      <c r="L51" s="8"/>
      <c r="M51" s="26">
        <v>0.69999999999999996</v>
      </c>
      <c r="N51" s="8"/>
      <c r="O51" s="26">
        <v>-2</v>
      </c>
      <c r="P51" s="8"/>
      <c r="Q51" s="26">
        <v>1</v>
      </c>
      <c r="R51" s="8"/>
      <c r="S51" s="26">
        <v>0.69999999999999996</v>
      </c>
      <c r="T51" s="8"/>
      <c r="U51" s="26">
        <v>-0.10000000000000001</v>
      </c>
      <c r="V51" s="8"/>
      <c r="W51" s="26">
        <v>-1.6000000000000001</v>
      </c>
      <c r="X51" s="8"/>
      <c r="Y51" s="26">
        <v>0.80000000000000004</v>
      </c>
      <c r="Z51" s="8"/>
      <c r="AA51" s="26">
        <v>0.40000000000000002</v>
      </c>
      <c r="AB51" s="8"/>
      <c r="AC51" s="8"/>
    </row>
    <row r="52" ht="12" customHeight="1">
      <c r="A52" s="8" t="s">
        <v>165</v>
      </c>
      <c r="B52" s="8" t="s">
        <v>760</v>
      </c>
      <c r="C52" s="26">
        <v>2.7999999999999998</v>
      </c>
      <c r="D52" s="8"/>
      <c r="E52" s="26">
        <v>1.1000000000000001</v>
      </c>
      <c r="F52" s="8"/>
      <c r="G52" s="26">
        <v>0.5</v>
      </c>
      <c r="H52" s="8"/>
      <c r="I52" s="26">
        <v>0.90000000000000002</v>
      </c>
      <c r="J52" s="8"/>
      <c r="K52" s="26">
        <v>2.7999999999999998</v>
      </c>
      <c r="L52" s="8"/>
      <c r="M52" s="26">
        <v>3.7999999999999998</v>
      </c>
      <c r="N52" s="8"/>
      <c r="O52" s="26">
        <v>2.1000000000000001</v>
      </c>
      <c r="P52" s="8"/>
      <c r="Q52" s="26">
        <v>-1.3</v>
      </c>
      <c r="R52" s="8"/>
      <c r="S52" s="26">
        <v>1.7</v>
      </c>
      <c r="T52" s="8"/>
      <c r="U52" s="26">
        <v>0.20000000000000001</v>
      </c>
      <c r="V52" s="8"/>
      <c r="W52" s="26">
        <v>6.9000000000000004</v>
      </c>
      <c r="X52" s="8"/>
      <c r="Y52" s="26">
        <v>0.20000000000000001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761</v>
      </c>
      <c r="C53" s="26">
        <v>2.8999999999999999</v>
      </c>
      <c r="D53" s="8"/>
      <c r="E53" s="26">
        <v>0.40000000000000002</v>
      </c>
      <c r="F53" s="8"/>
      <c r="G53" s="26">
        <v>2.2000000000000002</v>
      </c>
      <c r="H53" s="8"/>
      <c r="I53" s="26">
        <v>2.8999999999999999</v>
      </c>
      <c r="J53" s="8"/>
      <c r="K53" s="26">
        <v>0.69999999999999996</v>
      </c>
      <c r="L53" s="8"/>
      <c r="M53" s="26">
        <v>0.80000000000000004</v>
      </c>
      <c r="N53" s="8"/>
      <c r="O53" s="26">
        <v>2</v>
      </c>
      <c r="P53" s="8"/>
      <c r="Q53" s="26">
        <v>1.3999999999999999</v>
      </c>
      <c r="R53" s="8"/>
      <c r="S53" s="26">
        <v>1.3999999999999999</v>
      </c>
      <c r="T53" s="8"/>
      <c r="U53" s="26">
        <v>-0.80000000000000004</v>
      </c>
      <c r="V53" s="8"/>
      <c r="W53" s="26">
        <v>-0.40000000000000002</v>
      </c>
      <c r="X53" s="8"/>
      <c r="Y53" s="26">
        <v>2.2999999999999998</v>
      </c>
      <c r="Z53" s="8"/>
      <c r="AA53" s="26">
        <v>1</v>
      </c>
      <c r="AB53" s="8"/>
      <c r="AC53" s="8"/>
    </row>
    <row r="54" ht="12" customHeight="1">
      <c r="A54" s="8" t="s">
        <v>169</v>
      </c>
      <c r="B54" s="8" t="s">
        <v>762</v>
      </c>
      <c r="C54" s="26">
        <v>4.2000000000000002</v>
      </c>
      <c r="D54" s="8"/>
      <c r="E54" s="26">
        <v>2.2999999999999998</v>
      </c>
      <c r="F54" s="8"/>
      <c r="G54" s="26">
        <v>-0.40000000000000002</v>
      </c>
      <c r="H54" s="8"/>
      <c r="I54" s="26">
        <v>1.8999999999999999</v>
      </c>
      <c r="J54" s="8"/>
      <c r="K54" s="26">
        <v>1.8</v>
      </c>
      <c r="L54" s="8"/>
      <c r="M54" s="26">
        <v>6.5999999999999996</v>
      </c>
      <c r="N54" s="8"/>
      <c r="O54" s="26">
        <v>-4.9000000000000004</v>
      </c>
      <c r="P54" s="8"/>
      <c r="Q54" s="26">
        <v>-0.59999999999999998</v>
      </c>
      <c r="R54" s="8"/>
      <c r="S54" s="26">
        <v>4.7000000000000002</v>
      </c>
      <c r="T54" s="8"/>
      <c r="U54" s="26">
        <v>1.8999999999999999</v>
      </c>
      <c r="V54" s="8"/>
      <c r="W54" s="26">
        <v>-0.69999999999999996</v>
      </c>
      <c r="X54" s="8"/>
      <c r="Y54" s="26">
        <v>0.5</v>
      </c>
      <c r="Z54" s="8"/>
      <c r="AA54" s="26">
        <v>4.2000000000000002</v>
      </c>
      <c r="AB54" s="8"/>
      <c r="AC54" s="8"/>
    </row>
    <row r="55" ht="12" customHeight="1">
      <c r="A55" s="11" t="s">
        <v>171</v>
      </c>
      <c r="B55" s="8" t="s">
        <v>763</v>
      </c>
      <c r="C55" s="26">
        <v>0</v>
      </c>
      <c r="D55" s="8"/>
      <c r="E55" s="26">
        <v>1.3999999999999999</v>
      </c>
      <c r="F55" s="8"/>
      <c r="G55" s="26">
        <v>0</v>
      </c>
      <c r="H55" s="8"/>
      <c r="I55" s="26">
        <v>1.1000000000000001</v>
      </c>
      <c r="J55" s="8"/>
      <c r="K55" s="26">
        <v>0</v>
      </c>
      <c r="L55" s="8"/>
      <c r="M55" s="26">
        <v>2.3999999999999999</v>
      </c>
      <c r="N55" s="8"/>
      <c r="O55" s="26">
        <v>0</v>
      </c>
      <c r="P55" s="8"/>
      <c r="Q55" s="26">
        <v>-6.4000000000000004</v>
      </c>
      <c r="R55" s="8"/>
      <c r="S55" s="26">
        <v>0</v>
      </c>
      <c r="T55" s="8"/>
      <c r="U55" s="26">
        <v>6.7000000000000002</v>
      </c>
      <c r="V55" s="8"/>
      <c r="W55" s="26">
        <v>0</v>
      </c>
      <c r="X55" s="8"/>
      <c r="Y55" s="26">
        <v>0.40000000000000002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764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3.5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-20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2.3999999999999999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765</v>
      </c>
      <c r="C57" s="26">
        <v>0</v>
      </c>
      <c r="D57" s="8"/>
      <c r="E57" s="26">
        <v>0.20000000000000001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2.2999999999999998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766</v>
      </c>
      <c r="C58" s="26">
        <v>0</v>
      </c>
      <c r="D58" s="8"/>
      <c r="E58" s="26">
        <v>5.0999999999999996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5.4000000000000004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767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4.7000000000000002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768</v>
      </c>
      <c r="C60" s="26">
        <v>1.8999999999999999</v>
      </c>
      <c r="D60" s="8"/>
      <c r="E60" s="26">
        <v>2.6000000000000001</v>
      </c>
      <c r="F60" s="8"/>
      <c r="G60" s="26">
        <v>3.5</v>
      </c>
      <c r="H60" s="8"/>
      <c r="I60" s="26">
        <v>2.8999999999999999</v>
      </c>
      <c r="J60" s="8"/>
      <c r="K60" s="26">
        <v>2.7000000000000002</v>
      </c>
      <c r="L60" s="8"/>
      <c r="M60" s="26">
        <v>3.5</v>
      </c>
      <c r="N60" s="8"/>
      <c r="O60" s="26">
        <v>2.8999999999999999</v>
      </c>
      <c r="P60" s="8"/>
      <c r="Q60" s="26">
        <v>1.8999999999999999</v>
      </c>
      <c r="R60" s="8"/>
      <c r="S60" s="26">
        <v>1.7</v>
      </c>
      <c r="T60" s="8"/>
      <c r="U60" s="26">
        <v>1</v>
      </c>
      <c r="V60" s="8"/>
      <c r="W60" s="26">
        <v>1</v>
      </c>
      <c r="X60" s="8"/>
      <c r="Y60" s="26">
        <v>0.29999999999999999</v>
      </c>
      <c r="Z60" s="8"/>
      <c r="AA60" s="26">
        <v>0</v>
      </c>
      <c r="AB60" s="8"/>
      <c r="AC60" s="8"/>
    </row>
    <row r="61" ht="12" customHeight="1">
      <c r="A61" s="8" t="s">
        <v>183</v>
      </c>
      <c r="B61" s="8" t="s">
        <v>769</v>
      </c>
      <c r="C61" s="26">
        <v>2.7000000000000002</v>
      </c>
      <c r="D61" s="8"/>
      <c r="E61" s="26">
        <v>2.3999999999999999</v>
      </c>
      <c r="F61" s="8"/>
      <c r="G61" s="26">
        <v>2.2000000000000002</v>
      </c>
      <c r="H61" s="8"/>
      <c r="I61" s="26">
        <v>-0.69999999999999996</v>
      </c>
      <c r="J61" s="8"/>
      <c r="K61" s="26">
        <v>-1.8</v>
      </c>
      <c r="L61" s="8"/>
      <c r="M61" s="26">
        <v>0.20000000000000001</v>
      </c>
      <c r="N61" s="8"/>
      <c r="O61" s="26">
        <v>-0.5</v>
      </c>
      <c r="P61" s="8"/>
      <c r="Q61" s="26">
        <v>-0.69999999999999996</v>
      </c>
      <c r="R61" s="8"/>
      <c r="S61" s="26">
        <v>-0.10000000000000001</v>
      </c>
      <c r="T61" s="8"/>
      <c r="U61" s="26">
        <v>0.29999999999999999</v>
      </c>
      <c r="V61" s="8"/>
      <c r="W61" s="26">
        <v>1</v>
      </c>
      <c r="X61" s="8"/>
      <c r="Y61" s="26">
        <v>0.29999999999999999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770</v>
      </c>
      <c r="C62" s="26">
        <v>0.29999999999999999</v>
      </c>
      <c r="D62" s="8"/>
      <c r="E62" s="26">
        <v>2.7000000000000002</v>
      </c>
      <c r="F62" s="8"/>
      <c r="G62" s="26">
        <v>-0.5</v>
      </c>
      <c r="H62" s="8"/>
      <c r="I62" s="26">
        <v>0.59999999999999998</v>
      </c>
      <c r="J62" s="8"/>
      <c r="K62" s="26">
        <v>-0.10000000000000001</v>
      </c>
      <c r="L62" s="8"/>
      <c r="M62" s="26">
        <v>1.8</v>
      </c>
      <c r="N62" s="8"/>
      <c r="O62" s="26">
        <v>0.10000000000000001</v>
      </c>
      <c r="P62" s="8"/>
      <c r="Q62" s="26">
        <v>-0.29999999999999999</v>
      </c>
      <c r="R62" s="8"/>
      <c r="S62" s="26">
        <v>-0.80000000000000004</v>
      </c>
      <c r="T62" s="8"/>
      <c r="U62" s="26">
        <v>-0.5</v>
      </c>
      <c r="V62" s="8"/>
      <c r="W62" s="26">
        <v>2</v>
      </c>
      <c r="X62" s="8"/>
      <c r="Y62" s="26">
        <v>1.3</v>
      </c>
      <c r="Z62" s="8"/>
      <c r="AA62" s="26">
        <v>2.1000000000000001</v>
      </c>
      <c r="AB62" s="8"/>
      <c r="AC62" s="8"/>
    </row>
    <row r="63" ht="12" customHeight="1">
      <c r="A63" s="8" t="s">
        <v>187</v>
      </c>
      <c r="B63" s="8" t="s">
        <v>771</v>
      </c>
      <c r="C63" s="26">
        <v>2</v>
      </c>
      <c r="D63" s="8"/>
      <c r="E63" s="26">
        <v>2.7000000000000002</v>
      </c>
      <c r="F63" s="8"/>
      <c r="G63" s="26">
        <v>4.4000000000000004</v>
      </c>
      <c r="H63" s="8"/>
      <c r="I63" s="26">
        <v>4.5999999999999996</v>
      </c>
      <c r="J63" s="8"/>
      <c r="K63" s="26">
        <v>4.5999999999999996</v>
      </c>
      <c r="L63" s="8"/>
      <c r="M63" s="26">
        <v>5</v>
      </c>
      <c r="N63" s="8"/>
      <c r="O63" s="26">
        <v>4.2999999999999998</v>
      </c>
      <c r="P63" s="8"/>
      <c r="Q63" s="26">
        <v>3</v>
      </c>
      <c r="R63" s="8"/>
      <c r="S63" s="26">
        <v>2.3999999999999999</v>
      </c>
      <c r="T63" s="8"/>
      <c r="U63" s="26">
        <v>1.3</v>
      </c>
      <c r="V63" s="8"/>
      <c r="W63" s="26">
        <v>1.1000000000000001</v>
      </c>
      <c r="X63" s="8"/>
      <c r="Y63" s="26">
        <v>0.40000000000000002</v>
      </c>
      <c r="Z63" s="8"/>
      <c r="AA63" s="26">
        <v>0</v>
      </c>
      <c r="AB63" s="8"/>
      <c r="AC63" s="8"/>
    </row>
    <row r="64" ht="12" customHeight="1">
      <c r="A64" s="8" t="s">
        <v>189</v>
      </c>
      <c r="B64" s="8" t="s">
        <v>772</v>
      </c>
      <c r="C64" s="26">
        <v>-2</v>
      </c>
      <c r="D64" s="8"/>
      <c r="E64" s="26">
        <v>0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-2.2999999999999998</v>
      </c>
      <c r="R64" s="8"/>
      <c r="S64" s="26">
        <v>0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773</v>
      </c>
      <c r="C65" s="26">
        <v>0.29999999999999999</v>
      </c>
      <c r="D65" s="8"/>
      <c r="E65" s="26">
        <v>1.3</v>
      </c>
      <c r="F65" s="8"/>
      <c r="G65" s="26">
        <v>1.2</v>
      </c>
      <c r="H65" s="8"/>
      <c r="I65" s="26">
        <v>1.3999999999999999</v>
      </c>
      <c r="J65" s="8"/>
      <c r="K65" s="26">
        <v>0.59999999999999998</v>
      </c>
      <c r="L65" s="8"/>
      <c r="M65" s="26">
        <v>0.80000000000000004</v>
      </c>
      <c r="N65" s="8"/>
      <c r="O65" s="26">
        <v>1.8</v>
      </c>
      <c r="P65" s="8"/>
      <c r="Q65" s="26">
        <v>0</v>
      </c>
      <c r="R65" s="8"/>
      <c r="S65" s="26">
        <v>0.10000000000000001</v>
      </c>
      <c r="T65" s="8"/>
      <c r="U65" s="26">
        <v>0.90000000000000002</v>
      </c>
      <c r="V65" s="8"/>
      <c r="W65" s="26">
        <v>0.90000000000000002</v>
      </c>
      <c r="X65" s="8"/>
      <c r="Y65" s="26">
        <v>-1.6000000000000001</v>
      </c>
      <c r="Z65" s="8"/>
      <c r="AA65" s="26">
        <v>-0.10000000000000001</v>
      </c>
      <c r="AB65" s="8"/>
      <c r="AC65" s="8"/>
    </row>
    <row r="66" ht="12" customHeight="1">
      <c r="A66" s="11" t="s">
        <v>193</v>
      </c>
      <c r="B66" s="8" t="s">
        <v>774</v>
      </c>
      <c r="C66" s="26">
        <v>6.5999999999999996</v>
      </c>
      <c r="D66" s="8"/>
      <c r="E66" s="26">
        <v>6.7999999999999998</v>
      </c>
      <c r="F66" s="8"/>
      <c r="G66" s="26">
        <v>3.8999999999999999</v>
      </c>
      <c r="H66" s="8"/>
      <c r="I66" s="26">
        <v>8</v>
      </c>
      <c r="J66" s="8"/>
      <c r="K66" s="26">
        <v>9</v>
      </c>
      <c r="L66" s="8"/>
      <c r="M66" s="26">
        <v>4.4000000000000004</v>
      </c>
      <c r="N66" s="8"/>
      <c r="O66" s="26">
        <v>2.2000000000000002</v>
      </c>
      <c r="P66" s="8"/>
      <c r="Q66" s="26">
        <v>1.2</v>
      </c>
      <c r="R66" s="8"/>
      <c r="S66" s="26">
        <v>-0.5</v>
      </c>
      <c r="T66" s="8"/>
      <c r="U66" s="26">
        <v>-1.8999999999999999</v>
      </c>
      <c r="V66" s="8"/>
      <c r="W66" s="26">
        <v>-5.9000000000000004</v>
      </c>
      <c r="X66" s="8"/>
      <c r="Y66" s="26">
        <v>-5.9000000000000004</v>
      </c>
      <c r="Z66" s="8"/>
      <c r="AA66" s="26">
        <v>-3.7999999999999998</v>
      </c>
      <c r="AB66" s="8"/>
      <c r="AC66" s="8"/>
    </row>
    <row r="67" ht="12" customHeight="1">
      <c r="A67" s="8" t="s">
        <v>195</v>
      </c>
      <c r="B67" s="8" t="s">
        <v>775</v>
      </c>
      <c r="C67" s="26">
        <v>6.5999999999999996</v>
      </c>
      <c r="D67" s="8"/>
      <c r="E67" s="26">
        <v>6.7999999999999998</v>
      </c>
      <c r="F67" s="8"/>
      <c r="G67" s="26">
        <v>3.8999999999999999</v>
      </c>
      <c r="H67" s="8"/>
      <c r="I67" s="26">
        <v>8</v>
      </c>
      <c r="J67" s="8"/>
      <c r="K67" s="26">
        <v>9</v>
      </c>
      <c r="L67" s="8"/>
      <c r="M67" s="26">
        <v>4.4000000000000004</v>
      </c>
      <c r="N67" s="8"/>
      <c r="O67" s="26">
        <v>2.2000000000000002</v>
      </c>
      <c r="P67" s="8"/>
      <c r="Q67" s="26">
        <v>1.2</v>
      </c>
      <c r="R67" s="8"/>
      <c r="S67" s="26">
        <v>-0.5</v>
      </c>
      <c r="T67" s="8"/>
      <c r="U67" s="26">
        <v>-1.8999999999999999</v>
      </c>
      <c r="V67" s="8"/>
      <c r="W67" s="26">
        <v>-5.9000000000000004</v>
      </c>
      <c r="X67" s="8"/>
      <c r="Y67" s="26">
        <v>-5.9000000000000004</v>
      </c>
      <c r="Z67" s="8"/>
      <c r="AA67" s="26">
        <v>-3.7999999999999998</v>
      </c>
      <c r="AB67" s="8"/>
      <c r="AC67" s="8"/>
    </row>
    <row r="68" ht="12" customHeight="1">
      <c r="A68" s="13" t="s">
        <v>69</v>
      </c>
      <c r="B68" s="10" t="s">
        <v>58</v>
      </c>
      <c r="C68" s="27">
        <v>1.5</v>
      </c>
      <c r="D68" s="10"/>
      <c r="E68" s="27">
        <v>1.8999999999999999</v>
      </c>
      <c r="F68" s="10"/>
      <c r="G68" s="27">
        <v>1.3999999999999999</v>
      </c>
      <c r="H68" s="10"/>
      <c r="I68" s="27">
        <v>2.2999999999999998</v>
      </c>
      <c r="J68" s="10"/>
      <c r="K68" s="27">
        <v>0.90000000000000002</v>
      </c>
      <c r="L68" s="10"/>
      <c r="M68" s="27">
        <v>1</v>
      </c>
      <c r="N68" s="10"/>
      <c r="O68" s="27">
        <v>0.69999999999999996</v>
      </c>
      <c r="P68" s="10"/>
      <c r="Q68" s="27">
        <v>1.6000000000000001</v>
      </c>
      <c r="R68" s="10"/>
      <c r="S68" s="27">
        <v>0.59999999999999998</v>
      </c>
      <c r="T68" s="10"/>
      <c r="U68" s="27">
        <v>1.2</v>
      </c>
      <c r="V68" s="10"/>
      <c r="W68" s="27">
        <v>0.80000000000000004</v>
      </c>
      <c r="X68" s="10"/>
      <c r="Y68" s="27">
        <v>1.3999999999999999</v>
      </c>
      <c r="Z68" s="10"/>
      <c r="AA68" s="27">
        <v>0.29999999999999999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777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715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716</v>
      </c>
      <c r="C8" s="22">
        <v>11.4</v>
      </c>
      <c r="D8" s="22"/>
      <c r="E8" s="22">
        <v>12.300000000000001</v>
      </c>
      <c r="F8" s="22"/>
      <c r="G8" s="22">
        <v>13.1</v>
      </c>
      <c r="H8" s="22"/>
      <c r="I8" s="22">
        <v>9.3000000000000007</v>
      </c>
      <c r="J8" s="22"/>
      <c r="K8" s="22">
        <v>5.4000000000000004</v>
      </c>
      <c r="L8" s="22"/>
      <c r="M8" s="22">
        <v>1.5</v>
      </c>
      <c r="N8" s="22"/>
      <c r="O8" s="22">
        <v>-0.80000000000000004</v>
      </c>
      <c r="P8" s="22"/>
      <c r="Q8" s="22">
        <v>-0.10000000000000001</v>
      </c>
      <c r="R8" s="22"/>
      <c r="S8" s="22">
        <v>1</v>
      </c>
      <c r="T8" s="22"/>
      <c r="U8" s="22">
        <v>2.5</v>
      </c>
      <c r="V8" s="22"/>
      <c r="W8" s="22">
        <v>4.7999999999999998</v>
      </c>
      <c r="X8" s="22"/>
      <c r="Y8" s="22">
        <v>5.5999999999999996</v>
      </c>
      <c r="Z8" s="22"/>
      <c r="AA8" s="22">
        <v>4.7999999999999998</v>
      </c>
      <c r="AB8" s="18"/>
      <c r="AC8" s="18"/>
    </row>
    <row r="9" ht="12" customHeight="1">
      <c r="A9" s="8" t="s">
        <v>79</v>
      </c>
      <c r="B9" s="8" t="s">
        <v>717</v>
      </c>
      <c r="C9" s="26">
        <v>20.899999999999999</v>
      </c>
      <c r="D9" s="8"/>
      <c r="E9" s="26">
        <v>21.199999999999999</v>
      </c>
      <c r="F9" s="8"/>
      <c r="G9" s="26">
        <v>21.699999999999999</v>
      </c>
      <c r="H9" s="8"/>
      <c r="I9" s="26">
        <v>5.7999999999999998</v>
      </c>
      <c r="J9" s="8"/>
      <c r="K9" s="26">
        <v>3.3999999999999999</v>
      </c>
      <c r="L9" s="8"/>
      <c r="M9" s="26">
        <v>-7.9000000000000004</v>
      </c>
      <c r="N9" s="8"/>
      <c r="O9" s="26">
        <v>-15</v>
      </c>
      <c r="P9" s="8"/>
      <c r="Q9" s="26">
        <v>-12.300000000000001</v>
      </c>
      <c r="R9" s="8"/>
      <c r="S9" s="26">
        <v>-10.199999999999999</v>
      </c>
      <c r="T9" s="8"/>
      <c r="U9" s="26">
        <v>-7.7000000000000002</v>
      </c>
      <c r="V9" s="8"/>
      <c r="W9" s="26">
        <v>4.4000000000000004</v>
      </c>
      <c r="X9" s="8"/>
      <c r="Y9" s="26">
        <v>10.199999999999999</v>
      </c>
      <c r="Z9" s="8"/>
      <c r="AA9" s="26">
        <v>3.8999999999999999</v>
      </c>
      <c r="AB9" s="8"/>
      <c r="AC9" s="8"/>
    </row>
    <row r="10" ht="12" customHeight="1">
      <c r="A10" s="8" t="s">
        <v>81</v>
      </c>
      <c r="B10" s="8" t="s">
        <v>718</v>
      </c>
      <c r="C10" s="26">
        <v>10.199999999999999</v>
      </c>
      <c r="D10" s="8"/>
      <c r="E10" s="26">
        <v>8.6999999999999993</v>
      </c>
      <c r="F10" s="8"/>
      <c r="G10" s="26">
        <v>10.1</v>
      </c>
      <c r="H10" s="8"/>
      <c r="I10" s="26">
        <v>7.7999999999999998</v>
      </c>
      <c r="J10" s="8"/>
      <c r="K10" s="26">
        <v>2.2999999999999998</v>
      </c>
      <c r="L10" s="8"/>
      <c r="M10" s="26">
        <v>0.29999999999999999</v>
      </c>
      <c r="N10" s="8"/>
      <c r="O10" s="26">
        <v>-0.5</v>
      </c>
      <c r="P10" s="8"/>
      <c r="Q10" s="26">
        <v>0.20000000000000001</v>
      </c>
      <c r="R10" s="8"/>
      <c r="S10" s="26">
        <v>2.1000000000000001</v>
      </c>
      <c r="T10" s="8"/>
      <c r="U10" s="26">
        <v>3.8999999999999999</v>
      </c>
      <c r="V10" s="8"/>
      <c r="W10" s="26">
        <v>4.7999999999999998</v>
      </c>
      <c r="X10" s="8"/>
      <c r="Y10" s="26">
        <v>7.0999999999999996</v>
      </c>
      <c r="Z10" s="8"/>
      <c r="AA10" s="26">
        <v>7.2999999999999998</v>
      </c>
      <c r="AB10" s="8"/>
      <c r="AC10" s="8"/>
    </row>
    <row r="11" ht="12" customHeight="1">
      <c r="A11" s="8" t="s">
        <v>83</v>
      </c>
      <c r="B11" s="8" t="s">
        <v>719</v>
      </c>
      <c r="C11" s="26">
        <v>10.5</v>
      </c>
      <c r="D11" s="8"/>
      <c r="E11" s="26">
        <v>12.5</v>
      </c>
      <c r="F11" s="8"/>
      <c r="G11" s="26">
        <v>13.5</v>
      </c>
      <c r="H11" s="8"/>
      <c r="I11" s="26">
        <v>11.199999999999999</v>
      </c>
      <c r="J11" s="8"/>
      <c r="K11" s="26">
        <v>6.2000000000000002</v>
      </c>
      <c r="L11" s="8"/>
      <c r="M11" s="26">
        <v>2.8999999999999999</v>
      </c>
      <c r="N11" s="8"/>
      <c r="O11" s="26">
        <v>1.1000000000000001</v>
      </c>
      <c r="P11" s="8"/>
      <c r="Q11" s="26">
        <v>2.1000000000000001</v>
      </c>
      <c r="R11" s="8"/>
      <c r="S11" s="26">
        <v>3.1000000000000001</v>
      </c>
      <c r="T11" s="8"/>
      <c r="U11" s="26">
        <v>5</v>
      </c>
      <c r="V11" s="8"/>
      <c r="W11" s="26">
        <v>5.5999999999999996</v>
      </c>
      <c r="X11" s="8"/>
      <c r="Y11" s="26">
        <v>5</v>
      </c>
      <c r="Z11" s="8"/>
      <c r="AA11" s="26">
        <v>4.7999999999999998</v>
      </c>
      <c r="AB11" s="8"/>
      <c r="AC11" s="8"/>
    </row>
    <row r="12" ht="12" customHeight="1">
      <c r="A12" s="8" t="s">
        <v>85</v>
      </c>
      <c r="B12" s="8" t="s">
        <v>720</v>
      </c>
      <c r="C12" s="26">
        <v>7.9000000000000004</v>
      </c>
      <c r="D12" s="8"/>
      <c r="E12" s="26">
        <v>8.1999999999999993</v>
      </c>
      <c r="F12" s="8"/>
      <c r="G12" s="26">
        <v>10</v>
      </c>
      <c r="H12" s="8"/>
      <c r="I12" s="26">
        <v>9.1999999999999993</v>
      </c>
      <c r="J12" s="8"/>
      <c r="K12" s="26">
        <v>6.4000000000000004</v>
      </c>
      <c r="L12" s="8"/>
      <c r="M12" s="26">
        <v>5.2000000000000002</v>
      </c>
      <c r="N12" s="8"/>
      <c r="O12" s="26">
        <v>4.7000000000000002</v>
      </c>
      <c r="P12" s="8"/>
      <c r="Q12" s="26">
        <v>4.4000000000000004</v>
      </c>
      <c r="R12" s="8"/>
      <c r="S12" s="26">
        <v>4.2999999999999998</v>
      </c>
      <c r="T12" s="8"/>
      <c r="U12" s="26">
        <v>5.5</v>
      </c>
      <c r="V12" s="8"/>
      <c r="W12" s="26">
        <v>5.9000000000000004</v>
      </c>
      <c r="X12" s="8"/>
      <c r="Y12" s="26">
        <v>4.4000000000000004</v>
      </c>
      <c r="Z12" s="8"/>
      <c r="AA12" s="26">
        <v>5</v>
      </c>
      <c r="AB12" s="8"/>
      <c r="AC12" s="8"/>
    </row>
    <row r="13" ht="12" customHeight="1">
      <c r="A13" s="8" t="s">
        <v>87</v>
      </c>
      <c r="B13" s="8" t="s">
        <v>721</v>
      </c>
      <c r="C13" s="26">
        <v>8.1999999999999993</v>
      </c>
      <c r="D13" s="8"/>
      <c r="E13" s="26">
        <v>9.0999999999999996</v>
      </c>
      <c r="F13" s="8"/>
      <c r="G13" s="26">
        <v>9.6999999999999993</v>
      </c>
      <c r="H13" s="8"/>
      <c r="I13" s="26">
        <v>9.5</v>
      </c>
      <c r="J13" s="8"/>
      <c r="K13" s="26">
        <v>7.9000000000000004</v>
      </c>
      <c r="L13" s="8"/>
      <c r="M13" s="26">
        <v>6.7999999999999998</v>
      </c>
      <c r="N13" s="8"/>
      <c r="O13" s="26">
        <v>5.0999999999999996</v>
      </c>
      <c r="P13" s="8"/>
      <c r="Q13" s="26">
        <v>3.7000000000000002</v>
      </c>
      <c r="R13" s="8"/>
      <c r="S13" s="26">
        <v>3.3999999999999999</v>
      </c>
      <c r="T13" s="8"/>
      <c r="U13" s="26">
        <v>2.6000000000000001</v>
      </c>
      <c r="V13" s="8"/>
      <c r="W13" s="26">
        <v>2.1000000000000001</v>
      </c>
      <c r="X13" s="8"/>
      <c r="Y13" s="26">
        <v>2.5</v>
      </c>
      <c r="Z13" s="8"/>
      <c r="AA13" s="26">
        <v>2.3999999999999999</v>
      </c>
      <c r="AB13" s="8"/>
      <c r="AC13" s="8"/>
    </row>
    <row r="14" ht="12" customHeight="1">
      <c r="A14" s="11" t="s">
        <v>89</v>
      </c>
      <c r="B14" s="8" t="s">
        <v>722</v>
      </c>
      <c r="C14" s="26">
        <v>5.5999999999999996</v>
      </c>
      <c r="D14" s="8"/>
      <c r="E14" s="26">
        <v>7.9000000000000004</v>
      </c>
      <c r="F14" s="8"/>
      <c r="G14" s="26">
        <v>8.0999999999999996</v>
      </c>
      <c r="H14" s="8"/>
      <c r="I14" s="26">
        <v>8.1999999999999993</v>
      </c>
      <c r="J14" s="8"/>
      <c r="K14" s="26">
        <v>9.5</v>
      </c>
      <c r="L14" s="8"/>
      <c r="M14" s="26">
        <v>8.6999999999999993</v>
      </c>
      <c r="N14" s="8"/>
      <c r="O14" s="26">
        <v>8.4000000000000004</v>
      </c>
      <c r="P14" s="8"/>
      <c r="Q14" s="26">
        <v>7.7999999999999998</v>
      </c>
      <c r="R14" s="8"/>
      <c r="S14" s="26">
        <v>6.2000000000000002</v>
      </c>
      <c r="T14" s="8"/>
      <c r="U14" s="26">
        <v>3.6000000000000001</v>
      </c>
      <c r="V14" s="8"/>
      <c r="W14" s="26">
        <v>3.1000000000000001</v>
      </c>
      <c r="X14" s="8"/>
      <c r="Y14" s="26">
        <v>2.7999999999999998</v>
      </c>
      <c r="Z14" s="8"/>
      <c r="AA14" s="26">
        <v>2.7000000000000002</v>
      </c>
      <c r="AB14" s="8"/>
      <c r="AC14" s="8"/>
    </row>
    <row r="15" ht="12" customHeight="1">
      <c r="A15" s="8" t="s">
        <v>91</v>
      </c>
      <c r="B15" s="8" t="s">
        <v>723</v>
      </c>
      <c r="C15" s="26">
        <v>6.7999999999999998</v>
      </c>
      <c r="D15" s="8"/>
      <c r="E15" s="26">
        <v>6.9000000000000004</v>
      </c>
      <c r="F15" s="8"/>
      <c r="G15" s="26">
        <v>7.2999999999999998</v>
      </c>
      <c r="H15" s="8"/>
      <c r="I15" s="26">
        <v>6.5</v>
      </c>
      <c r="J15" s="8"/>
      <c r="K15" s="26">
        <v>5.7999999999999998</v>
      </c>
      <c r="L15" s="8"/>
      <c r="M15" s="26">
        <v>5.0999999999999996</v>
      </c>
      <c r="N15" s="8"/>
      <c r="O15" s="26">
        <v>4.4000000000000004</v>
      </c>
      <c r="P15" s="8"/>
      <c r="Q15" s="26">
        <v>3.2999999999999998</v>
      </c>
      <c r="R15" s="8"/>
      <c r="S15" s="26">
        <v>2.7999999999999998</v>
      </c>
      <c r="T15" s="8"/>
      <c r="U15" s="26">
        <v>2.7999999999999998</v>
      </c>
      <c r="V15" s="8"/>
      <c r="W15" s="26">
        <v>0.90000000000000002</v>
      </c>
      <c r="X15" s="8"/>
      <c r="Y15" s="26">
        <v>0.59999999999999998</v>
      </c>
      <c r="Z15" s="8"/>
      <c r="AA15" s="26">
        <v>0.20000000000000001</v>
      </c>
      <c r="AB15" s="8"/>
      <c r="AC15" s="8"/>
    </row>
    <row r="16" ht="12" customHeight="1">
      <c r="A16" s="8" t="s">
        <v>93</v>
      </c>
      <c r="B16" s="8" t="s">
        <v>724</v>
      </c>
      <c r="C16" s="26">
        <v>5.0999999999999996</v>
      </c>
      <c r="D16" s="8"/>
      <c r="E16" s="26">
        <v>8.5</v>
      </c>
      <c r="F16" s="8"/>
      <c r="G16" s="26">
        <v>8.5</v>
      </c>
      <c r="H16" s="8"/>
      <c r="I16" s="26">
        <v>9.0999999999999996</v>
      </c>
      <c r="J16" s="8"/>
      <c r="K16" s="26">
        <v>11.5</v>
      </c>
      <c r="L16" s="8"/>
      <c r="M16" s="26">
        <v>10.5</v>
      </c>
      <c r="N16" s="8"/>
      <c r="O16" s="26">
        <v>10.4</v>
      </c>
      <c r="P16" s="8"/>
      <c r="Q16" s="26">
        <v>10.199999999999999</v>
      </c>
      <c r="R16" s="8"/>
      <c r="S16" s="26">
        <v>7.7999999999999998</v>
      </c>
      <c r="T16" s="8"/>
      <c r="U16" s="26">
        <v>5.0999999999999996</v>
      </c>
      <c r="V16" s="8"/>
      <c r="W16" s="26">
        <v>5.2999999999999998</v>
      </c>
      <c r="X16" s="8"/>
      <c r="Y16" s="26">
        <v>4.9000000000000004</v>
      </c>
      <c r="Z16" s="8"/>
      <c r="AA16" s="26">
        <v>5.7999999999999998</v>
      </c>
      <c r="AB16" s="8"/>
      <c r="AC16" s="8"/>
    </row>
    <row r="17" ht="12" customHeight="1">
      <c r="A17" s="11" t="s">
        <v>95</v>
      </c>
      <c r="B17" s="8" t="s">
        <v>725</v>
      </c>
      <c r="C17" s="26">
        <v>2.7000000000000002</v>
      </c>
      <c r="D17" s="8"/>
      <c r="E17" s="26">
        <v>3.1000000000000001</v>
      </c>
      <c r="F17" s="8"/>
      <c r="G17" s="26">
        <v>4.7999999999999998</v>
      </c>
      <c r="H17" s="8"/>
      <c r="I17" s="26">
        <v>3.7000000000000002</v>
      </c>
      <c r="J17" s="8"/>
      <c r="K17" s="26">
        <v>3.6000000000000001</v>
      </c>
      <c r="L17" s="8"/>
      <c r="M17" s="26">
        <v>3.8999999999999999</v>
      </c>
      <c r="N17" s="8"/>
      <c r="O17" s="26">
        <v>2.2000000000000002</v>
      </c>
      <c r="P17" s="8"/>
      <c r="Q17" s="26">
        <v>1.8</v>
      </c>
      <c r="R17" s="8"/>
      <c r="S17" s="26">
        <v>0.90000000000000002</v>
      </c>
      <c r="T17" s="8"/>
      <c r="U17" s="26">
        <v>1.3999999999999999</v>
      </c>
      <c r="V17" s="8"/>
      <c r="W17" s="26">
        <v>0.10000000000000001</v>
      </c>
      <c r="X17" s="8"/>
      <c r="Y17" s="26">
        <v>0.5</v>
      </c>
      <c r="Z17" s="8"/>
      <c r="AA17" s="26">
        <v>1.7</v>
      </c>
      <c r="AB17" s="8"/>
      <c r="AC17" s="8"/>
    </row>
    <row r="18" ht="12" customHeight="1">
      <c r="A18" s="8" t="s">
        <v>97</v>
      </c>
      <c r="B18" s="8" t="s">
        <v>726</v>
      </c>
      <c r="C18" s="26">
        <v>2.2999999999999998</v>
      </c>
      <c r="D18" s="8"/>
      <c r="E18" s="26">
        <v>2.3999999999999999</v>
      </c>
      <c r="F18" s="8"/>
      <c r="G18" s="26">
        <v>4.5</v>
      </c>
      <c r="H18" s="8"/>
      <c r="I18" s="26">
        <v>4</v>
      </c>
      <c r="J18" s="8"/>
      <c r="K18" s="26">
        <v>4.0999999999999996</v>
      </c>
      <c r="L18" s="8"/>
      <c r="M18" s="26">
        <v>4.7999999999999998</v>
      </c>
      <c r="N18" s="8"/>
      <c r="O18" s="26">
        <v>2.7000000000000002</v>
      </c>
      <c r="P18" s="8"/>
      <c r="Q18" s="26">
        <v>2.1000000000000001</v>
      </c>
      <c r="R18" s="8"/>
      <c r="S18" s="26">
        <v>0.90000000000000002</v>
      </c>
      <c r="T18" s="8"/>
      <c r="U18" s="26">
        <v>0.80000000000000004</v>
      </c>
      <c r="V18" s="8"/>
      <c r="W18" s="26">
        <v>0.29999999999999999</v>
      </c>
      <c r="X18" s="8"/>
      <c r="Y18" s="26">
        <v>0.20000000000000001</v>
      </c>
      <c r="Z18" s="8"/>
      <c r="AA18" s="26">
        <v>2</v>
      </c>
      <c r="AB18" s="8"/>
      <c r="AC18" s="8"/>
    </row>
    <row r="19" ht="12" customHeight="1">
      <c r="A19" s="8" t="s">
        <v>99</v>
      </c>
      <c r="B19" s="8" t="s">
        <v>727</v>
      </c>
      <c r="C19" s="26">
        <v>5.2000000000000002</v>
      </c>
      <c r="D19" s="8"/>
      <c r="E19" s="26">
        <v>6.7000000000000002</v>
      </c>
      <c r="F19" s="8"/>
      <c r="G19" s="26">
        <v>6.2000000000000002</v>
      </c>
      <c r="H19" s="8"/>
      <c r="I19" s="26">
        <v>2.7000000000000002</v>
      </c>
      <c r="J19" s="8"/>
      <c r="K19" s="26">
        <v>0.90000000000000002</v>
      </c>
      <c r="L19" s="8"/>
      <c r="M19" s="26">
        <v>-0.5</v>
      </c>
      <c r="N19" s="8"/>
      <c r="O19" s="26">
        <v>-0.69999999999999996</v>
      </c>
      <c r="P19" s="8"/>
      <c r="Q19" s="26">
        <v>0.5</v>
      </c>
      <c r="R19" s="8"/>
      <c r="S19" s="26">
        <v>0.80000000000000004</v>
      </c>
      <c r="T19" s="8"/>
      <c r="U19" s="26">
        <v>3.2000000000000002</v>
      </c>
      <c r="V19" s="8"/>
      <c r="W19" s="26">
        <v>0.40000000000000002</v>
      </c>
      <c r="X19" s="8"/>
      <c r="Y19" s="26">
        <v>1.8</v>
      </c>
      <c r="Z19" s="8"/>
      <c r="AA19" s="26">
        <v>1.1000000000000001</v>
      </c>
      <c r="AB19" s="8"/>
      <c r="AC19" s="8"/>
    </row>
    <row r="20" ht="12" customHeight="1">
      <c r="A20" s="11" t="s">
        <v>101</v>
      </c>
      <c r="B20" s="8" t="s">
        <v>728</v>
      </c>
      <c r="C20" s="26">
        <v>5</v>
      </c>
      <c r="D20" s="8"/>
      <c r="E20" s="26">
        <v>5.2000000000000002</v>
      </c>
      <c r="F20" s="8"/>
      <c r="G20" s="26">
        <v>5.5</v>
      </c>
      <c r="H20" s="8"/>
      <c r="I20" s="26">
        <v>6</v>
      </c>
      <c r="J20" s="8"/>
      <c r="K20" s="26">
        <v>6.2999999999999998</v>
      </c>
      <c r="L20" s="8"/>
      <c r="M20" s="26">
        <v>5.7999999999999998</v>
      </c>
      <c r="N20" s="8"/>
      <c r="O20" s="26">
        <v>5.7000000000000002</v>
      </c>
      <c r="P20" s="8"/>
      <c r="Q20" s="26">
        <v>6.9000000000000004</v>
      </c>
      <c r="R20" s="8"/>
      <c r="S20" s="26">
        <v>6.2999999999999998</v>
      </c>
      <c r="T20" s="8"/>
      <c r="U20" s="26">
        <v>6.4000000000000004</v>
      </c>
      <c r="V20" s="8"/>
      <c r="W20" s="26">
        <v>6.5999999999999996</v>
      </c>
      <c r="X20" s="8"/>
      <c r="Y20" s="26">
        <v>6.0999999999999996</v>
      </c>
      <c r="Z20" s="8"/>
      <c r="AA20" s="26">
        <v>6</v>
      </c>
      <c r="AB20" s="8"/>
      <c r="AC20" s="8"/>
    </row>
    <row r="21" ht="12" customHeight="1">
      <c r="A21" s="8" t="s">
        <v>103</v>
      </c>
      <c r="B21" s="8" t="s">
        <v>729</v>
      </c>
      <c r="C21" s="26">
        <v>5.2000000000000002</v>
      </c>
      <c r="D21" s="8"/>
      <c r="E21" s="26">
        <v>5.2000000000000002</v>
      </c>
      <c r="F21" s="8"/>
      <c r="G21" s="26">
        <v>5.0999999999999996</v>
      </c>
      <c r="H21" s="8"/>
      <c r="I21" s="26">
        <v>5.2999999999999998</v>
      </c>
      <c r="J21" s="8"/>
      <c r="K21" s="26">
        <v>5.2999999999999998</v>
      </c>
      <c r="L21" s="8"/>
      <c r="M21" s="26">
        <v>5.4000000000000004</v>
      </c>
      <c r="N21" s="8"/>
      <c r="O21" s="26">
        <v>5.2999999999999998</v>
      </c>
      <c r="P21" s="8"/>
      <c r="Q21" s="26">
        <v>4.9000000000000004</v>
      </c>
      <c r="R21" s="8"/>
      <c r="S21" s="26">
        <v>4.5999999999999996</v>
      </c>
      <c r="T21" s="8"/>
      <c r="U21" s="26">
        <v>3.8999999999999999</v>
      </c>
      <c r="V21" s="8"/>
      <c r="W21" s="26">
        <v>3.5</v>
      </c>
      <c r="X21" s="8"/>
      <c r="Y21" s="26">
        <v>2.7000000000000002</v>
      </c>
      <c r="Z21" s="8"/>
      <c r="AA21" s="26">
        <v>1.8999999999999999</v>
      </c>
      <c r="AB21" s="8"/>
      <c r="AC21" s="8"/>
    </row>
    <row r="22" ht="12" customHeight="1">
      <c r="A22" s="8" t="s">
        <v>105</v>
      </c>
      <c r="B22" s="8" t="s">
        <v>730</v>
      </c>
      <c r="C22" s="26">
        <v>5.2000000000000002</v>
      </c>
      <c r="D22" s="8"/>
      <c r="E22" s="26">
        <v>5.2000000000000002</v>
      </c>
      <c r="F22" s="8"/>
      <c r="G22" s="26">
        <v>5.0999999999999996</v>
      </c>
      <c r="H22" s="8"/>
      <c r="I22" s="26">
        <v>5.2999999999999998</v>
      </c>
      <c r="J22" s="8"/>
      <c r="K22" s="26">
        <v>5.2999999999999998</v>
      </c>
      <c r="L22" s="8"/>
      <c r="M22" s="26">
        <v>5.4000000000000004</v>
      </c>
      <c r="N22" s="8"/>
      <c r="O22" s="26">
        <v>5.2999999999999998</v>
      </c>
      <c r="P22" s="8"/>
      <c r="Q22" s="26">
        <v>4.9000000000000004</v>
      </c>
      <c r="R22" s="8"/>
      <c r="S22" s="26">
        <v>4.5999999999999996</v>
      </c>
      <c r="T22" s="8"/>
      <c r="U22" s="26">
        <v>3.8999999999999999</v>
      </c>
      <c r="V22" s="8"/>
      <c r="W22" s="26">
        <v>3.5</v>
      </c>
      <c r="X22" s="8"/>
      <c r="Y22" s="26">
        <v>2.7000000000000002</v>
      </c>
      <c r="Z22" s="8"/>
      <c r="AA22" s="26">
        <v>1.8999999999999999</v>
      </c>
      <c r="AB22" s="8"/>
      <c r="AC22" s="8"/>
    </row>
    <row r="23" ht="12" customHeight="1">
      <c r="A23" s="8" t="s">
        <v>107</v>
      </c>
      <c r="B23" s="8" t="s">
        <v>731</v>
      </c>
      <c r="C23" s="26">
        <v>6.9000000000000004</v>
      </c>
      <c r="D23" s="8"/>
      <c r="E23" s="26">
        <v>5.0999999999999996</v>
      </c>
      <c r="F23" s="8"/>
      <c r="G23" s="26">
        <v>5</v>
      </c>
      <c r="H23" s="8"/>
      <c r="I23" s="26">
        <v>4</v>
      </c>
      <c r="J23" s="8"/>
      <c r="K23" s="26">
        <v>2.8999999999999999</v>
      </c>
      <c r="L23" s="8"/>
      <c r="M23" s="26">
        <v>3.2999999999999998</v>
      </c>
      <c r="N23" s="8"/>
      <c r="O23" s="26">
        <v>2.7000000000000002</v>
      </c>
      <c r="P23" s="8"/>
      <c r="Q23" s="26">
        <v>3.2000000000000002</v>
      </c>
      <c r="R23" s="8"/>
      <c r="S23" s="26">
        <v>2.6000000000000001</v>
      </c>
      <c r="T23" s="8"/>
      <c r="U23" s="26">
        <v>3.1000000000000001</v>
      </c>
      <c r="V23" s="8"/>
      <c r="W23" s="26">
        <v>1.8</v>
      </c>
      <c r="X23" s="8"/>
      <c r="Y23" s="26">
        <v>1.1000000000000001</v>
      </c>
      <c r="Z23" s="8"/>
      <c r="AA23" s="26">
        <v>2.3999999999999999</v>
      </c>
      <c r="AB23" s="8"/>
      <c r="AC23" s="8"/>
    </row>
    <row r="24" ht="12" customHeight="1">
      <c r="A24" s="8" t="s">
        <v>109</v>
      </c>
      <c r="B24" s="8" t="s">
        <v>732</v>
      </c>
      <c r="C24" s="26">
        <v>7.2999999999999998</v>
      </c>
      <c r="D24" s="8"/>
      <c r="E24" s="26">
        <v>7.2000000000000002</v>
      </c>
      <c r="F24" s="8"/>
      <c r="G24" s="26">
        <v>7.2000000000000002</v>
      </c>
      <c r="H24" s="8"/>
      <c r="I24" s="26">
        <v>9.6999999999999993</v>
      </c>
      <c r="J24" s="8"/>
      <c r="K24" s="26">
        <v>9.6999999999999993</v>
      </c>
      <c r="L24" s="8"/>
      <c r="M24" s="26">
        <v>9.6999999999999993</v>
      </c>
      <c r="N24" s="8"/>
      <c r="O24" s="26">
        <v>9.6999999999999993</v>
      </c>
      <c r="P24" s="8"/>
      <c r="Q24" s="26">
        <v>12.199999999999999</v>
      </c>
      <c r="R24" s="8"/>
      <c r="S24" s="26">
        <v>12.199999999999999</v>
      </c>
      <c r="T24" s="8"/>
      <c r="U24" s="26">
        <v>12.1</v>
      </c>
      <c r="V24" s="8"/>
      <c r="W24" s="26">
        <v>12.1</v>
      </c>
      <c r="X24" s="8"/>
      <c r="Y24" s="26">
        <v>8.4000000000000004</v>
      </c>
      <c r="Z24" s="8"/>
      <c r="AA24" s="26">
        <v>8.4000000000000004</v>
      </c>
      <c r="AB24" s="8"/>
      <c r="AC24" s="8"/>
    </row>
    <row r="25" ht="12" customHeight="1">
      <c r="A25" s="8" t="s">
        <v>111</v>
      </c>
      <c r="B25" s="8" t="s">
        <v>733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12.300000000000001</v>
      </c>
      <c r="R25" s="8"/>
      <c r="S25" s="26">
        <v>12.300000000000001</v>
      </c>
      <c r="T25" s="8"/>
      <c r="U25" s="26">
        <v>12.300000000000001</v>
      </c>
      <c r="V25" s="8"/>
      <c r="W25" s="26">
        <v>12.300000000000001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734</v>
      </c>
      <c r="C26" s="26">
        <v>2.6000000000000001</v>
      </c>
      <c r="D26" s="8"/>
      <c r="E26" s="26">
        <v>3.7000000000000002</v>
      </c>
      <c r="F26" s="8"/>
      <c r="G26" s="26">
        <v>4.5999999999999996</v>
      </c>
      <c r="H26" s="8"/>
      <c r="I26" s="26">
        <v>4.7000000000000002</v>
      </c>
      <c r="J26" s="8"/>
      <c r="K26" s="26">
        <v>5.5999999999999996</v>
      </c>
      <c r="L26" s="8"/>
      <c r="M26" s="26">
        <v>3.7999999999999998</v>
      </c>
      <c r="N26" s="8"/>
      <c r="O26" s="26">
        <v>3.8999999999999999</v>
      </c>
      <c r="P26" s="8"/>
      <c r="Q26" s="26">
        <v>6</v>
      </c>
      <c r="R26" s="8"/>
      <c r="S26" s="26">
        <v>5</v>
      </c>
      <c r="T26" s="8"/>
      <c r="U26" s="26">
        <v>6.7999999999999998</v>
      </c>
      <c r="V26" s="8"/>
      <c r="W26" s="26">
        <v>8.9000000000000004</v>
      </c>
      <c r="X26" s="8"/>
      <c r="Y26" s="26">
        <v>11.300000000000001</v>
      </c>
      <c r="Z26" s="8"/>
      <c r="AA26" s="26">
        <v>12.1</v>
      </c>
      <c r="AB26" s="8"/>
      <c r="AC26" s="8"/>
    </row>
    <row r="27" ht="12" customHeight="1">
      <c r="A27" s="8" t="s">
        <v>115</v>
      </c>
      <c r="B27" s="8" t="s">
        <v>735</v>
      </c>
      <c r="C27" s="26">
        <v>2.3999999999999999</v>
      </c>
      <c r="D27" s="8"/>
      <c r="E27" s="26">
        <v>3.2000000000000002</v>
      </c>
      <c r="F27" s="8"/>
      <c r="G27" s="26">
        <v>4.2000000000000002</v>
      </c>
      <c r="H27" s="8"/>
      <c r="I27" s="26">
        <v>4</v>
      </c>
      <c r="J27" s="8"/>
      <c r="K27" s="26">
        <v>4.9000000000000004</v>
      </c>
      <c r="L27" s="8"/>
      <c r="M27" s="26">
        <v>3.2000000000000002</v>
      </c>
      <c r="N27" s="8"/>
      <c r="O27" s="26">
        <v>3.6000000000000001</v>
      </c>
      <c r="P27" s="8"/>
      <c r="Q27" s="26">
        <v>6</v>
      </c>
      <c r="R27" s="8"/>
      <c r="S27" s="26">
        <v>4.7000000000000002</v>
      </c>
      <c r="T27" s="8"/>
      <c r="U27" s="26">
        <v>6.5</v>
      </c>
      <c r="V27" s="8"/>
      <c r="W27" s="26">
        <v>8.5999999999999996</v>
      </c>
      <c r="X27" s="8"/>
      <c r="Y27" s="26">
        <v>11.4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736</v>
      </c>
      <c r="C28" s="26">
        <v>8.8000000000000007</v>
      </c>
      <c r="D28" s="8"/>
      <c r="E28" s="26">
        <v>7.4000000000000004</v>
      </c>
      <c r="F28" s="8"/>
      <c r="G28" s="26">
        <v>9.1999999999999993</v>
      </c>
      <c r="H28" s="8"/>
      <c r="I28" s="26">
        <v>4.7000000000000002</v>
      </c>
      <c r="J28" s="8"/>
      <c r="K28" s="26">
        <v>0.80000000000000004</v>
      </c>
      <c r="L28" s="8"/>
      <c r="M28" s="26">
        <v>-0.5</v>
      </c>
      <c r="N28" s="8"/>
      <c r="O28" s="26">
        <v>-4</v>
      </c>
      <c r="P28" s="8"/>
      <c r="Q28" s="26">
        <v>-1.5</v>
      </c>
      <c r="R28" s="8"/>
      <c r="S28" s="26">
        <v>-2.2000000000000002</v>
      </c>
      <c r="T28" s="8"/>
      <c r="U28" s="26">
        <v>-0.5</v>
      </c>
      <c r="V28" s="8"/>
      <c r="W28" s="26">
        <v>0.20000000000000001</v>
      </c>
      <c r="X28" s="8"/>
      <c r="Y28" s="26">
        <v>-1</v>
      </c>
      <c r="Z28" s="8"/>
      <c r="AA28" s="26">
        <v>-0.90000000000000002</v>
      </c>
      <c r="AB28" s="8"/>
      <c r="AC28" s="8"/>
    </row>
    <row r="29" ht="12" customHeight="1">
      <c r="A29" s="8" t="s">
        <v>119</v>
      </c>
      <c r="B29" s="8" t="s">
        <v>737</v>
      </c>
      <c r="C29" s="26">
        <v>7.2999999999999998</v>
      </c>
      <c r="D29" s="8"/>
      <c r="E29" s="26">
        <v>6.0999999999999996</v>
      </c>
      <c r="F29" s="8"/>
      <c r="G29" s="26">
        <v>9.5</v>
      </c>
      <c r="H29" s="8"/>
      <c r="I29" s="26">
        <v>3.2000000000000002</v>
      </c>
      <c r="J29" s="8"/>
      <c r="K29" s="26">
        <v>-4</v>
      </c>
      <c r="L29" s="8"/>
      <c r="M29" s="26">
        <v>-5.7999999999999998</v>
      </c>
      <c r="N29" s="8"/>
      <c r="O29" s="26">
        <v>-8.4000000000000004</v>
      </c>
      <c r="P29" s="8"/>
      <c r="Q29" s="26">
        <v>-2.3999999999999999</v>
      </c>
      <c r="R29" s="8"/>
      <c r="S29" s="26">
        <v>-2.3999999999999999</v>
      </c>
      <c r="T29" s="8"/>
      <c r="U29" s="26">
        <v>3.1000000000000001</v>
      </c>
      <c r="V29" s="8"/>
      <c r="W29" s="26">
        <v>-0.10000000000000001</v>
      </c>
      <c r="X29" s="8"/>
      <c r="Y29" s="26">
        <v>-4.5999999999999996</v>
      </c>
      <c r="Z29" s="8"/>
      <c r="AA29" s="26">
        <v>-1.2</v>
      </c>
      <c r="AB29" s="8"/>
      <c r="AC29" s="8"/>
    </row>
    <row r="30" ht="12" customHeight="1">
      <c r="A30" s="8" t="s">
        <v>121</v>
      </c>
      <c r="B30" s="8" t="s">
        <v>738</v>
      </c>
      <c r="C30" s="26">
        <v>1.8</v>
      </c>
      <c r="D30" s="8"/>
      <c r="E30" s="26">
        <v>5.7999999999999998</v>
      </c>
      <c r="F30" s="8"/>
      <c r="G30" s="26">
        <v>0.59999999999999998</v>
      </c>
      <c r="H30" s="8"/>
      <c r="I30" s="26">
        <v>-0.69999999999999996</v>
      </c>
      <c r="J30" s="8"/>
      <c r="K30" s="26">
        <v>3.8999999999999999</v>
      </c>
      <c r="L30" s="8"/>
      <c r="M30" s="26">
        <v>0.80000000000000004</v>
      </c>
      <c r="N30" s="8"/>
      <c r="O30" s="26">
        <v>6.7999999999999998</v>
      </c>
      <c r="P30" s="8"/>
      <c r="Q30" s="26">
        <v>9.3000000000000007</v>
      </c>
      <c r="R30" s="8"/>
      <c r="S30" s="26">
        <v>-5.2999999999999998</v>
      </c>
      <c r="T30" s="8"/>
      <c r="U30" s="26">
        <v>-0.5</v>
      </c>
      <c r="V30" s="8"/>
      <c r="W30" s="26">
        <v>-1.1000000000000001</v>
      </c>
      <c r="X30" s="8"/>
      <c r="Y30" s="26">
        <v>-1.6000000000000001</v>
      </c>
      <c r="Z30" s="8"/>
      <c r="AA30" s="26">
        <v>5</v>
      </c>
      <c r="AB30" s="8"/>
      <c r="AC30" s="8"/>
    </row>
    <row r="31" ht="12" customHeight="1">
      <c r="A31" s="8" t="s">
        <v>123</v>
      </c>
      <c r="B31" s="8" t="s">
        <v>739</v>
      </c>
      <c r="C31" s="26">
        <v>6.9000000000000004</v>
      </c>
      <c r="D31" s="8"/>
      <c r="E31" s="26">
        <v>3</v>
      </c>
      <c r="F31" s="8"/>
      <c r="G31" s="26">
        <v>5.5</v>
      </c>
      <c r="H31" s="8"/>
      <c r="I31" s="26">
        <v>3.3999999999999999</v>
      </c>
      <c r="J31" s="8"/>
      <c r="K31" s="26">
        <v>1.3</v>
      </c>
      <c r="L31" s="8"/>
      <c r="M31" s="26">
        <v>1</v>
      </c>
      <c r="N31" s="8"/>
      <c r="O31" s="26">
        <v>-4.2999999999999998</v>
      </c>
      <c r="P31" s="8"/>
      <c r="Q31" s="26">
        <v>-4.7000000000000002</v>
      </c>
      <c r="R31" s="8"/>
      <c r="S31" s="26">
        <v>-2.7000000000000002</v>
      </c>
      <c r="T31" s="8"/>
      <c r="U31" s="26">
        <v>-2.6000000000000001</v>
      </c>
      <c r="V31" s="8"/>
      <c r="W31" s="26">
        <v>-0.69999999999999996</v>
      </c>
      <c r="X31" s="8"/>
      <c r="Y31" s="26">
        <v>0.5</v>
      </c>
      <c r="Z31" s="8"/>
      <c r="AA31" s="26">
        <v>-0.69999999999999996</v>
      </c>
      <c r="AB31" s="8"/>
      <c r="AC31" s="8"/>
    </row>
    <row r="32" ht="12" customHeight="1">
      <c r="A32" s="8" t="s">
        <v>125</v>
      </c>
      <c r="B32" s="8" t="s">
        <v>740</v>
      </c>
      <c r="C32" s="26">
        <v>10</v>
      </c>
      <c r="D32" s="8"/>
      <c r="E32" s="26">
        <v>8.4000000000000004</v>
      </c>
      <c r="F32" s="8"/>
      <c r="G32" s="26">
        <v>8.1999999999999993</v>
      </c>
      <c r="H32" s="8"/>
      <c r="I32" s="26">
        <v>7.5999999999999996</v>
      </c>
      <c r="J32" s="8"/>
      <c r="K32" s="26">
        <v>5.5999999999999996</v>
      </c>
      <c r="L32" s="8"/>
      <c r="M32" s="26">
        <v>3.2000000000000002</v>
      </c>
      <c r="N32" s="8"/>
      <c r="O32" s="26">
        <v>0.20000000000000001</v>
      </c>
      <c r="P32" s="8"/>
      <c r="Q32" s="26">
        <v>-1.5</v>
      </c>
      <c r="R32" s="8"/>
      <c r="S32" s="26">
        <v>-11</v>
      </c>
      <c r="T32" s="8"/>
      <c r="U32" s="26">
        <v>-3.2000000000000002</v>
      </c>
      <c r="V32" s="8"/>
      <c r="W32" s="26">
        <v>-4.0999999999999996</v>
      </c>
      <c r="X32" s="8"/>
      <c r="Y32" s="26">
        <v>0</v>
      </c>
      <c r="Z32" s="8"/>
      <c r="AA32" s="26">
        <v>-2.7999999999999998</v>
      </c>
      <c r="AB32" s="8"/>
      <c r="AC32" s="8"/>
    </row>
    <row r="33" ht="12" customHeight="1">
      <c r="A33" s="8" t="s">
        <v>127</v>
      </c>
      <c r="B33" s="8" t="s">
        <v>741</v>
      </c>
      <c r="C33" s="26">
        <v>7.9000000000000004</v>
      </c>
      <c r="D33" s="8"/>
      <c r="E33" s="26">
        <v>7.4000000000000004</v>
      </c>
      <c r="F33" s="8"/>
      <c r="G33" s="26">
        <v>7.7999999999999998</v>
      </c>
      <c r="H33" s="8"/>
      <c r="I33" s="26">
        <v>5.9000000000000004</v>
      </c>
      <c r="J33" s="8"/>
      <c r="K33" s="26">
        <v>3.7999999999999998</v>
      </c>
      <c r="L33" s="8"/>
      <c r="M33" s="26">
        <v>4.4000000000000004</v>
      </c>
      <c r="N33" s="8"/>
      <c r="O33" s="26">
        <v>-3.5</v>
      </c>
      <c r="P33" s="8"/>
      <c r="Q33" s="26">
        <v>-4.2000000000000002</v>
      </c>
      <c r="R33" s="8"/>
      <c r="S33" s="26">
        <v>-2.7999999999999998</v>
      </c>
      <c r="T33" s="8"/>
      <c r="U33" s="26">
        <v>-4.7999999999999998</v>
      </c>
      <c r="V33" s="8"/>
      <c r="W33" s="26">
        <v>-0.59999999999999998</v>
      </c>
      <c r="X33" s="8"/>
      <c r="Y33" s="26">
        <v>0</v>
      </c>
      <c r="Z33" s="8"/>
      <c r="AA33" s="26">
        <v>-2.7000000000000002</v>
      </c>
      <c r="AB33" s="8"/>
      <c r="AC33" s="8"/>
    </row>
    <row r="34" ht="12" customHeight="1">
      <c r="A34" s="8" t="s">
        <v>129</v>
      </c>
      <c r="B34" s="8" t="s">
        <v>742</v>
      </c>
      <c r="C34" s="26">
        <v>14.6</v>
      </c>
      <c r="D34" s="8"/>
      <c r="E34" s="26">
        <v>14.199999999999999</v>
      </c>
      <c r="F34" s="8"/>
      <c r="G34" s="26">
        <v>15.4</v>
      </c>
      <c r="H34" s="8"/>
      <c r="I34" s="26">
        <v>8.3000000000000007</v>
      </c>
      <c r="J34" s="8"/>
      <c r="K34" s="26">
        <v>3.7000000000000002</v>
      </c>
      <c r="L34" s="8"/>
      <c r="M34" s="26">
        <v>1.7</v>
      </c>
      <c r="N34" s="8"/>
      <c r="O34" s="26">
        <v>-0.90000000000000002</v>
      </c>
      <c r="P34" s="8"/>
      <c r="Q34" s="26">
        <v>1.8999999999999999</v>
      </c>
      <c r="R34" s="8"/>
      <c r="S34" s="26">
        <v>1.2</v>
      </c>
      <c r="T34" s="8"/>
      <c r="U34" s="26">
        <v>-0.59999999999999998</v>
      </c>
      <c r="V34" s="8"/>
      <c r="W34" s="26">
        <v>1.1000000000000001</v>
      </c>
      <c r="X34" s="8"/>
      <c r="Y34" s="26">
        <v>-0.59999999999999998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743</v>
      </c>
      <c r="C35" s="26">
        <v>4.9000000000000004</v>
      </c>
      <c r="D35" s="8"/>
      <c r="E35" s="26">
        <v>4.5999999999999996</v>
      </c>
      <c r="F35" s="8"/>
      <c r="G35" s="26">
        <v>4.5999999999999996</v>
      </c>
      <c r="H35" s="8"/>
      <c r="I35" s="26">
        <v>-1.3999999999999999</v>
      </c>
      <c r="J35" s="8"/>
      <c r="K35" s="26">
        <v>-1.1000000000000001</v>
      </c>
      <c r="L35" s="8"/>
      <c r="M35" s="26">
        <v>0.10000000000000001</v>
      </c>
      <c r="N35" s="8"/>
      <c r="O35" s="26">
        <v>-1</v>
      </c>
      <c r="P35" s="8"/>
      <c r="Q35" s="26">
        <v>10.800000000000001</v>
      </c>
      <c r="R35" s="8"/>
      <c r="S35" s="26">
        <v>7.4000000000000004</v>
      </c>
      <c r="T35" s="8"/>
      <c r="U35" s="26">
        <v>6</v>
      </c>
      <c r="V35" s="8"/>
      <c r="W35" s="26">
        <v>6</v>
      </c>
      <c r="X35" s="8"/>
      <c r="Y35" s="26">
        <v>-1</v>
      </c>
      <c r="Z35" s="8"/>
      <c r="AA35" s="26">
        <v>-0.59999999999999998</v>
      </c>
      <c r="AB35" s="8"/>
      <c r="AC35" s="8"/>
    </row>
    <row r="36" ht="12" customHeight="1">
      <c r="A36" s="8" t="s">
        <v>133</v>
      </c>
      <c r="B36" s="8" t="s">
        <v>744</v>
      </c>
      <c r="C36" s="26">
        <v>5</v>
      </c>
      <c r="D36" s="8"/>
      <c r="E36" s="26">
        <v>3.7000000000000002</v>
      </c>
      <c r="F36" s="8"/>
      <c r="G36" s="26">
        <v>4.9000000000000004</v>
      </c>
      <c r="H36" s="8"/>
      <c r="I36" s="26">
        <v>-14.1</v>
      </c>
      <c r="J36" s="8"/>
      <c r="K36" s="26">
        <v>-15</v>
      </c>
      <c r="L36" s="8"/>
      <c r="M36" s="26">
        <v>-15.699999999999999</v>
      </c>
      <c r="N36" s="8"/>
      <c r="O36" s="26">
        <v>-16.600000000000001</v>
      </c>
      <c r="P36" s="8"/>
      <c r="Q36" s="26">
        <v>22.399999999999999</v>
      </c>
      <c r="R36" s="8"/>
      <c r="S36" s="26">
        <v>14.199999999999999</v>
      </c>
      <c r="T36" s="8"/>
      <c r="U36" s="26">
        <v>14.699999999999999</v>
      </c>
      <c r="V36" s="8"/>
      <c r="W36" s="26">
        <v>14</v>
      </c>
      <c r="X36" s="8"/>
      <c r="Y36" s="26">
        <v>-10</v>
      </c>
      <c r="Z36" s="8"/>
      <c r="AA36" s="26">
        <v>-7.0999999999999996</v>
      </c>
      <c r="AB36" s="8"/>
      <c r="AC36" s="8"/>
    </row>
    <row r="37" ht="12" customHeight="1">
      <c r="A37" s="8" t="s">
        <v>135</v>
      </c>
      <c r="B37" s="8" t="s">
        <v>745</v>
      </c>
      <c r="C37" s="26">
        <v>4.9000000000000004</v>
      </c>
      <c r="D37" s="8"/>
      <c r="E37" s="26">
        <v>4.9000000000000004</v>
      </c>
      <c r="F37" s="8"/>
      <c r="G37" s="26">
        <v>4.4000000000000004</v>
      </c>
      <c r="H37" s="8"/>
      <c r="I37" s="26">
        <v>4.4000000000000004</v>
      </c>
      <c r="J37" s="8"/>
      <c r="K37" s="26">
        <v>5.5</v>
      </c>
      <c r="L37" s="8"/>
      <c r="M37" s="26">
        <v>7.2999999999999998</v>
      </c>
      <c r="N37" s="8"/>
      <c r="O37" s="26">
        <v>6.2000000000000002</v>
      </c>
      <c r="P37" s="8"/>
      <c r="Q37" s="26">
        <v>6.2999999999999998</v>
      </c>
      <c r="R37" s="8"/>
      <c r="S37" s="26">
        <v>4.7999999999999998</v>
      </c>
      <c r="T37" s="8"/>
      <c r="U37" s="26">
        <v>3</v>
      </c>
      <c r="V37" s="8"/>
      <c r="W37" s="26">
        <v>3.2000000000000002</v>
      </c>
      <c r="X37" s="8"/>
      <c r="Y37" s="26">
        <v>3.8999999999999999</v>
      </c>
      <c r="Z37" s="8"/>
      <c r="AA37" s="26">
        <v>3.6000000000000001</v>
      </c>
      <c r="AB37" s="8"/>
      <c r="AC37" s="8"/>
    </row>
    <row r="38" ht="12" customHeight="1">
      <c r="A38" s="8" t="s">
        <v>137</v>
      </c>
      <c r="B38" s="8" t="s">
        <v>746</v>
      </c>
      <c r="C38" s="26">
        <v>9.4000000000000004</v>
      </c>
      <c r="D38" s="8"/>
      <c r="E38" s="26">
        <v>11.6</v>
      </c>
      <c r="F38" s="8"/>
      <c r="G38" s="26">
        <v>6.5999999999999996</v>
      </c>
      <c r="H38" s="8"/>
      <c r="I38" s="26">
        <v>10.9</v>
      </c>
      <c r="J38" s="8"/>
      <c r="K38" s="26">
        <v>15.9</v>
      </c>
      <c r="L38" s="8"/>
      <c r="M38" s="26">
        <v>14.4</v>
      </c>
      <c r="N38" s="8"/>
      <c r="O38" s="26">
        <v>13</v>
      </c>
      <c r="P38" s="8"/>
      <c r="Q38" s="26">
        <v>16.300000000000001</v>
      </c>
      <c r="R38" s="8"/>
      <c r="S38" s="26">
        <v>11.1</v>
      </c>
      <c r="T38" s="8"/>
      <c r="U38" s="26">
        <v>10.4</v>
      </c>
      <c r="V38" s="8"/>
      <c r="W38" s="26">
        <v>10.300000000000001</v>
      </c>
      <c r="X38" s="8"/>
      <c r="Y38" s="26">
        <v>4.2000000000000002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747</v>
      </c>
      <c r="C39" s="26">
        <v>6.2999999999999998</v>
      </c>
      <c r="D39" s="8"/>
      <c r="E39" s="26">
        <v>-0.69999999999999996</v>
      </c>
      <c r="F39" s="8"/>
      <c r="G39" s="26">
        <v>-5.7999999999999998</v>
      </c>
      <c r="H39" s="8"/>
      <c r="I39" s="26">
        <v>4.0999999999999996</v>
      </c>
      <c r="J39" s="8"/>
      <c r="K39" s="26">
        <v>5.9000000000000004</v>
      </c>
      <c r="L39" s="8"/>
      <c r="M39" s="26">
        <v>6.2000000000000002</v>
      </c>
      <c r="N39" s="8"/>
      <c r="O39" s="26">
        <v>8.6999999999999993</v>
      </c>
      <c r="P39" s="8"/>
      <c r="Q39" s="26">
        <v>-3.6000000000000001</v>
      </c>
      <c r="R39" s="8"/>
      <c r="S39" s="26">
        <v>-3.2999999999999998</v>
      </c>
      <c r="T39" s="8"/>
      <c r="U39" s="26">
        <v>0.90000000000000002</v>
      </c>
      <c r="V39" s="8"/>
      <c r="W39" s="26">
        <v>-1.3</v>
      </c>
      <c r="X39" s="8"/>
      <c r="Y39" s="26">
        <v>1.6000000000000001</v>
      </c>
      <c r="Z39" s="8"/>
      <c r="AA39" s="26">
        <v>2.7000000000000002</v>
      </c>
      <c r="AB39" s="8"/>
      <c r="AC39" s="8"/>
    </row>
    <row r="40" ht="12" customHeight="1">
      <c r="A40" s="8" t="s">
        <v>141</v>
      </c>
      <c r="B40" s="8" t="s">
        <v>748</v>
      </c>
      <c r="C40" s="26">
        <v>1.5</v>
      </c>
      <c r="D40" s="8"/>
      <c r="E40" s="26">
        <v>-1.2</v>
      </c>
      <c r="F40" s="8"/>
      <c r="G40" s="26">
        <v>0.80000000000000004</v>
      </c>
      <c r="H40" s="8"/>
      <c r="I40" s="26">
        <v>3.8999999999999999</v>
      </c>
      <c r="J40" s="8"/>
      <c r="K40" s="26">
        <v>1</v>
      </c>
      <c r="L40" s="8"/>
      <c r="M40" s="26">
        <v>0.10000000000000001</v>
      </c>
      <c r="N40" s="8"/>
      <c r="O40" s="26">
        <v>-5.5999999999999996</v>
      </c>
      <c r="P40" s="8"/>
      <c r="Q40" s="26">
        <v>-9.5999999999999996</v>
      </c>
      <c r="R40" s="8"/>
      <c r="S40" s="26">
        <v>-3.1000000000000001</v>
      </c>
      <c r="T40" s="8"/>
      <c r="U40" s="26">
        <v>-3.1000000000000001</v>
      </c>
      <c r="V40" s="8"/>
      <c r="W40" s="26">
        <v>2.7999999999999998</v>
      </c>
      <c r="X40" s="8"/>
      <c r="Y40" s="26">
        <v>5.4000000000000004</v>
      </c>
      <c r="Z40" s="8"/>
      <c r="AA40" s="26">
        <v>1.3</v>
      </c>
      <c r="AB40" s="8"/>
      <c r="AC40" s="8"/>
    </row>
    <row r="41" ht="12" customHeight="1">
      <c r="A41" s="8" t="s">
        <v>143</v>
      </c>
      <c r="B41" s="8" t="s">
        <v>749</v>
      </c>
      <c r="C41" s="26">
        <v>3.8999999999999999</v>
      </c>
      <c r="D41" s="8"/>
      <c r="E41" s="26">
        <v>-4.2000000000000002</v>
      </c>
      <c r="F41" s="8"/>
      <c r="G41" s="26">
        <v>-9.8000000000000007</v>
      </c>
      <c r="H41" s="8"/>
      <c r="I41" s="26">
        <v>4</v>
      </c>
      <c r="J41" s="8"/>
      <c r="K41" s="26">
        <v>9.3000000000000007</v>
      </c>
      <c r="L41" s="8"/>
      <c r="M41" s="26">
        <v>9.8000000000000007</v>
      </c>
      <c r="N41" s="8"/>
      <c r="O41" s="26">
        <v>13.1</v>
      </c>
      <c r="P41" s="8"/>
      <c r="Q41" s="26">
        <v>-2.7999999999999998</v>
      </c>
      <c r="R41" s="8"/>
      <c r="S41" s="26">
        <v>-4.2000000000000002</v>
      </c>
      <c r="T41" s="8"/>
      <c r="U41" s="26">
        <v>0.29999999999999999</v>
      </c>
      <c r="V41" s="8"/>
      <c r="W41" s="26">
        <v>-3.5</v>
      </c>
      <c r="X41" s="8"/>
      <c r="Y41" s="26">
        <v>0.80000000000000004</v>
      </c>
      <c r="Z41" s="8"/>
      <c r="AA41" s="26">
        <v>3.5</v>
      </c>
      <c r="AB41" s="8"/>
      <c r="AC41" s="8"/>
    </row>
    <row r="42" ht="12" customHeight="1">
      <c r="A42" s="8" t="s">
        <v>145</v>
      </c>
      <c r="B42" s="8" t="s">
        <v>750</v>
      </c>
      <c r="C42" s="26">
        <v>2.2999999999999998</v>
      </c>
      <c r="D42" s="8"/>
      <c r="E42" s="26">
        <v>-8.4000000000000004</v>
      </c>
      <c r="F42" s="8"/>
      <c r="G42" s="26">
        <v>-15.1</v>
      </c>
      <c r="H42" s="8"/>
      <c r="I42" s="26">
        <v>3.7999999999999998</v>
      </c>
      <c r="J42" s="8"/>
      <c r="K42" s="26">
        <v>11.800000000000001</v>
      </c>
      <c r="L42" s="8"/>
      <c r="M42" s="26">
        <v>12.1</v>
      </c>
      <c r="N42" s="8"/>
      <c r="O42" s="26">
        <v>14.6</v>
      </c>
      <c r="P42" s="8"/>
      <c r="Q42" s="26">
        <v>-7.7000000000000002</v>
      </c>
      <c r="R42" s="8"/>
      <c r="S42" s="26">
        <v>-9</v>
      </c>
      <c r="T42" s="8"/>
      <c r="U42" s="26">
        <v>-2.5</v>
      </c>
      <c r="V42" s="8"/>
      <c r="W42" s="26">
        <v>-7.7000000000000002</v>
      </c>
      <c r="X42" s="8"/>
      <c r="Y42" s="26">
        <v>-1.6000000000000001</v>
      </c>
      <c r="Z42" s="8"/>
      <c r="AA42" s="26">
        <v>2.2000000000000002</v>
      </c>
      <c r="AB42" s="8"/>
      <c r="AC42" s="8"/>
    </row>
    <row r="43" ht="12" customHeight="1">
      <c r="A43" s="8" t="s">
        <v>147</v>
      </c>
      <c r="B43" s="8" t="s">
        <v>751</v>
      </c>
      <c r="C43" s="26">
        <v>4.7999999999999998</v>
      </c>
      <c r="D43" s="8"/>
      <c r="E43" s="26">
        <v>8.5999999999999996</v>
      </c>
      <c r="F43" s="8"/>
      <c r="G43" s="26">
        <v>14</v>
      </c>
      <c r="H43" s="8"/>
      <c r="I43" s="26">
        <v>5.5</v>
      </c>
      <c r="J43" s="8"/>
      <c r="K43" s="26">
        <v>-5.7999999999999998</v>
      </c>
      <c r="L43" s="8"/>
      <c r="M43" s="26">
        <v>-5.4000000000000004</v>
      </c>
      <c r="N43" s="8"/>
      <c r="O43" s="26">
        <v>-1.2</v>
      </c>
      <c r="P43" s="8"/>
      <c r="Q43" s="26">
        <v>-3.7000000000000002</v>
      </c>
      <c r="R43" s="8"/>
      <c r="S43" s="26">
        <v>0.29999999999999999</v>
      </c>
      <c r="T43" s="8"/>
      <c r="U43" s="26">
        <v>4.2999999999999998</v>
      </c>
      <c r="V43" s="8"/>
      <c r="W43" s="26">
        <v>2.8999999999999999</v>
      </c>
      <c r="X43" s="8"/>
      <c r="Y43" s="26">
        <v>-0.20000000000000001</v>
      </c>
      <c r="Z43" s="8"/>
      <c r="AA43" s="26">
        <v>-1.5</v>
      </c>
      <c r="AB43" s="8"/>
      <c r="AC43" s="8"/>
    </row>
    <row r="44" ht="12" customHeight="1">
      <c r="A44" s="11" t="s">
        <v>149</v>
      </c>
      <c r="B44" s="8" t="s">
        <v>752</v>
      </c>
      <c r="C44" s="26">
        <v>2.2999999999999998</v>
      </c>
      <c r="D44" s="8"/>
      <c r="E44" s="26">
        <v>2.2999999999999998</v>
      </c>
      <c r="F44" s="8"/>
      <c r="G44" s="26">
        <v>3.8999999999999999</v>
      </c>
      <c r="H44" s="8"/>
      <c r="I44" s="26">
        <v>3.3999999999999999</v>
      </c>
      <c r="J44" s="8"/>
      <c r="K44" s="26">
        <v>4.5</v>
      </c>
      <c r="L44" s="8"/>
      <c r="M44" s="26">
        <v>5.0999999999999996</v>
      </c>
      <c r="N44" s="8"/>
      <c r="O44" s="26">
        <v>5.2999999999999998</v>
      </c>
      <c r="P44" s="8"/>
      <c r="Q44" s="26">
        <v>4.2000000000000002</v>
      </c>
      <c r="R44" s="8"/>
      <c r="S44" s="26">
        <v>5.2999999999999998</v>
      </c>
      <c r="T44" s="8"/>
      <c r="U44" s="26">
        <v>5.2999999999999998</v>
      </c>
      <c r="V44" s="8"/>
      <c r="W44" s="26">
        <v>5.0999999999999996</v>
      </c>
      <c r="X44" s="8"/>
      <c r="Y44" s="26">
        <v>5</v>
      </c>
      <c r="Z44" s="8"/>
      <c r="AA44" s="26">
        <v>5.9000000000000004</v>
      </c>
      <c r="AB44" s="8"/>
      <c r="AC44" s="8"/>
    </row>
    <row r="45" ht="12" customHeight="1">
      <c r="A45" s="8" t="s">
        <v>151</v>
      </c>
      <c r="B45" s="8" t="s">
        <v>753</v>
      </c>
      <c r="C45" s="26">
        <v>11.9</v>
      </c>
      <c r="D45" s="8"/>
      <c r="E45" s="26">
        <v>11.699999999999999</v>
      </c>
      <c r="F45" s="8"/>
      <c r="G45" s="26">
        <v>7.5999999999999996</v>
      </c>
      <c r="H45" s="8"/>
      <c r="I45" s="26">
        <v>8.5</v>
      </c>
      <c r="J45" s="8"/>
      <c r="K45" s="26">
        <v>8.1999999999999993</v>
      </c>
      <c r="L45" s="8"/>
      <c r="M45" s="26">
        <v>5.4000000000000004</v>
      </c>
      <c r="N45" s="8"/>
      <c r="O45" s="26">
        <v>5.9000000000000004</v>
      </c>
      <c r="P45" s="8"/>
      <c r="Q45" s="26">
        <v>1.2</v>
      </c>
      <c r="R45" s="8"/>
      <c r="S45" s="26">
        <v>-0.10000000000000001</v>
      </c>
      <c r="T45" s="8"/>
      <c r="U45" s="26">
        <v>1.3</v>
      </c>
      <c r="V45" s="8"/>
      <c r="W45" s="26">
        <v>2.7999999999999998</v>
      </c>
      <c r="X45" s="8"/>
      <c r="Y45" s="26">
        <v>8</v>
      </c>
      <c r="Z45" s="8"/>
      <c r="AA45" s="26">
        <v>8.4000000000000004</v>
      </c>
      <c r="AB45" s="8"/>
      <c r="AC45" s="8"/>
    </row>
    <row r="46" ht="12" customHeight="1">
      <c r="A46" s="8" t="s">
        <v>153</v>
      </c>
      <c r="B46" s="8" t="s">
        <v>754</v>
      </c>
      <c r="C46" s="26">
        <v>-15.5</v>
      </c>
      <c r="D46" s="8"/>
      <c r="E46" s="26">
        <v>-10.300000000000001</v>
      </c>
      <c r="F46" s="8"/>
      <c r="G46" s="26">
        <v>-25</v>
      </c>
      <c r="H46" s="8"/>
      <c r="I46" s="26">
        <v>-14.6</v>
      </c>
      <c r="J46" s="8"/>
      <c r="K46" s="26">
        <v>-0.5</v>
      </c>
      <c r="L46" s="8"/>
      <c r="M46" s="26">
        <v>-5</v>
      </c>
      <c r="N46" s="8"/>
      <c r="O46" s="26">
        <v>14.1</v>
      </c>
      <c r="P46" s="8"/>
      <c r="Q46" s="26">
        <v>3.3999999999999999</v>
      </c>
      <c r="R46" s="8"/>
      <c r="S46" s="26">
        <v>-11</v>
      </c>
      <c r="T46" s="8"/>
      <c r="U46" s="26">
        <v>-13.1</v>
      </c>
      <c r="V46" s="8"/>
      <c r="W46" s="26">
        <v>-25.199999999999999</v>
      </c>
      <c r="X46" s="8"/>
      <c r="Y46" s="26">
        <v>-15.4</v>
      </c>
      <c r="Z46" s="8"/>
      <c r="AA46" s="26">
        <v>-5.5</v>
      </c>
      <c r="AB46" s="8"/>
      <c r="AC46" s="8"/>
    </row>
    <row r="47" ht="12" customHeight="1">
      <c r="A47" s="8" t="s">
        <v>155</v>
      </c>
      <c r="B47" s="8" t="s">
        <v>755</v>
      </c>
      <c r="C47" s="26">
        <v>2.1000000000000001</v>
      </c>
      <c r="D47" s="8"/>
      <c r="E47" s="26">
        <v>2.1000000000000001</v>
      </c>
      <c r="F47" s="8"/>
      <c r="G47" s="26">
        <v>4.0999999999999996</v>
      </c>
      <c r="H47" s="8"/>
      <c r="I47" s="26">
        <v>3.3999999999999999</v>
      </c>
      <c r="J47" s="8"/>
      <c r="K47" s="26">
        <v>4.5999999999999996</v>
      </c>
      <c r="L47" s="8"/>
      <c r="M47" s="26">
        <v>5.2999999999999998</v>
      </c>
      <c r="N47" s="8"/>
      <c r="O47" s="26">
        <v>5.0999999999999996</v>
      </c>
      <c r="P47" s="8"/>
      <c r="Q47" s="26">
        <v>4.2000000000000002</v>
      </c>
      <c r="R47" s="8"/>
      <c r="S47" s="26">
        <v>5.5</v>
      </c>
      <c r="T47" s="8"/>
      <c r="U47" s="26">
        <v>6.2999999999999998</v>
      </c>
      <c r="V47" s="8"/>
      <c r="W47" s="26">
        <v>6.9000000000000004</v>
      </c>
      <c r="X47" s="8"/>
      <c r="Y47" s="26">
        <v>6.9000000000000004</v>
      </c>
      <c r="Z47" s="8"/>
      <c r="AA47" s="26">
        <v>7</v>
      </c>
      <c r="AB47" s="8"/>
      <c r="AC47" s="8"/>
    </row>
    <row r="48" ht="12" customHeight="1">
      <c r="A48" s="11" t="s">
        <v>157</v>
      </c>
      <c r="B48" s="8" t="s">
        <v>756</v>
      </c>
      <c r="C48" s="26">
        <v>4.0999999999999996</v>
      </c>
      <c r="D48" s="8"/>
      <c r="E48" s="26">
        <v>5.4000000000000004</v>
      </c>
      <c r="F48" s="8"/>
      <c r="G48" s="26">
        <v>5.5</v>
      </c>
      <c r="H48" s="8"/>
      <c r="I48" s="26">
        <v>6</v>
      </c>
      <c r="J48" s="8"/>
      <c r="K48" s="26">
        <v>4.9000000000000004</v>
      </c>
      <c r="L48" s="8"/>
      <c r="M48" s="26">
        <v>6.2000000000000002</v>
      </c>
      <c r="N48" s="8"/>
      <c r="O48" s="26">
        <v>5</v>
      </c>
      <c r="P48" s="8"/>
      <c r="Q48" s="26">
        <v>3.7000000000000002</v>
      </c>
      <c r="R48" s="8"/>
      <c r="S48" s="26">
        <v>3.6000000000000001</v>
      </c>
      <c r="T48" s="8"/>
      <c r="U48" s="26">
        <v>1</v>
      </c>
      <c r="V48" s="8"/>
      <c r="W48" s="26">
        <v>1.8999999999999999</v>
      </c>
      <c r="X48" s="8"/>
      <c r="Y48" s="26">
        <v>2.6000000000000001</v>
      </c>
      <c r="Z48" s="8"/>
      <c r="AA48" s="26">
        <v>1.7</v>
      </c>
      <c r="AB48" s="8"/>
      <c r="AC48" s="8"/>
    </row>
    <row r="49" ht="12" customHeight="1">
      <c r="A49" s="8" t="s">
        <v>159</v>
      </c>
      <c r="B49" s="8" t="s">
        <v>757</v>
      </c>
      <c r="C49" s="26">
        <v>-8.5999999999999996</v>
      </c>
      <c r="D49" s="8"/>
      <c r="E49" s="26">
        <v>-5.4000000000000004</v>
      </c>
      <c r="F49" s="8"/>
      <c r="G49" s="26">
        <v>-11.6</v>
      </c>
      <c r="H49" s="8"/>
      <c r="I49" s="26">
        <v>-13.199999999999999</v>
      </c>
      <c r="J49" s="8"/>
      <c r="K49" s="26">
        <v>-12.9</v>
      </c>
      <c r="L49" s="8"/>
      <c r="M49" s="26">
        <v>-16.800000000000001</v>
      </c>
      <c r="N49" s="8"/>
      <c r="O49" s="26">
        <v>-10.800000000000001</v>
      </c>
      <c r="P49" s="8"/>
      <c r="Q49" s="26">
        <v>-10.6</v>
      </c>
      <c r="R49" s="8"/>
      <c r="S49" s="26">
        <v>-9.5999999999999996</v>
      </c>
      <c r="T49" s="8"/>
      <c r="U49" s="26">
        <v>-5.7999999999999998</v>
      </c>
      <c r="V49" s="8"/>
      <c r="W49" s="26">
        <v>-6.4000000000000004</v>
      </c>
      <c r="X49" s="8"/>
      <c r="Y49" s="26">
        <v>-8.8000000000000007</v>
      </c>
      <c r="Z49" s="8"/>
      <c r="AA49" s="26">
        <v>-10.699999999999999</v>
      </c>
      <c r="AB49" s="8"/>
      <c r="AC49" s="8"/>
    </row>
    <row r="50" ht="12" customHeight="1">
      <c r="A50" s="8" t="s">
        <v>161</v>
      </c>
      <c r="B50" s="8" t="s">
        <v>758</v>
      </c>
      <c r="C50" s="26">
        <v>7.9000000000000004</v>
      </c>
      <c r="D50" s="8"/>
      <c r="E50" s="26">
        <v>7.5999999999999996</v>
      </c>
      <c r="F50" s="8"/>
      <c r="G50" s="26">
        <v>6.9000000000000004</v>
      </c>
      <c r="H50" s="8"/>
      <c r="I50" s="26">
        <v>2.3999999999999999</v>
      </c>
      <c r="J50" s="8"/>
      <c r="K50" s="26">
        <v>-1.8999999999999999</v>
      </c>
      <c r="L50" s="8"/>
      <c r="M50" s="26">
        <v>-1.5</v>
      </c>
      <c r="N50" s="8"/>
      <c r="O50" s="26">
        <v>0.80000000000000004</v>
      </c>
      <c r="P50" s="8"/>
      <c r="Q50" s="26">
        <v>1.2</v>
      </c>
      <c r="R50" s="8"/>
      <c r="S50" s="26">
        <v>1.5</v>
      </c>
      <c r="T50" s="8"/>
      <c r="U50" s="26">
        <v>1.1000000000000001</v>
      </c>
      <c r="V50" s="8"/>
      <c r="W50" s="26">
        <v>0.29999999999999999</v>
      </c>
      <c r="X50" s="8"/>
      <c r="Y50" s="26">
        <v>0.69999999999999996</v>
      </c>
      <c r="Z50" s="8"/>
      <c r="AA50" s="26">
        <v>2.8999999999999999</v>
      </c>
      <c r="AB50" s="8"/>
      <c r="AC50" s="8"/>
    </row>
    <row r="51" ht="12" customHeight="1">
      <c r="A51" s="8" t="s">
        <v>163</v>
      </c>
      <c r="B51" s="8" t="s">
        <v>759</v>
      </c>
      <c r="C51" s="26">
        <v>8.5999999999999996</v>
      </c>
      <c r="D51" s="8"/>
      <c r="E51" s="26">
        <v>9.1999999999999993</v>
      </c>
      <c r="F51" s="8"/>
      <c r="G51" s="26">
        <v>12.199999999999999</v>
      </c>
      <c r="H51" s="8"/>
      <c r="I51" s="26">
        <v>9.4000000000000004</v>
      </c>
      <c r="J51" s="8"/>
      <c r="K51" s="26">
        <v>7.5</v>
      </c>
      <c r="L51" s="8"/>
      <c r="M51" s="26">
        <v>6.7000000000000002</v>
      </c>
      <c r="N51" s="8"/>
      <c r="O51" s="26">
        <v>-0.29999999999999999</v>
      </c>
      <c r="P51" s="8"/>
      <c r="Q51" s="26">
        <v>0.40000000000000002</v>
      </c>
      <c r="R51" s="8"/>
      <c r="S51" s="26">
        <v>0.40000000000000002</v>
      </c>
      <c r="T51" s="8"/>
      <c r="U51" s="26">
        <v>-0.40000000000000002</v>
      </c>
      <c r="V51" s="8"/>
      <c r="W51" s="26">
        <v>-0.10000000000000001</v>
      </c>
      <c r="X51" s="8"/>
      <c r="Y51" s="26">
        <v>-0.20000000000000001</v>
      </c>
      <c r="Z51" s="8"/>
      <c r="AA51" s="26">
        <v>-0.5</v>
      </c>
      <c r="AB51" s="8"/>
      <c r="AC51" s="8"/>
    </row>
    <row r="52" ht="12" customHeight="1">
      <c r="A52" s="8" t="s">
        <v>165</v>
      </c>
      <c r="B52" s="8" t="s">
        <v>760</v>
      </c>
      <c r="C52" s="26">
        <v>1.6000000000000001</v>
      </c>
      <c r="D52" s="8"/>
      <c r="E52" s="26">
        <v>2.7999999999999998</v>
      </c>
      <c r="F52" s="8"/>
      <c r="G52" s="26">
        <v>2.1000000000000001</v>
      </c>
      <c r="H52" s="8"/>
      <c r="I52" s="26">
        <v>5.5</v>
      </c>
      <c r="J52" s="8"/>
      <c r="K52" s="26">
        <v>5.4000000000000004</v>
      </c>
      <c r="L52" s="8"/>
      <c r="M52" s="26">
        <v>8.1999999999999993</v>
      </c>
      <c r="N52" s="8"/>
      <c r="O52" s="26">
        <v>9.9000000000000004</v>
      </c>
      <c r="P52" s="8"/>
      <c r="Q52" s="26">
        <v>7.5</v>
      </c>
      <c r="R52" s="8"/>
      <c r="S52" s="26">
        <v>6.4000000000000004</v>
      </c>
      <c r="T52" s="8"/>
      <c r="U52" s="26">
        <v>2.7000000000000002</v>
      </c>
      <c r="V52" s="8"/>
      <c r="W52" s="26">
        <v>7.5</v>
      </c>
      <c r="X52" s="8"/>
      <c r="Y52" s="26">
        <v>9.1999999999999993</v>
      </c>
      <c r="Z52" s="8"/>
      <c r="AA52" s="26">
        <v>7.4000000000000004</v>
      </c>
      <c r="AB52" s="8"/>
      <c r="AC52" s="8"/>
    </row>
    <row r="53" ht="12" customHeight="1">
      <c r="A53" s="8" t="s">
        <v>167</v>
      </c>
      <c r="B53" s="8" t="s">
        <v>761</v>
      </c>
      <c r="C53" s="26">
        <v>6.4000000000000004</v>
      </c>
      <c r="D53" s="8"/>
      <c r="E53" s="26">
        <v>7.7000000000000002</v>
      </c>
      <c r="F53" s="8"/>
      <c r="G53" s="26">
        <v>6.9000000000000004</v>
      </c>
      <c r="H53" s="8"/>
      <c r="I53" s="26">
        <v>8.6999999999999993</v>
      </c>
      <c r="J53" s="8"/>
      <c r="K53" s="26">
        <v>6.2999999999999998</v>
      </c>
      <c r="L53" s="8"/>
      <c r="M53" s="26">
        <v>6.7999999999999998</v>
      </c>
      <c r="N53" s="8"/>
      <c r="O53" s="26">
        <v>6.5999999999999996</v>
      </c>
      <c r="P53" s="8"/>
      <c r="Q53" s="26">
        <v>5.0999999999999996</v>
      </c>
      <c r="R53" s="8"/>
      <c r="S53" s="26">
        <v>5.7999999999999998</v>
      </c>
      <c r="T53" s="8"/>
      <c r="U53" s="26">
        <v>4.0999999999999996</v>
      </c>
      <c r="V53" s="8"/>
      <c r="W53" s="26">
        <v>1.6000000000000001</v>
      </c>
      <c r="X53" s="8"/>
      <c r="Y53" s="26">
        <v>2.3999999999999999</v>
      </c>
      <c r="Z53" s="8"/>
      <c r="AA53" s="26">
        <v>2</v>
      </c>
      <c r="AB53" s="8"/>
      <c r="AC53" s="8"/>
    </row>
    <row r="54" ht="12" customHeight="1">
      <c r="A54" s="8" t="s">
        <v>169</v>
      </c>
      <c r="B54" s="8" t="s">
        <v>762</v>
      </c>
      <c r="C54" s="26">
        <v>12.9</v>
      </c>
      <c r="D54" s="8"/>
      <c r="E54" s="26">
        <v>12.699999999999999</v>
      </c>
      <c r="F54" s="8"/>
      <c r="G54" s="26">
        <v>12.199999999999999</v>
      </c>
      <c r="H54" s="8"/>
      <c r="I54" s="26">
        <v>8.1999999999999993</v>
      </c>
      <c r="J54" s="8"/>
      <c r="K54" s="26">
        <v>5.7999999999999998</v>
      </c>
      <c r="L54" s="8"/>
      <c r="M54" s="26">
        <v>10.300000000000001</v>
      </c>
      <c r="N54" s="8"/>
      <c r="O54" s="26">
        <v>5.2000000000000002</v>
      </c>
      <c r="P54" s="8"/>
      <c r="Q54" s="26">
        <v>2.6000000000000001</v>
      </c>
      <c r="R54" s="8"/>
      <c r="S54" s="26">
        <v>5.5</v>
      </c>
      <c r="T54" s="8"/>
      <c r="U54" s="26">
        <v>0.80000000000000004</v>
      </c>
      <c r="V54" s="8"/>
      <c r="W54" s="26">
        <v>5.2999999999999998</v>
      </c>
      <c r="X54" s="8"/>
      <c r="Y54" s="26">
        <v>6.5</v>
      </c>
      <c r="Z54" s="8"/>
      <c r="AA54" s="26">
        <v>6</v>
      </c>
      <c r="AB54" s="8"/>
      <c r="AC54" s="8"/>
    </row>
    <row r="55" ht="12" customHeight="1">
      <c r="A55" s="11" t="s">
        <v>171</v>
      </c>
      <c r="B55" s="8" t="s">
        <v>763</v>
      </c>
      <c r="C55" s="26">
        <v>2.7000000000000002</v>
      </c>
      <c r="D55" s="8"/>
      <c r="E55" s="26">
        <v>2.7000000000000002</v>
      </c>
      <c r="F55" s="8"/>
      <c r="G55" s="26">
        <v>2.7000000000000002</v>
      </c>
      <c r="H55" s="8"/>
      <c r="I55" s="26">
        <v>2.6000000000000001</v>
      </c>
      <c r="J55" s="8"/>
      <c r="K55" s="26">
        <v>2.6000000000000001</v>
      </c>
      <c r="L55" s="8"/>
      <c r="M55" s="26">
        <v>3.6000000000000001</v>
      </c>
      <c r="N55" s="8"/>
      <c r="O55" s="26">
        <v>3.6000000000000001</v>
      </c>
      <c r="P55" s="8"/>
      <c r="Q55" s="26">
        <v>-4.2000000000000002</v>
      </c>
      <c r="R55" s="8"/>
      <c r="S55" s="26">
        <v>-4.2000000000000002</v>
      </c>
      <c r="T55" s="8"/>
      <c r="U55" s="26">
        <v>-0.20000000000000001</v>
      </c>
      <c r="V55" s="8"/>
      <c r="W55" s="26">
        <v>-0.20000000000000001</v>
      </c>
      <c r="X55" s="8"/>
      <c r="Y55" s="26">
        <v>7</v>
      </c>
      <c r="Z55" s="8"/>
      <c r="AA55" s="26">
        <v>7</v>
      </c>
      <c r="AB55" s="8"/>
      <c r="AC55" s="8"/>
    </row>
    <row r="56" ht="12" customHeight="1">
      <c r="A56" s="8" t="s">
        <v>173</v>
      </c>
      <c r="B56" s="8" t="s">
        <v>764</v>
      </c>
      <c r="C56" s="26">
        <v>3.8999999999999999</v>
      </c>
      <c r="D56" s="8"/>
      <c r="E56" s="26">
        <v>3.8999999999999999</v>
      </c>
      <c r="F56" s="8"/>
      <c r="G56" s="26">
        <v>3.8999999999999999</v>
      </c>
      <c r="H56" s="8"/>
      <c r="I56" s="26">
        <v>3.5</v>
      </c>
      <c r="J56" s="8"/>
      <c r="K56" s="26">
        <v>3.5</v>
      </c>
      <c r="L56" s="8"/>
      <c r="M56" s="26">
        <v>3.5</v>
      </c>
      <c r="N56" s="8"/>
      <c r="O56" s="26">
        <v>3.5</v>
      </c>
      <c r="P56" s="8"/>
      <c r="Q56" s="26">
        <v>-20</v>
      </c>
      <c r="R56" s="8"/>
      <c r="S56" s="26">
        <v>-20</v>
      </c>
      <c r="T56" s="8"/>
      <c r="U56" s="26">
        <v>-20</v>
      </c>
      <c r="V56" s="8"/>
      <c r="W56" s="26">
        <v>-20</v>
      </c>
      <c r="X56" s="8"/>
      <c r="Y56" s="26">
        <v>2.3999999999999999</v>
      </c>
      <c r="Z56" s="8"/>
      <c r="AA56" s="26">
        <v>2.3999999999999999</v>
      </c>
      <c r="AB56" s="8"/>
      <c r="AC56" s="8"/>
    </row>
    <row r="57" ht="12" customHeight="1">
      <c r="A57" s="8" t="s">
        <v>175</v>
      </c>
      <c r="B57" s="8" t="s">
        <v>765</v>
      </c>
      <c r="C57" s="26">
        <v>2.7000000000000002</v>
      </c>
      <c r="D57" s="8"/>
      <c r="E57" s="26">
        <v>0.20000000000000001</v>
      </c>
      <c r="F57" s="8"/>
      <c r="G57" s="26">
        <v>0.20000000000000001</v>
      </c>
      <c r="H57" s="8"/>
      <c r="I57" s="26">
        <v>0.20000000000000001</v>
      </c>
      <c r="J57" s="8"/>
      <c r="K57" s="26">
        <v>0.20000000000000001</v>
      </c>
      <c r="L57" s="8"/>
      <c r="M57" s="26">
        <v>2.2999999999999998</v>
      </c>
      <c r="N57" s="8"/>
      <c r="O57" s="26">
        <v>2.2999999999999998</v>
      </c>
      <c r="P57" s="8"/>
      <c r="Q57" s="26">
        <v>2.2999999999999998</v>
      </c>
      <c r="R57" s="8"/>
      <c r="S57" s="26">
        <v>2.2999999999999998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  <c r="AC57" s="8"/>
    </row>
    <row r="58" ht="12" customHeight="1">
      <c r="A58" s="8" t="s">
        <v>177</v>
      </c>
      <c r="B58" s="8" t="s">
        <v>766</v>
      </c>
      <c r="C58" s="26">
        <v>1.5</v>
      </c>
      <c r="D58" s="8"/>
      <c r="E58" s="26">
        <v>5.0999999999999996</v>
      </c>
      <c r="F58" s="8"/>
      <c r="G58" s="26">
        <v>5.0999999999999996</v>
      </c>
      <c r="H58" s="8"/>
      <c r="I58" s="26">
        <v>5.0999999999999996</v>
      </c>
      <c r="J58" s="8"/>
      <c r="K58" s="26">
        <v>5.0999999999999996</v>
      </c>
      <c r="L58" s="8"/>
      <c r="M58" s="26">
        <v>5.4000000000000004</v>
      </c>
      <c r="N58" s="8"/>
      <c r="O58" s="26">
        <v>5.4000000000000004</v>
      </c>
      <c r="P58" s="8"/>
      <c r="Q58" s="26">
        <v>5.4000000000000004</v>
      </c>
      <c r="R58" s="8"/>
      <c r="S58" s="26">
        <v>5.4000000000000004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  <c r="AC58" s="8"/>
    </row>
    <row r="59" ht="12" customHeight="1">
      <c r="A59" s="8" t="s">
        <v>179</v>
      </c>
      <c r="B59" s="8" t="s">
        <v>767</v>
      </c>
      <c r="C59" s="26">
        <v>0.90000000000000002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4.7000000000000002</v>
      </c>
      <c r="N59" s="8"/>
      <c r="O59" s="26">
        <v>4.7000000000000002</v>
      </c>
      <c r="P59" s="8"/>
      <c r="Q59" s="26">
        <v>4.7000000000000002</v>
      </c>
      <c r="R59" s="8"/>
      <c r="S59" s="26">
        <v>4.7000000000000002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768</v>
      </c>
      <c r="C60" s="26">
        <v>4.7000000000000002</v>
      </c>
      <c r="D60" s="8"/>
      <c r="E60" s="26">
        <v>6.2999999999999998</v>
      </c>
      <c r="F60" s="8"/>
      <c r="G60" s="26">
        <v>9.0999999999999996</v>
      </c>
      <c r="H60" s="8"/>
      <c r="I60" s="26">
        <v>11.300000000000001</v>
      </c>
      <c r="J60" s="8"/>
      <c r="K60" s="26">
        <v>12.199999999999999</v>
      </c>
      <c r="L60" s="8"/>
      <c r="M60" s="26">
        <v>13.199999999999999</v>
      </c>
      <c r="N60" s="8"/>
      <c r="O60" s="26">
        <v>12.5</v>
      </c>
      <c r="P60" s="8"/>
      <c r="Q60" s="26">
        <v>11.4</v>
      </c>
      <c r="R60" s="8"/>
      <c r="S60" s="26">
        <v>10.4</v>
      </c>
      <c r="T60" s="8"/>
      <c r="U60" s="26">
        <v>7.7000000000000002</v>
      </c>
      <c r="V60" s="8"/>
      <c r="W60" s="26">
        <v>5.7999999999999998</v>
      </c>
      <c r="X60" s="8"/>
      <c r="Y60" s="26">
        <v>4.0999999999999996</v>
      </c>
      <c r="Z60" s="8"/>
      <c r="AA60" s="26">
        <v>2.2999999999999998</v>
      </c>
      <c r="AB60" s="8"/>
      <c r="AC60" s="8"/>
    </row>
    <row r="61" ht="12" customHeight="1">
      <c r="A61" s="8" t="s">
        <v>183</v>
      </c>
      <c r="B61" s="8" t="s">
        <v>769</v>
      </c>
      <c r="C61" s="26">
        <v>8.5999999999999996</v>
      </c>
      <c r="D61" s="8"/>
      <c r="E61" s="26">
        <v>8.6999999999999993</v>
      </c>
      <c r="F61" s="8"/>
      <c r="G61" s="26">
        <v>8.5999999999999996</v>
      </c>
      <c r="H61" s="8"/>
      <c r="I61" s="26">
        <v>6.7000000000000002</v>
      </c>
      <c r="J61" s="8"/>
      <c r="K61" s="26">
        <v>2</v>
      </c>
      <c r="L61" s="8"/>
      <c r="M61" s="26">
        <v>-0.20000000000000001</v>
      </c>
      <c r="N61" s="8"/>
      <c r="O61" s="26">
        <v>-2.7999999999999998</v>
      </c>
      <c r="P61" s="8"/>
      <c r="Q61" s="26">
        <v>-2.7999999999999998</v>
      </c>
      <c r="R61" s="8"/>
      <c r="S61" s="26">
        <v>-1.1000000000000001</v>
      </c>
      <c r="T61" s="8"/>
      <c r="U61" s="26">
        <v>-1</v>
      </c>
      <c r="V61" s="8"/>
      <c r="W61" s="26">
        <v>0.40000000000000002</v>
      </c>
      <c r="X61" s="8"/>
      <c r="Y61" s="26">
        <v>1.3999999999999999</v>
      </c>
      <c r="Z61" s="8"/>
      <c r="AA61" s="26">
        <v>1.3999999999999999</v>
      </c>
      <c r="AB61" s="8"/>
      <c r="AC61" s="8"/>
    </row>
    <row r="62" ht="12" customHeight="1">
      <c r="A62" s="8" t="s">
        <v>185</v>
      </c>
      <c r="B62" s="8" t="s">
        <v>770</v>
      </c>
      <c r="C62" s="26">
        <v>0.5</v>
      </c>
      <c r="D62" s="8"/>
      <c r="E62" s="26">
        <v>4.2000000000000002</v>
      </c>
      <c r="F62" s="8"/>
      <c r="G62" s="26">
        <v>5.5999999999999996</v>
      </c>
      <c r="H62" s="8"/>
      <c r="I62" s="26">
        <v>3.1000000000000001</v>
      </c>
      <c r="J62" s="8"/>
      <c r="K62" s="26">
        <v>2.7000000000000002</v>
      </c>
      <c r="L62" s="8"/>
      <c r="M62" s="26">
        <v>1.8</v>
      </c>
      <c r="N62" s="8"/>
      <c r="O62" s="26">
        <v>2.3999999999999999</v>
      </c>
      <c r="P62" s="8"/>
      <c r="Q62" s="26">
        <v>1.5</v>
      </c>
      <c r="R62" s="8"/>
      <c r="S62" s="26">
        <v>0.80000000000000004</v>
      </c>
      <c r="T62" s="8"/>
      <c r="U62" s="26">
        <v>-1.5</v>
      </c>
      <c r="V62" s="8"/>
      <c r="W62" s="26">
        <v>0.29999999999999999</v>
      </c>
      <c r="X62" s="8"/>
      <c r="Y62" s="26">
        <v>1.8999999999999999</v>
      </c>
      <c r="Z62" s="8"/>
      <c r="AA62" s="26">
        <v>4.7999999999999998</v>
      </c>
      <c r="AB62" s="8"/>
      <c r="AC62" s="8"/>
    </row>
    <row r="63" ht="12" customHeight="1">
      <c r="A63" s="8" t="s">
        <v>187</v>
      </c>
      <c r="B63" s="8" t="s">
        <v>771</v>
      </c>
      <c r="C63" s="26">
        <v>3.3999999999999999</v>
      </c>
      <c r="D63" s="8"/>
      <c r="E63" s="26">
        <v>5.5999999999999996</v>
      </c>
      <c r="F63" s="8"/>
      <c r="G63" s="26">
        <v>9.9000000000000004</v>
      </c>
      <c r="H63" s="8"/>
      <c r="I63" s="26">
        <v>14.5</v>
      </c>
      <c r="J63" s="8"/>
      <c r="K63" s="26">
        <v>17.399999999999999</v>
      </c>
      <c r="L63" s="8"/>
      <c r="M63" s="26">
        <v>19.899999999999999</v>
      </c>
      <c r="N63" s="8"/>
      <c r="O63" s="26">
        <v>19.800000000000001</v>
      </c>
      <c r="P63" s="8"/>
      <c r="Q63" s="26">
        <v>17.899999999999999</v>
      </c>
      <c r="R63" s="8"/>
      <c r="S63" s="26">
        <v>15.5</v>
      </c>
      <c r="T63" s="8"/>
      <c r="U63" s="26">
        <v>11.4</v>
      </c>
      <c r="V63" s="8"/>
      <c r="W63" s="26">
        <v>8</v>
      </c>
      <c r="X63" s="8"/>
      <c r="Y63" s="26">
        <v>5.2000000000000002</v>
      </c>
      <c r="Z63" s="8"/>
      <c r="AA63" s="26">
        <v>2.7000000000000002</v>
      </c>
      <c r="AB63" s="8"/>
      <c r="AC63" s="8"/>
    </row>
    <row r="64" ht="12" customHeight="1">
      <c r="A64" s="8" t="s">
        <v>189</v>
      </c>
      <c r="B64" s="8" t="s">
        <v>772</v>
      </c>
      <c r="C64" s="26">
        <v>3.5</v>
      </c>
      <c r="D64" s="8"/>
      <c r="E64" s="26">
        <v>3.5</v>
      </c>
      <c r="F64" s="8"/>
      <c r="G64" s="26">
        <v>3.5</v>
      </c>
      <c r="H64" s="8"/>
      <c r="I64" s="26">
        <v>-2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-2.2999999999999998</v>
      </c>
      <c r="R64" s="8"/>
      <c r="S64" s="26">
        <v>-2.2999999999999998</v>
      </c>
      <c r="T64" s="8"/>
      <c r="U64" s="26">
        <v>-2.2999999999999998</v>
      </c>
      <c r="V64" s="8"/>
      <c r="W64" s="26">
        <v>-3</v>
      </c>
      <c r="X64" s="8"/>
      <c r="Y64" s="26">
        <v>-0.69999999999999996</v>
      </c>
      <c r="Z64" s="8"/>
      <c r="AA64" s="26">
        <v>-0.69999999999999996</v>
      </c>
      <c r="AB64" s="8"/>
      <c r="AC64" s="8"/>
    </row>
    <row r="65" ht="12" customHeight="1">
      <c r="A65" s="8" t="s">
        <v>191</v>
      </c>
      <c r="B65" s="8" t="s">
        <v>773</v>
      </c>
      <c r="C65" s="26">
        <v>4.5</v>
      </c>
      <c r="D65" s="8"/>
      <c r="E65" s="26">
        <v>4.2999999999999998</v>
      </c>
      <c r="F65" s="8"/>
      <c r="G65" s="26">
        <v>3.7999999999999998</v>
      </c>
      <c r="H65" s="8"/>
      <c r="I65" s="26">
        <v>4.2000000000000002</v>
      </c>
      <c r="J65" s="8"/>
      <c r="K65" s="26">
        <v>4.5</v>
      </c>
      <c r="L65" s="8"/>
      <c r="M65" s="26">
        <v>4.0999999999999996</v>
      </c>
      <c r="N65" s="8"/>
      <c r="O65" s="26">
        <v>4.7000000000000002</v>
      </c>
      <c r="P65" s="8"/>
      <c r="Q65" s="26">
        <v>3.2999999999999998</v>
      </c>
      <c r="R65" s="8"/>
      <c r="S65" s="26">
        <v>2.7999999999999998</v>
      </c>
      <c r="T65" s="8"/>
      <c r="U65" s="26">
        <v>2.8999999999999999</v>
      </c>
      <c r="V65" s="8"/>
      <c r="W65" s="26">
        <v>2</v>
      </c>
      <c r="X65" s="8"/>
      <c r="Y65" s="26">
        <v>0.29999999999999999</v>
      </c>
      <c r="Z65" s="8"/>
      <c r="AA65" s="26">
        <v>0.10000000000000001</v>
      </c>
      <c r="AB65" s="8"/>
      <c r="AC65" s="8"/>
    </row>
    <row r="66" ht="12" customHeight="1">
      <c r="A66" s="11" t="s">
        <v>193</v>
      </c>
      <c r="B66" s="8" t="s">
        <v>774</v>
      </c>
      <c r="C66" s="26">
        <v>42.899999999999999</v>
      </c>
      <c r="D66" s="8"/>
      <c r="E66" s="26">
        <v>37.299999999999997</v>
      </c>
      <c r="F66" s="8"/>
      <c r="G66" s="26">
        <v>29.800000000000001</v>
      </c>
      <c r="H66" s="8"/>
      <c r="I66" s="26">
        <v>27.800000000000001</v>
      </c>
      <c r="J66" s="8"/>
      <c r="K66" s="26">
        <v>30.699999999999999</v>
      </c>
      <c r="L66" s="8"/>
      <c r="M66" s="26">
        <v>27.699999999999999</v>
      </c>
      <c r="N66" s="8"/>
      <c r="O66" s="26">
        <v>25.5</v>
      </c>
      <c r="P66" s="8"/>
      <c r="Q66" s="26">
        <v>17.600000000000001</v>
      </c>
      <c r="R66" s="8"/>
      <c r="S66" s="26">
        <v>7.2999999999999998</v>
      </c>
      <c r="T66" s="8"/>
      <c r="U66" s="26">
        <v>0.90000000000000002</v>
      </c>
      <c r="V66" s="8"/>
      <c r="W66" s="26">
        <v>-7.0999999999999996</v>
      </c>
      <c r="X66" s="8"/>
      <c r="Y66" s="26">
        <v>-13.5</v>
      </c>
      <c r="Z66" s="8"/>
      <c r="AA66" s="26">
        <v>-16.399999999999999</v>
      </c>
      <c r="AB66" s="8"/>
      <c r="AC66" s="8"/>
    </row>
    <row r="67" ht="12" customHeight="1">
      <c r="A67" s="8" t="s">
        <v>195</v>
      </c>
      <c r="B67" s="8" t="s">
        <v>775</v>
      </c>
      <c r="C67" s="26">
        <v>42.899999999999999</v>
      </c>
      <c r="D67" s="8"/>
      <c r="E67" s="26">
        <v>37.299999999999997</v>
      </c>
      <c r="F67" s="8"/>
      <c r="G67" s="26">
        <v>29.800000000000001</v>
      </c>
      <c r="H67" s="8"/>
      <c r="I67" s="26">
        <v>27.800000000000001</v>
      </c>
      <c r="J67" s="8"/>
      <c r="K67" s="26">
        <v>30.699999999999999</v>
      </c>
      <c r="L67" s="8"/>
      <c r="M67" s="26">
        <v>27.699999999999999</v>
      </c>
      <c r="N67" s="8"/>
      <c r="O67" s="26">
        <v>25.5</v>
      </c>
      <c r="P67" s="8"/>
      <c r="Q67" s="26">
        <v>17.600000000000001</v>
      </c>
      <c r="R67" s="8"/>
      <c r="S67" s="26">
        <v>7.2999999999999998</v>
      </c>
      <c r="T67" s="8"/>
      <c r="U67" s="26">
        <v>0.90000000000000002</v>
      </c>
      <c r="V67" s="8"/>
      <c r="W67" s="26">
        <v>-7.0999999999999996</v>
      </c>
      <c r="X67" s="8"/>
      <c r="Y67" s="26">
        <v>-13.5</v>
      </c>
      <c r="Z67" s="8"/>
      <c r="AA67" s="26">
        <v>-16.399999999999999</v>
      </c>
      <c r="AB67" s="8"/>
      <c r="AC67" s="8"/>
    </row>
    <row r="68" ht="12" customHeight="1">
      <c r="A68" s="13" t="s">
        <v>69</v>
      </c>
      <c r="B68" s="10" t="s">
        <v>58</v>
      </c>
      <c r="C68" s="27">
        <v>7.0999999999999996</v>
      </c>
      <c r="D68" s="10"/>
      <c r="E68" s="27">
        <v>6.9000000000000004</v>
      </c>
      <c r="F68" s="10"/>
      <c r="G68" s="27">
        <v>6.9000000000000004</v>
      </c>
      <c r="H68" s="10"/>
      <c r="I68" s="27">
        <v>7.2000000000000002</v>
      </c>
      <c r="J68" s="10"/>
      <c r="K68" s="27">
        <v>6.5999999999999996</v>
      </c>
      <c r="L68" s="10"/>
      <c r="M68" s="27">
        <v>5.7000000000000002</v>
      </c>
      <c r="N68" s="10"/>
      <c r="O68" s="27">
        <v>5</v>
      </c>
      <c r="P68" s="10"/>
      <c r="Q68" s="27">
        <v>4.2999999999999998</v>
      </c>
      <c r="R68" s="10"/>
      <c r="S68" s="27">
        <v>3.8999999999999999</v>
      </c>
      <c r="T68" s="10"/>
      <c r="U68" s="27">
        <v>4.0999999999999996</v>
      </c>
      <c r="V68" s="10"/>
      <c r="W68" s="27">
        <v>4.2000000000000002</v>
      </c>
      <c r="X68" s="10"/>
      <c r="Y68" s="27">
        <v>4</v>
      </c>
      <c r="Z68" s="10"/>
      <c r="AA68" s="27">
        <v>3.7000000000000002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778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779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780</v>
      </c>
      <c r="C8" s="19">
        <v>1232</v>
      </c>
      <c r="D8" s="19"/>
      <c r="E8" s="19">
        <v>1282</v>
      </c>
      <c r="F8" s="19"/>
      <c r="G8" s="19">
        <v>1309</v>
      </c>
      <c r="H8" s="19"/>
      <c r="I8" s="19">
        <v>1318</v>
      </c>
      <c r="J8" s="19"/>
      <c r="K8" s="19">
        <v>1303</v>
      </c>
      <c r="L8" s="19"/>
      <c r="M8" s="19">
        <v>1308</v>
      </c>
      <c r="N8" s="19"/>
      <c r="O8" s="19">
        <v>1305</v>
      </c>
      <c r="P8" s="19"/>
      <c r="Q8" s="19">
        <v>1323</v>
      </c>
      <c r="R8" s="19"/>
      <c r="S8" s="19">
        <v>1317</v>
      </c>
      <c r="T8" s="19"/>
      <c r="U8" s="19">
        <v>1343</v>
      </c>
      <c r="V8" s="19"/>
      <c r="W8" s="19">
        <v>1365</v>
      </c>
      <c r="X8" s="19"/>
      <c r="Y8" s="19">
        <v>1390</v>
      </c>
      <c r="Z8" s="19"/>
      <c r="AA8" s="19">
        <v>1378</v>
      </c>
      <c r="AB8" s="19"/>
      <c r="AC8" s="19"/>
      <c r="AE8" s="18"/>
      <c r="AG8" s="18"/>
    </row>
    <row r="9" ht="12" customHeight="1">
      <c r="A9" s="8" t="s">
        <v>79</v>
      </c>
      <c r="B9" s="8" t="s">
        <v>781</v>
      </c>
      <c r="C9" s="24">
        <v>1378</v>
      </c>
      <c r="D9" s="8"/>
      <c r="E9" s="24">
        <v>1512</v>
      </c>
      <c r="F9" s="8"/>
      <c r="G9" s="24">
        <v>1501</v>
      </c>
      <c r="H9" s="8"/>
      <c r="I9" s="24">
        <v>1519</v>
      </c>
      <c r="J9" s="8"/>
      <c r="K9" s="24">
        <v>1436</v>
      </c>
      <c r="L9" s="8"/>
      <c r="M9" s="24">
        <v>1405</v>
      </c>
      <c r="N9" s="8"/>
      <c r="O9" s="24">
        <v>1295</v>
      </c>
      <c r="P9" s="8"/>
      <c r="Q9" s="24">
        <v>1361</v>
      </c>
      <c r="R9" s="8"/>
      <c r="S9" s="24">
        <v>1300</v>
      </c>
      <c r="T9" s="8"/>
      <c r="U9" s="24">
        <v>1320</v>
      </c>
      <c r="V9" s="8"/>
      <c r="W9" s="24">
        <v>1357</v>
      </c>
      <c r="X9" s="8"/>
      <c r="Y9" s="24">
        <v>1470</v>
      </c>
      <c r="Z9" s="8"/>
      <c r="AA9" s="24">
        <v>1351</v>
      </c>
      <c r="AB9" s="8"/>
      <c r="AC9" s="8"/>
      <c r="AE9" s="8"/>
      <c r="AG9" s="8"/>
    </row>
    <row r="10" ht="12" customHeight="1">
      <c r="A10" s="8" t="s">
        <v>81</v>
      </c>
      <c r="B10" s="8" t="s">
        <v>782</v>
      </c>
      <c r="C10" s="24">
        <v>1223</v>
      </c>
      <c r="D10" s="8"/>
      <c r="E10" s="24">
        <v>1239</v>
      </c>
      <c r="F10" s="8"/>
      <c r="G10" s="24">
        <v>1262</v>
      </c>
      <c r="H10" s="8"/>
      <c r="I10" s="24">
        <v>1264</v>
      </c>
      <c r="J10" s="8"/>
      <c r="K10" s="24">
        <v>1254</v>
      </c>
      <c r="L10" s="8"/>
      <c r="M10" s="24">
        <v>1249</v>
      </c>
      <c r="N10" s="8"/>
      <c r="O10" s="24">
        <v>1253</v>
      </c>
      <c r="P10" s="8"/>
      <c r="Q10" s="24">
        <v>1269</v>
      </c>
      <c r="R10" s="8"/>
      <c r="S10" s="24">
        <v>1284</v>
      </c>
      <c r="T10" s="8"/>
      <c r="U10" s="24">
        <v>1303</v>
      </c>
      <c r="V10" s="8"/>
      <c r="W10" s="24">
        <v>1320</v>
      </c>
      <c r="X10" s="8"/>
      <c r="Y10" s="24">
        <v>1368</v>
      </c>
      <c r="Z10" s="8"/>
      <c r="AA10" s="24">
        <v>1378</v>
      </c>
      <c r="AB10" s="8"/>
      <c r="AC10" s="8"/>
      <c r="AE10" s="8"/>
      <c r="AG10" s="8"/>
    </row>
    <row r="11" ht="12" customHeight="1">
      <c r="A11" s="8" t="s">
        <v>83</v>
      </c>
      <c r="B11" s="8" t="s">
        <v>783</v>
      </c>
      <c r="C11" s="24">
        <v>1167</v>
      </c>
      <c r="D11" s="8"/>
      <c r="E11" s="24">
        <v>1218</v>
      </c>
      <c r="F11" s="8"/>
      <c r="G11" s="24">
        <v>1251</v>
      </c>
      <c r="H11" s="8"/>
      <c r="I11" s="24">
        <v>1253</v>
      </c>
      <c r="J11" s="8"/>
      <c r="K11" s="24">
        <v>1242</v>
      </c>
      <c r="L11" s="8"/>
      <c r="M11" s="24">
        <v>1255</v>
      </c>
      <c r="N11" s="8"/>
      <c r="O11" s="24">
        <v>1267</v>
      </c>
      <c r="P11" s="8"/>
      <c r="Q11" s="24">
        <v>1277</v>
      </c>
      <c r="R11" s="8"/>
      <c r="S11" s="24">
        <v>1274</v>
      </c>
      <c r="T11" s="8"/>
      <c r="U11" s="24">
        <v>1312</v>
      </c>
      <c r="V11" s="8"/>
      <c r="W11" s="24">
        <v>1332</v>
      </c>
      <c r="X11" s="8"/>
      <c r="Y11" s="24">
        <v>1337</v>
      </c>
      <c r="Z11" s="8"/>
      <c r="AA11" s="24">
        <v>1333</v>
      </c>
      <c r="AB11" s="8"/>
      <c r="AC11" s="8"/>
      <c r="AE11" s="8"/>
      <c r="AG11" s="8"/>
    </row>
    <row r="12" ht="12" customHeight="1">
      <c r="A12" s="8" t="s">
        <v>85</v>
      </c>
      <c r="B12" s="8" t="s">
        <v>784</v>
      </c>
      <c r="C12" s="24">
        <v>1137</v>
      </c>
      <c r="D12" s="8"/>
      <c r="E12" s="24">
        <v>1163</v>
      </c>
      <c r="F12" s="8"/>
      <c r="G12" s="24">
        <v>1196</v>
      </c>
      <c r="H12" s="8"/>
      <c r="I12" s="24">
        <v>1206</v>
      </c>
      <c r="J12" s="8"/>
      <c r="K12" s="24">
        <v>1208</v>
      </c>
      <c r="L12" s="8"/>
      <c r="M12" s="24">
        <v>1222</v>
      </c>
      <c r="N12" s="8"/>
      <c r="O12" s="24">
        <v>1250</v>
      </c>
      <c r="P12" s="8"/>
      <c r="Q12" s="24">
        <v>1259</v>
      </c>
      <c r="R12" s="8"/>
      <c r="S12" s="24">
        <v>1259</v>
      </c>
      <c r="T12" s="8"/>
      <c r="U12" s="24">
        <v>1291</v>
      </c>
      <c r="V12" s="8"/>
      <c r="W12" s="24">
        <v>1328</v>
      </c>
      <c r="X12" s="8"/>
      <c r="Y12" s="24">
        <v>1318</v>
      </c>
      <c r="Z12" s="8"/>
      <c r="AA12" s="24">
        <v>1327</v>
      </c>
      <c r="AB12" s="8"/>
      <c r="AC12" s="8"/>
      <c r="AE12" s="8"/>
      <c r="AG12" s="8"/>
    </row>
    <row r="13" ht="12" customHeight="1">
      <c r="A13" s="8" t="s">
        <v>87</v>
      </c>
      <c r="B13" s="8" t="s">
        <v>785</v>
      </c>
      <c r="C13" s="24">
        <v>1348</v>
      </c>
      <c r="D13" s="8"/>
      <c r="E13" s="24">
        <v>1375</v>
      </c>
      <c r="F13" s="8"/>
      <c r="G13" s="24">
        <v>1418</v>
      </c>
      <c r="H13" s="8"/>
      <c r="I13" s="24">
        <v>1442</v>
      </c>
      <c r="J13" s="8"/>
      <c r="K13" s="24">
        <v>1454</v>
      </c>
      <c r="L13" s="8"/>
      <c r="M13" s="24">
        <v>1469</v>
      </c>
      <c r="N13" s="8"/>
      <c r="O13" s="24">
        <v>1489</v>
      </c>
      <c r="P13" s="8"/>
      <c r="Q13" s="24">
        <v>1496</v>
      </c>
      <c r="R13" s="8"/>
      <c r="S13" s="24">
        <v>1503</v>
      </c>
      <c r="T13" s="8"/>
      <c r="U13" s="24">
        <v>1507</v>
      </c>
      <c r="V13" s="8"/>
      <c r="W13" s="24">
        <v>1521</v>
      </c>
      <c r="X13" s="8"/>
      <c r="Y13" s="24">
        <v>1533</v>
      </c>
      <c r="Z13" s="8"/>
      <c r="AA13" s="24">
        <v>1540</v>
      </c>
      <c r="AB13" s="8"/>
      <c r="AC13" s="8"/>
      <c r="AE13" s="8"/>
      <c r="AG13" s="8"/>
    </row>
    <row r="14" ht="12" customHeight="1">
      <c r="A14" s="11" t="s">
        <v>89</v>
      </c>
      <c r="B14" s="8" t="s">
        <v>786</v>
      </c>
      <c r="C14" s="24">
        <v>1496</v>
      </c>
      <c r="D14" s="8"/>
      <c r="E14" s="24">
        <v>1567</v>
      </c>
      <c r="F14" s="8"/>
      <c r="G14" s="24">
        <v>1582</v>
      </c>
      <c r="H14" s="8"/>
      <c r="I14" s="24">
        <v>1600</v>
      </c>
      <c r="J14" s="8"/>
      <c r="K14" s="24">
        <v>1626</v>
      </c>
      <c r="L14" s="8"/>
      <c r="M14" s="24">
        <v>1692</v>
      </c>
      <c r="N14" s="8"/>
      <c r="O14" s="24">
        <v>1703</v>
      </c>
      <c r="P14" s="8"/>
      <c r="Q14" s="24">
        <v>1712</v>
      </c>
      <c r="R14" s="8"/>
      <c r="S14" s="24">
        <v>1716</v>
      </c>
      <c r="T14" s="8"/>
      <c r="U14" s="24">
        <v>1751</v>
      </c>
      <c r="V14" s="8"/>
      <c r="W14" s="24">
        <v>1747</v>
      </c>
      <c r="X14" s="8"/>
      <c r="Y14" s="24">
        <v>1754</v>
      </c>
      <c r="Z14" s="8"/>
      <c r="AA14" s="24">
        <v>1756</v>
      </c>
      <c r="AB14" s="8"/>
      <c r="AC14" s="8"/>
      <c r="AE14" s="8"/>
      <c r="AG14" s="8"/>
    </row>
    <row r="15" ht="12" customHeight="1">
      <c r="A15" s="8" t="s">
        <v>91</v>
      </c>
      <c r="B15" s="8" t="s">
        <v>787</v>
      </c>
      <c r="C15" s="24">
        <v>1142</v>
      </c>
      <c r="D15" s="8"/>
      <c r="E15" s="24">
        <v>1159</v>
      </c>
      <c r="F15" s="8"/>
      <c r="G15" s="24">
        <v>1182</v>
      </c>
      <c r="H15" s="8"/>
      <c r="I15" s="24">
        <v>1204</v>
      </c>
      <c r="J15" s="8"/>
      <c r="K15" s="24">
        <v>1205</v>
      </c>
      <c r="L15" s="8"/>
      <c r="M15" s="24">
        <v>1218</v>
      </c>
      <c r="N15" s="8"/>
      <c r="O15" s="24">
        <v>1237</v>
      </c>
      <c r="P15" s="8"/>
      <c r="Q15" s="24">
        <v>1246</v>
      </c>
      <c r="R15" s="8"/>
      <c r="S15" s="24">
        <v>1241</v>
      </c>
      <c r="T15" s="8"/>
      <c r="U15" s="24">
        <v>1251</v>
      </c>
      <c r="V15" s="8"/>
      <c r="W15" s="24">
        <v>1245</v>
      </c>
      <c r="X15" s="8"/>
      <c r="Y15" s="24">
        <v>1253</v>
      </c>
      <c r="Z15" s="8"/>
      <c r="AA15" s="24">
        <v>1243</v>
      </c>
      <c r="AB15" s="8"/>
      <c r="AC15" s="8"/>
      <c r="AE15" s="8"/>
      <c r="AG15" s="8"/>
    </row>
    <row r="16" ht="12" customHeight="1">
      <c r="A16" s="8" t="s">
        <v>93</v>
      </c>
      <c r="B16" s="8" t="s">
        <v>788</v>
      </c>
      <c r="C16" s="24">
        <v>1951</v>
      </c>
      <c r="D16" s="8"/>
      <c r="E16" s="24">
        <v>2099</v>
      </c>
      <c r="F16" s="8"/>
      <c r="G16" s="24">
        <v>2101</v>
      </c>
      <c r="H16" s="8"/>
      <c r="I16" s="24">
        <v>2113</v>
      </c>
      <c r="J16" s="8"/>
      <c r="K16" s="24">
        <v>2175</v>
      </c>
      <c r="L16" s="8"/>
      <c r="M16" s="24">
        <v>2317</v>
      </c>
      <c r="N16" s="8"/>
      <c r="O16" s="24">
        <v>2318</v>
      </c>
      <c r="P16" s="8"/>
      <c r="Q16" s="24">
        <v>2326</v>
      </c>
      <c r="R16" s="8"/>
      <c r="S16" s="24">
        <v>2342</v>
      </c>
      <c r="T16" s="8"/>
      <c r="U16" s="24">
        <v>2434</v>
      </c>
      <c r="V16" s="8"/>
      <c r="W16" s="24">
        <v>2440</v>
      </c>
      <c r="X16" s="8"/>
      <c r="Y16" s="24">
        <v>2439</v>
      </c>
      <c r="Z16" s="8"/>
      <c r="AA16" s="24">
        <v>2477</v>
      </c>
      <c r="AB16" s="8"/>
      <c r="AC16" s="8"/>
      <c r="AE16" s="8"/>
      <c r="AG16" s="8"/>
    </row>
    <row r="17" ht="12" customHeight="1">
      <c r="A17" s="11" t="s">
        <v>95</v>
      </c>
      <c r="B17" s="8" t="s">
        <v>789</v>
      </c>
      <c r="C17" s="24">
        <v>1060</v>
      </c>
      <c r="D17" s="8"/>
      <c r="E17" s="24">
        <v>1053</v>
      </c>
      <c r="F17" s="8"/>
      <c r="G17" s="24">
        <v>1087</v>
      </c>
      <c r="H17" s="8"/>
      <c r="I17" s="24">
        <v>1090</v>
      </c>
      <c r="J17" s="8"/>
      <c r="K17" s="24">
        <v>1096</v>
      </c>
      <c r="L17" s="8"/>
      <c r="M17" s="24">
        <v>1097</v>
      </c>
      <c r="N17" s="8"/>
      <c r="O17" s="24">
        <v>1090</v>
      </c>
      <c r="P17" s="8"/>
      <c r="Q17" s="24">
        <v>1085</v>
      </c>
      <c r="R17" s="8"/>
      <c r="S17" s="24">
        <v>1074</v>
      </c>
      <c r="T17" s="8"/>
      <c r="U17" s="24">
        <v>1077</v>
      </c>
      <c r="V17" s="8"/>
      <c r="W17" s="24">
        <v>1077</v>
      </c>
      <c r="X17" s="8"/>
      <c r="Y17" s="24">
        <v>1083</v>
      </c>
      <c r="Z17" s="8"/>
      <c r="AA17" s="24">
        <v>1092</v>
      </c>
      <c r="AB17" s="8"/>
      <c r="AC17" s="8"/>
      <c r="AE17" s="8"/>
      <c r="AG17" s="8"/>
    </row>
    <row r="18" ht="12" customHeight="1">
      <c r="A18" s="8" t="s">
        <v>97</v>
      </c>
      <c r="B18" s="8" t="s">
        <v>790</v>
      </c>
      <c r="C18" s="24">
        <v>1061</v>
      </c>
      <c r="D18" s="8"/>
      <c r="E18" s="24">
        <v>1055</v>
      </c>
      <c r="F18" s="8"/>
      <c r="G18" s="24">
        <v>1090</v>
      </c>
      <c r="H18" s="8"/>
      <c r="I18" s="24">
        <v>1094</v>
      </c>
      <c r="J18" s="8"/>
      <c r="K18" s="24">
        <v>1101</v>
      </c>
      <c r="L18" s="8"/>
      <c r="M18" s="24">
        <v>1103</v>
      </c>
      <c r="N18" s="8"/>
      <c r="O18" s="24">
        <v>1093</v>
      </c>
      <c r="P18" s="8"/>
      <c r="Q18" s="24">
        <v>1089</v>
      </c>
      <c r="R18" s="8"/>
      <c r="S18" s="24">
        <v>1078</v>
      </c>
      <c r="T18" s="8"/>
      <c r="U18" s="24">
        <v>1076</v>
      </c>
      <c r="V18" s="8"/>
      <c r="W18" s="24">
        <v>1084</v>
      </c>
      <c r="X18" s="8"/>
      <c r="Y18" s="24">
        <v>1087</v>
      </c>
      <c r="Z18" s="8"/>
      <c r="AA18" s="24">
        <v>1099</v>
      </c>
      <c r="AB18" s="8"/>
      <c r="AC18" s="8"/>
      <c r="AE18" s="8"/>
      <c r="AG18" s="8"/>
    </row>
    <row r="19" ht="12" customHeight="1">
      <c r="A19" s="8" t="s">
        <v>99</v>
      </c>
      <c r="B19" s="8" t="s">
        <v>791</v>
      </c>
      <c r="C19" s="24">
        <v>1081</v>
      </c>
      <c r="D19" s="8"/>
      <c r="E19" s="24">
        <v>1072</v>
      </c>
      <c r="F19" s="8"/>
      <c r="G19" s="24">
        <v>1093</v>
      </c>
      <c r="H19" s="8"/>
      <c r="I19" s="24">
        <v>1087</v>
      </c>
      <c r="J19" s="8"/>
      <c r="K19" s="24">
        <v>1088</v>
      </c>
      <c r="L19" s="8"/>
      <c r="M19" s="24">
        <v>1083</v>
      </c>
      <c r="N19" s="8"/>
      <c r="O19" s="24">
        <v>1098</v>
      </c>
      <c r="P19" s="8"/>
      <c r="Q19" s="24">
        <v>1086</v>
      </c>
      <c r="R19" s="8"/>
      <c r="S19" s="24">
        <v>1072</v>
      </c>
      <c r="T19" s="8"/>
      <c r="U19" s="24">
        <v>1096</v>
      </c>
      <c r="V19" s="8"/>
      <c r="W19" s="24">
        <v>1064</v>
      </c>
      <c r="X19" s="8"/>
      <c r="Y19" s="24">
        <v>1080</v>
      </c>
      <c r="Z19" s="8"/>
      <c r="AA19" s="24">
        <v>1077</v>
      </c>
      <c r="AB19" s="8"/>
      <c r="AC19" s="8"/>
      <c r="AE19" s="8"/>
      <c r="AG19" s="8"/>
    </row>
    <row r="20" ht="12" customHeight="1">
      <c r="A20" s="11" t="s">
        <v>101</v>
      </c>
      <c r="B20" s="8" t="s">
        <v>792</v>
      </c>
      <c r="C20" s="24">
        <v>1293</v>
      </c>
      <c r="D20" s="8"/>
      <c r="E20" s="24">
        <v>1309</v>
      </c>
      <c r="F20" s="8"/>
      <c r="G20" s="24">
        <v>1327</v>
      </c>
      <c r="H20" s="8"/>
      <c r="I20" s="24">
        <v>1356</v>
      </c>
      <c r="J20" s="8"/>
      <c r="K20" s="24">
        <v>1372</v>
      </c>
      <c r="L20" s="8"/>
      <c r="M20" s="24">
        <v>1384</v>
      </c>
      <c r="N20" s="8"/>
      <c r="O20" s="24">
        <v>1403</v>
      </c>
      <c r="P20" s="8"/>
      <c r="Q20" s="24">
        <v>1442</v>
      </c>
      <c r="R20" s="8"/>
      <c r="S20" s="24">
        <v>1452</v>
      </c>
      <c r="T20" s="8"/>
      <c r="U20" s="24">
        <v>1465</v>
      </c>
      <c r="V20" s="8"/>
      <c r="W20" s="24">
        <v>1484</v>
      </c>
      <c r="X20" s="8"/>
      <c r="Y20" s="24">
        <v>1516</v>
      </c>
      <c r="Z20" s="8"/>
      <c r="AA20" s="24">
        <v>1522</v>
      </c>
      <c r="AB20" s="8"/>
      <c r="AC20" s="8"/>
      <c r="AE20" s="8"/>
      <c r="AG20" s="8"/>
    </row>
    <row r="21" ht="12" customHeight="1">
      <c r="A21" s="8" t="s">
        <v>103</v>
      </c>
      <c r="B21" s="8" t="s">
        <v>793</v>
      </c>
      <c r="C21" s="24">
        <v>1296</v>
      </c>
      <c r="D21" s="8"/>
      <c r="E21" s="24">
        <v>1313</v>
      </c>
      <c r="F21" s="8"/>
      <c r="G21" s="24">
        <v>1331</v>
      </c>
      <c r="H21" s="8"/>
      <c r="I21" s="24">
        <v>1349</v>
      </c>
      <c r="J21" s="8"/>
      <c r="K21" s="24">
        <v>1366</v>
      </c>
      <c r="L21" s="8"/>
      <c r="M21" s="24">
        <v>1384</v>
      </c>
      <c r="N21" s="8"/>
      <c r="O21" s="24">
        <v>1401</v>
      </c>
      <c r="P21" s="8"/>
      <c r="Q21" s="24">
        <v>1416</v>
      </c>
      <c r="R21" s="8"/>
      <c r="S21" s="24">
        <v>1428</v>
      </c>
      <c r="T21" s="8"/>
      <c r="U21" s="24">
        <v>1438</v>
      </c>
      <c r="V21" s="8"/>
      <c r="W21" s="24">
        <v>1450</v>
      </c>
      <c r="X21" s="8"/>
      <c r="Y21" s="24">
        <v>1454</v>
      </c>
      <c r="Z21" s="8"/>
      <c r="AA21" s="24">
        <v>1456</v>
      </c>
      <c r="AB21" s="8"/>
      <c r="AC21" s="8"/>
      <c r="AE21" s="8"/>
      <c r="AG21" s="8"/>
    </row>
    <row r="22" ht="12" customHeight="1">
      <c r="A22" s="8" t="s">
        <v>105</v>
      </c>
      <c r="B22" s="8" t="s">
        <v>794</v>
      </c>
      <c r="C22" s="24">
        <v>1296</v>
      </c>
      <c r="D22" s="8"/>
      <c r="E22" s="24">
        <v>1313</v>
      </c>
      <c r="F22" s="8"/>
      <c r="G22" s="24">
        <v>1331</v>
      </c>
      <c r="H22" s="8"/>
      <c r="I22" s="24">
        <v>1349</v>
      </c>
      <c r="J22" s="8"/>
      <c r="K22" s="24">
        <v>1366</v>
      </c>
      <c r="L22" s="8"/>
      <c r="M22" s="24">
        <v>1384</v>
      </c>
      <c r="N22" s="8"/>
      <c r="O22" s="24">
        <v>1401</v>
      </c>
      <c r="P22" s="8"/>
      <c r="Q22" s="24">
        <v>1416</v>
      </c>
      <c r="R22" s="8"/>
      <c r="S22" s="24">
        <v>1428</v>
      </c>
      <c r="T22" s="8"/>
      <c r="U22" s="24">
        <v>1438</v>
      </c>
      <c r="V22" s="8"/>
      <c r="W22" s="24">
        <v>1450</v>
      </c>
      <c r="X22" s="8"/>
      <c r="Y22" s="24">
        <v>1454</v>
      </c>
      <c r="Z22" s="8"/>
      <c r="AA22" s="24">
        <v>1456</v>
      </c>
      <c r="AB22" s="8"/>
      <c r="AC22" s="8"/>
      <c r="AE22" s="8"/>
      <c r="AG22" s="8"/>
    </row>
    <row r="23" ht="12" customHeight="1">
      <c r="A23" s="8" t="s">
        <v>107</v>
      </c>
      <c r="B23" s="8" t="s">
        <v>795</v>
      </c>
      <c r="C23" s="24">
        <v>1348</v>
      </c>
      <c r="D23" s="8"/>
      <c r="E23" s="24">
        <v>1348</v>
      </c>
      <c r="F23" s="8"/>
      <c r="G23" s="24">
        <v>1369</v>
      </c>
      <c r="H23" s="8"/>
      <c r="I23" s="24">
        <v>1379</v>
      </c>
      <c r="J23" s="8"/>
      <c r="K23" s="24">
        <v>1389</v>
      </c>
      <c r="L23" s="8"/>
      <c r="M23" s="24">
        <v>1389</v>
      </c>
      <c r="N23" s="8"/>
      <c r="O23" s="24">
        <v>1412</v>
      </c>
      <c r="P23" s="8"/>
      <c r="Q23" s="24">
        <v>1427</v>
      </c>
      <c r="R23" s="8"/>
      <c r="S23" s="24">
        <v>1428</v>
      </c>
      <c r="T23" s="8"/>
      <c r="U23" s="24">
        <v>1435</v>
      </c>
      <c r="V23" s="8"/>
      <c r="W23" s="24">
        <v>1439</v>
      </c>
      <c r="X23" s="8"/>
      <c r="Y23" s="24">
        <v>1449</v>
      </c>
      <c r="Z23" s="8"/>
      <c r="AA23" s="24">
        <v>1460</v>
      </c>
      <c r="AB23" s="8"/>
      <c r="AC23" s="8"/>
      <c r="AE23" s="8"/>
      <c r="AG23" s="8"/>
    </row>
    <row r="24" ht="12" customHeight="1">
      <c r="A24" s="8" t="s">
        <v>109</v>
      </c>
      <c r="B24" s="8" t="s">
        <v>796</v>
      </c>
      <c r="C24" s="24">
        <v>1513</v>
      </c>
      <c r="D24" s="8"/>
      <c r="E24" s="24">
        <v>1514</v>
      </c>
      <c r="F24" s="8"/>
      <c r="G24" s="24">
        <v>1515</v>
      </c>
      <c r="H24" s="8"/>
      <c r="I24" s="24">
        <v>1659</v>
      </c>
      <c r="J24" s="8"/>
      <c r="K24" s="24">
        <v>1660</v>
      </c>
      <c r="L24" s="8"/>
      <c r="M24" s="24">
        <v>1660</v>
      </c>
      <c r="N24" s="8"/>
      <c r="O24" s="24">
        <v>1661</v>
      </c>
      <c r="P24" s="8"/>
      <c r="Q24" s="24">
        <v>1857</v>
      </c>
      <c r="R24" s="8"/>
      <c r="S24" s="24">
        <v>1858</v>
      </c>
      <c r="T24" s="8"/>
      <c r="U24" s="24">
        <v>1859</v>
      </c>
      <c r="V24" s="8"/>
      <c r="W24" s="24">
        <v>1859</v>
      </c>
      <c r="X24" s="8"/>
      <c r="Y24" s="24">
        <v>2012</v>
      </c>
      <c r="Z24" s="8"/>
      <c r="AA24" s="24">
        <v>2012</v>
      </c>
      <c r="AB24" s="8"/>
      <c r="AC24" s="8"/>
      <c r="AE24" s="8"/>
      <c r="AG24" s="8"/>
    </row>
    <row r="25" ht="12" customHeight="1">
      <c r="A25" s="8" t="s">
        <v>111</v>
      </c>
      <c r="B25" s="8" t="s">
        <v>797</v>
      </c>
      <c r="C25" s="24">
        <v>1540</v>
      </c>
      <c r="D25" s="8"/>
      <c r="E25" s="24">
        <v>1540</v>
      </c>
      <c r="F25" s="8"/>
      <c r="G25" s="24">
        <v>1540</v>
      </c>
      <c r="H25" s="8"/>
      <c r="I25" s="24">
        <v>1691</v>
      </c>
      <c r="J25" s="8"/>
      <c r="K25" s="24">
        <v>1691</v>
      </c>
      <c r="L25" s="8"/>
      <c r="M25" s="24">
        <v>1691</v>
      </c>
      <c r="N25" s="8"/>
      <c r="O25" s="24">
        <v>1691</v>
      </c>
      <c r="P25" s="8"/>
      <c r="Q25" s="24">
        <v>1895</v>
      </c>
      <c r="R25" s="8"/>
      <c r="S25" s="24">
        <v>1895</v>
      </c>
      <c r="T25" s="8"/>
      <c r="U25" s="24">
        <v>1895</v>
      </c>
      <c r="V25" s="8"/>
      <c r="W25" s="24">
        <v>1895</v>
      </c>
      <c r="X25" s="8"/>
      <c r="Y25" s="24">
        <v>2062</v>
      </c>
      <c r="Z25" s="8"/>
      <c r="AA25" s="24">
        <v>2062</v>
      </c>
      <c r="AB25" s="8"/>
      <c r="AC25" s="8"/>
      <c r="AE25" s="8"/>
      <c r="AG25" s="8"/>
    </row>
    <row r="26" ht="12" customHeight="1">
      <c r="A26" s="8" t="s">
        <v>113</v>
      </c>
      <c r="B26" s="8" t="s">
        <v>798</v>
      </c>
      <c r="C26" s="24">
        <v>1115</v>
      </c>
      <c r="D26" s="8"/>
      <c r="E26" s="24">
        <v>1141</v>
      </c>
      <c r="F26" s="8"/>
      <c r="G26" s="24">
        <v>1173</v>
      </c>
      <c r="H26" s="8"/>
      <c r="I26" s="24">
        <v>1160</v>
      </c>
      <c r="J26" s="8"/>
      <c r="K26" s="24">
        <v>1182</v>
      </c>
      <c r="L26" s="8"/>
      <c r="M26" s="24">
        <v>1188</v>
      </c>
      <c r="N26" s="8"/>
      <c r="O26" s="24">
        <v>1222</v>
      </c>
      <c r="P26" s="8"/>
      <c r="Q26" s="24">
        <v>1232</v>
      </c>
      <c r="R26" s="8"/>
      <c r="S26" s="24">
        <v>1243</v>
      </c>
      <c r="T26" s="8"/>
      <c r="U26" s="24">
        <v>1271</v>
      </c>
      <c r="V26" s="8"/>
      <c r="W26" s="24">
        <v>1332</v>
      </c>
      <c r="X26" s="8"/>
      <c r="Y26" s="24">
        <v>1371</v>
      </c>
      <c r="Z26" s="8"/>
      <c r="AA26" s="24">
        <v>1392</v>
      </c>
      <c r="AB26" s="8"/>
      <c r="AC26" s="8"/>
      <c r="AE26" s="8"/>
      <c r="AG26" s="8"/>
    </row>
    <row r="27" ht="12" customHeight="1">
      <c r="A27" s="8" t="s">
        <v>115</v>
      </c>
      <c r="B27" s="8" t="s">
        <v>799</v>
      </c>
      <c r="C27" s="24">
        <v>1100</v>
      </c>
      <c r="D27" s="8"/>
      <c r="E27" s="24">
        <v>1124</v>
      </c>
      <c r="F27" s="8"/>
      <c r="G27" s="24">
        <v>1155</v>
      </c>
      <c r="H27" s="8"/>
      <c r="I27" s="24">
        <v>1135</v>
      </c>
      <c r="J27" s="8"/>
      <c r="K27" s="24">
        <v>1156</v>
      </c>
      <c r="L27" s="8"/>
      <c r="M27" s="24">
        <v>1161</v>
      </c>
      <c r="N27" s="8"/>
      <c r="O27" s="24">
        <v>1197</v>
      </c>
      <c r="P27" s="8"/>
      <c r="Q27" s="24">
        <v>1204</v>
      </c>
      <c r="R27" s="8"/>
      <c r="S27" s="24">
        <v>1211</v>
      </c>
      <c r="T27" s="8"/>
      <c r="U27" s="24">
        <v>1237</v>
      </c>
      <c r="V27" s="8"/>
      <c r="W27" s="24">
        <v>1299</v>
      </c>
      <c r="X27" s="8"/>
      <c r="Y27" s="24">
        <v>1341</v>
      </c>
      <c r="Z27" s="8"/>
      <c r="AA27" s="24">
        <v>1358</v>
      </c>
      <c r="AB27" s="8"/>
      <c r="AC27" s="8"/>
      <c r="AE27" s="8"/>
      <c r="AG27" s="8"/>
    </row>
    <row r="28" ht="12" customHeight="1">
      <c r="A28" s="11" t="s">
        <v>117</v>
      </c>
      <c r="B28" s="8" t="s">
        <v>800</v>
      </c>
      <c r="C28" s="24">
        <v>1153</v>
      </c>
      <c r="D28" s="8"/>
      <c r="E28" s="24">
        <v>1154</v>
      </c>
      <c r="F28" s="8"/>
      <c r="G28" s="24">
        <v>1186</v>
      </c>
      <c r="H28" s="8"/>
      <c r="I28" s="24">
        <v>1172</v>
      </c>
      <c r="J28" s="8"/>
      <c r="K28" s="24">
        <v>1178</v>
      </c>
      <c r="L28" s="8"/>
      <c r="M28" s="24">
        <v>1173</v>
      </c>
      <c r="N28" s="8"/>
      <c r="O28" s="24">
        <v>1174</v>
      </c>
      <c r="P28" s="8"/>
      <c r="Q28" s="24">
        <v>1177</v>
      </c>
      <c r="R28" s="8"/>
      <c r="S28" s="24">
        <v>1174</v>
      </c>
      <c r="T28" s="8"/>
      <c r="U28" s="24">
        <v>1168</v>
      </c>
      <c r="V28" s="8"/>
      <c r="W28" s="24">
        <v>1175</v>
      </c>
      <c r="X28" s="8"/>
      <c r="Y28" s="24">
        <v>1165</v>
      </c>
      <c r="Z28" s="8"/>
      <c r="AA28" s="24">
        <v>1169</v>
      </c>
      <c r="AB28" s="8"/>
      <c r="AC28" s="8"/>
      <c r="AE28" s="8"/>
      <c r="AG28" s="8"/>
    </row>
    <row r="29" ht="12" customHeight="1">
      <c r="A29" s="8" t="s">
        <v>119</v>
      </c>
      <c r="B29" s="8" t="s">
        <v>801</v>
      </c>
      <c r="C29" s="24">
        <v>1226</v>
      </c>
      <c r="D29" s="8"/>
      <c r="E29" s="24">
        <v>1212</v>
      </c>
      <c r="F29" s="8"/>
      <c r="G29" s="24">
        <v>1248</v>
      </c>
      <c r="H29" s="8"/>
      <c r="I29" s="24">
        <v>1221</v>
      </c>
      <c r="J29" s="8"/>
      <c r="K29" s="24">
        <v>1224</v>
      </c>
      <c r="L29" s="8"/>
      <c r="M29" s="24">
        <v>1180</v>
      </c>
      <c r="N29" s="8"/>
      <c r="O29" s="24">
        <v>1177</v>
      </c>
      <c r="P29" s="8"/>
      <c r="Q29" s="24">
        <v>1196</v>
      </c>
      <c r="R29" s="8"/>
      <c r="S29" s="24">
        <v>1210</v>
      </c>
      <c r="T29" s="8"/>
      <c r="U29" s="24">
        <v>1199</v>
      </c>
      <c r="V29" s="8"/>
      <c r="W29" s="24">
        <v>1183</v>
      </c>
      <c r="X29" s="8"/>
      <c r="Y29" s="24">
        <v>1153</v>
      </c>
      <c r="Z29" s="8"/>
      <c r="AA29" s="24">
        <v>1204</v>
      </c>
      <c r="AB29" s="8"/>
      <c r="AC29" s="8"/>
      <c r="AE29" s="8"/>
      <c r="AG29" s="8"/>
    </row>
    <row r="30" ht="12" customHeight="1">
      <c r="A30" s="8" t="s">
        <v>121</v>
      </c>
      <c r="B30" s="8" t="s">
        <v>802</v>
      </c>
      <c r="C30" s="24">
        <v>1107</v>
      </c>
      <c r="D30" s="8"/>
      <c r="E30" s="24">
        <v>1130</v>
      </c>
      <c r="F30" s="8"/>
      <c r="G30" s="24">
        <v>1136</v>
      </c>
      <c r="H30" s="8"/>
      <c r="I30" s="24">
        <v>1110</v>
      </c>
      <c r="J30" s="8"/>
      <c r="K30" s="24">
        <v>1143</v>
      </c>
      <c r="L30" s="8"/>
      <c r="M30" s="24">
        <v>1140</v>
      </c>
      <c r="N30" s="8"/>
      <c r="O30" s="24">
        <v>1222</v>
      </c>
      <c r="P30" s="8"/>
      <c r="Q30" s="24">
        <v>1197</v>
      </c>
      <c r="R30" s="8"/>
      <c r="S30" s="24">
        <v>1121</v>
      </c>
      <c r="T30" s="8"/>
      <c r="U30" s="24">
        <v>1170</v>
      </c>
      <c r="V30" s="8"/>
      <c r="W30" s="24">
        <v>1213</v>
      </c>
      <c r="X30" s="8"/>
      <c r="Y30" s="24">
        <v>1200</v>
      </c>
      <c r="Z30" s="8"/>
      <c r="AA30" s="24">
        <v>1176</v>
      </c>
      <c r="AB30" s="8"/>
      <c r="AC30" s="8"/>
      <c r="AE30" s="8"/>
      <c r="AG30" s="8"/>
    </row>
    <row r="31" ht="12" customHeight="1">
      <c r="A31" s="8" t="s">
        <v>123</v>
      </c>
      <c r="B31" s="8" t="s">
        <v>803</v>
      </c>
      <c r="C31" s="24">
        <v>1100</v>
      </c>
      <c r="D31" s="8"/>
      <c r="E31" s="24">
        <v>1084</v>
      </c>
      <c r="F31" s="8"/>
      <c r="G31" s="24">
        <v>1129</v>
      </c>
      <c r="H31" s="8"/>
      <c r="I31" s="24">
        <v>1118</v>
      </c>
      <c r="J31" s="8"/>
      <c r="K31" s="24">
        <v>1111</v>
      </c>
      <c r="L31" s="8"/>
      <c r="M31" s="24">
        <v>1101</v>
      </c>
      <c r="N31" s="8"/>
      <c r="O31" s="24">
        <v>1097</v>
      </c>
      <c r="P31" s="8"/>
      <c r="Q31" s="24">
        <v>1085</v>
      </c>
      <c r="R31" s="8"/>
      <c r="S31" s="24">
        <v>1091</v>
      </c>
      <c r="T31" s="8"/>
      <c r="U31" s="24">
        <v>1077</v>
      </c>
      <c r="V31" s="8"/>
      <c r="W31" s="24">
        <v>1085</v>
      </c>
      <c r="X31" s="8"/>
      <c r="Y31" s="24">
        <v>1082</v>
      </c>
      <c r="Z31" s="8"/>
      <c r="AA31" s="24">
        <v>1085</v>
      </c>
      <c r="AB31" s="8"/>
      <c r="AC31" s="8"/>
      <c r="AE31" s="8"/>
      <c r="AG31" s="8"/>
    </row>
    <row r="32" ht="12" customHeight="1">
      <c r="A32" s="8" t="s">
        <v>125</v>
      </c>
      <c r="B32" s="8" t="s">
        <v>804</v>
      </c>
      <c r="C32" s="24">
        <v>1161</v>
      </c>
      <c r="D32" s="8"/>
      <c r="E32" s="24">
        <v>1117</v>
      </c>
      <c r="F32" s="8"/>
      <c r="G32" s="24">
        <v>1152</v>
      </c>
      <c r="H32" s="8"/>
      <c r="I32" s="24">
        <v>1132</v>
      </c>
      <c r="J32" s="8"/>
      <c r="K32" s="24">
        <v>1188</v>
      </c>
      <c r="L32" s="8"/>
      <c r="M32" s="24">
        <v>1224</v>
      </c>
      <c r="N32" s="8"/>
      <c r="O32" s="24">
        <v>1207</v>
      </c>
      <c r="P32" s="8"/>
      <c r="Q32" s="24">
        <v>1179</v>
      </c>
      <c r="R32" s="8"/>
      <c r="S32" s="24">
        <v>1213</v>
      </c>
      <c r="T32" s="8"/>
      <c r="U32" s="24">
        <v>1235</v>
      </c>
      <c r="V32" s="8"/>
      <c r="W32" s="24">
        <v>1218</v>
      </c>
      <c r="X32" s="8"/>
      <c r="Y32" s="24">
        <v>1207</v>
      </c>
      <c r="Z32" s="8"/>
      <c r="AA32" s="24">
        <v>1179</v>
      </c>
      <c r="AB32" s="8"/>
      <c r="AC32" s="8"/>
      <c r="AE32" s="8"/>
      <c r="AG32" s="8"/>
    </row>
    <row r="33" ht="12" customHeight="1">
      <c r="A33" s="8" t="s">
        <v>127</v>
      </c>
      <c r="B33" s="8" t="s">
        <v>805</v>
      </c>
      <c r="C33" s="24">
        <v>1160</v>
      </c>
      <c r="D33" s="8"/>
      <c r="E33" s="24">
        <v>1166</v>
      </c>
      <c r="F33" s="8"/>
      <c r="G33" s="24">
        <v>1198</v>
      </c>
      <c r="H33" s="8"/>
      <c r="I33" s="24">
        <v>1198</v>
      </c>
      <c r="J33" s="8"/>
      <c r="K33" s="24">
        <v>1199</v>
      </c>
      <c r="L33" s="8"/>
      <c r="M33" s="24">
        <v>1207</v>
      </c>
      <c r="N33" s="8"/>
      <c r="O33" s="24">
        <v>1153</v>
      </c>
      <c r="P33" s="8"/>
      <c r="Q33" s="24">
        <v>1154</v>
      </c>
      <c r="R33" s="8"/>
      <c r="S33" s="24">
        <v>1157</v>
      </c>
      <c r="T33" s="8"/>
      <c r="U33" s="24">
        <v>1145</v>
      </c>
      <c r="V33" s="8"/>
      <c r="W33" s="24">
        <v>1151</v>
      </c>
      <c r="X33" s="8"/>
      <c r="Y33" s="24">
        <v>1151</v>
      </c>
      <c r="Z33" s="8"/>
      <c r="AA33" s="24">
        <v>1127</v>
      </c>
      <c r="AB33" s="8"/>
      <c r="AC33" s="8"/>
      <c r="AE33" s="8"/>
      <c r="AG33" s="8"/>
    </row>
    <row r="34" ht="12" customHeight="1">
      <c r="A34" s="8" t="s">
        <v>129</v>
      </c>
      <c r="B34" s="8" t="s">
        <v>806</v>
      </c>
      <c r="C34" s="24">
        <v>1145</v>
      </c>
      <c r="D34" s="8"/>
      <c r="E34" s="24">
        <v>1168</v>
      </c>
      <c r="F34" s="8"/>
      <c r="G34" s="24">
        <v>1196</v>
      </c>
      <c r="H34" s="8"/>
      <c r="I34" s="24">
        <v>1188</v>
      </c>
      <c r="J34" s="8"/>
      <c r="K34" s="24">
        <v>1185</v>
      </c>
      <c r="L34" s="8"/>
      <c r="M34" s="24">
        <v>1194</v>
      </c>
      <c r="N34" s="8"/>
      <c r="O34" s="24">
        <v>1202</v>
      </c>
      <c r="P34" s="8"/>
      <c r="Q34" s="24">
        <v>1223</v>
      </c>
      <c r="R34" s="8"/>
      <c r="S34" s="24">
        <v>1218</v>
      </c>
      <c r="T34" s="8"/>
      <c r="U34" s="24">
        <v>1204</v>
      </c>
      <c r="V34" s="8"/>
      <c r="W34" s="24">
        <v>1224</v>
      </c>
      <c r="X34" s="8"/>
      <c r="Y34" s="24">
        <v>1219</v>
      </c>
      <c r="Z34" s="8"/>
      <c r="AA34" s="24">
        <v>1215</v>
      </c>
      <c r="AB34" s="8"/>
      <c r="AC34" s="8"/>
      <c r="AE34" s="8"/>
      <c r="AG34" s="8"/>
    </row>
    <row r="35" ht="12" customHeight="1">
      <c r="A35" s="11" t="s">
        <v>131</v>
      </c>
      <c r="B35" s="8" t="s">
        <v>807</v>
      </c>
      <c r="C35" s="24">
        <v>1155</v>
      </c>
      <c r="D35" s="8"/>
      <c r="E35" s="24">
        <v>1161</v>
      </c>
      <c r="F35" s="8"/>
      <c r="G35" s="24">
        <v>1174</v>
      </c>
      <c r="H35" s="8"/>
      <c r="I35" s="24">
        <v>1107</v>
      </c>
      <c r="J35" s="8"/>
      <c r="K35" s="24">
        <v>1132</v>
      </c>
      <c r="L35" s="8"/>
      <c r="M35" s="24">
        <v>1153</v>
      </c>
      <c r="N35" s="8"/>
      <c r="O35" s="24">
        <v>1155</v>
      </c>
      <c r="P35" s="8"/>
      <c r="Q35" s="24">
        <v>1256</v>
      </c>
      <c r="R35" s="8"/>
      <c r="S35" s="24">
        <v>1242</v>
      </c>
      <c r="T35" s="8"/>
      <c r="U35" s="24">
        <v>1247</v>
      </c>
      <c r="V35" s="8"/>
      <c r="W35" s="24">
        <v>1247</v>
      </c>
      <c r="X35" s="8"/>
      <c r="Y35" s="24">
        <v>1247</v>
      </c>
      <c r="Z35" s="8"/>
      <c r="AA35" s="24">
        <v>1241</v>
      </c>
      <c r="AB35" s="8"/>
      <c r="AC35" s="8"/>
      <c r="AE35" s="8"/>
      <c r="AG35" s="8"/>
    </row>
    <row r="36" ht="12" customHeight="1">
      <c r="A36" s="8" t="s">
        <v>133</v>
      </c>
      <c r="B36" s="8" t="s">
        <v>808</v>
      </c>
      <c r="C36" s="24">
        <v>1040</v>
      </c>
      <c r="D36" s="8"/>
      <c r="E36" s="24">
        <v>1044</v>
      </c>
      <c r="F36" s="8"/>
      <c r="G36" s="24">
        <v>1054</v>
      </c>
      <c r="H36" s="8"/>
      <c r="I36" s="24">
        <v>788</v>
      </c>
      <c r="J36" s="8"/>
      <c r="K36" s="24">
        <v>792</v>
      </c>
      <c r="L36" s="8"/>
      <c r="M36" s="24">
        <v>792</v>
      </c>
      <c r="N36" s="8"/>
      <c r="O36" s="24">
        <v>795</v>
      </c>
      <c r="P36" s="8"/>
      <c r="Q36" s="24">
        <v>1081</v>
      </c>
      <c r="R36" s="8"/>
      <c r="S36" s="24">
        <v>990</v>
      </c>
      <c r="T36" s="8"/>
      <c r="U36" s="24">
        <v>992</v>
      </c>
      <c r="V36" s="8"/>
      <c r="W36" s="24">
        <v>986</v>
      </c>
      <c r="X36" s="8"/>
      <c r="Y36" s="24">
        <v>951</v>
      </c>
      <c r="Z36" s="8"/>
      <c r="AA36" s="24">
        <v>920</v>
      </c>
      <c r="AB36" s="8"/>
      <c r="AC36" s="8"/>
      <c r="AE36" s="8"/>
      <c r="AG36" s="8"/>
    </row>
    <row r="37" ht="12" customHeight="1">
      <c r="A37" s="8" t="s">
        <v>135</v>
      </c>
      <c r="B37" s="8" t="s">
        <v>809</v>
      </c>
      <c r="C37" s="24">
        <v>1191</v>
      </c>
      <c r="D37" s="8"/>
      <c r="E37" s="24">
        <v>1198</v>
      </c>
      <c r="F37" s="8"/>
      <c r="G37" s="24">
        <v>1212</v>
      </c>
      <c r="H37" s="8"/>
      <c r="I37" s="24">
        <v>1227</v>
      </c>
      <c r="J37" s="8"/>
      <c r="K37" s="24">
        <v>1258</v>
      </c>
      <c r="L37" s="8"/>
      <c r="M37" s="24">
        <v>1288</v>
      </c>
      <c r="N37" s="8"/>
      <c r="O37" s="24">
        <v>1289</v>
      </c>
      <c r="P37" s="8"/>
      <c r="Q37" s="24">
        <v>1306</v>
      </c>
      <c r="R37" s="8"/>
      <c r="S37" s="24">
        <v>1326</v>
      </c>
      <c r="T37" s="8"/>
      <c r="U37" s="24">
        <v>1332</v>
      </c>
      <c r="V37" s="8"/>
      <c r="W37" s="24">
        <v>1336</v>
      </c>
      <c r="X37" s="8"/>
      <c r="Y37" s="24">
        <v>1358</v>
      </c>
      <c r="Z37" s="8"/>
      <c r="AA37" s="24">
        <v>1369</v>
      </c>
      <c r="AB37" s="8"/>
      <c r="AC37" s="8"/>
      <c r="AE37" s="8"/>
      <c r="AG37" s="8"/>
    </row>
    <row r="38" ht="12" customHeight="1">
      <c r="A38" s="8" t="s">
        <v>137</v>
      </c>
      <c r="B38" s="8" t="s">
        <v>810</v>
      </c>
      <c r="C38" s="24">
        <v>1371</v>
      </c>
      <c r="D38" s="8"/>
      <c r="E38" s="24">
        <v>1396</v>
      </c>
      <c r="F38" s="8"/>
      <c r="G38" s="24">
        <v>1424</v>
      </c>
      <c r="H38" s="8"/>
      <c r="I38" s="24">
        <v>1480</v>
      </c>
      <c r="J38" s="8"/>
      <c r="K38" s="24">
        <v>1557</v>
      </c>
      <c r="L38" s="8"/>
      <c r="M38" s="24">
        <v>1585</v>
      </c>
      <c r="N38" s="8"/>
      <c r="O38" s="24">
        <v>1597</v>
      </c>
      <c r="P38" s="8"/>
      <c r="Q38" s="24">
        <v>1708</v>
      </c>
      <c r="R38" s="8"/>
      <c r="S38" s="24">
        <v>1730</v>
      </c>
      <c r="T38" s="8"/>
      <c r="U38" s="24">
        <v>1731</v>
      </c>
      <c r="V38" s="8"/>
      <c r="W38" s="24">
        <v>1746</v>
      </c>
      <c r="X38" s="8"/>
      <c r="Y38" s="24">
        <v>1772</v>
      </c>
      <c r="Z38" s="8"/>
      <c r="AA38" s="24">
        <v>1790</v>
      </c>
      <c r="AB38" s="8"/>
      <c r="AC38" s="8"/>
      <c r="AE38" s="8"/>
      <c r="AG38" s="8"/>
    </row>
    <row r="39" ht="12" customHeight="1">
      <c r="A39" s="11" t="s">
        <v>139</v>
      </c>
      <c r="B39" s="8" t="s">
        <v>811</v>
      </c>
      <c r="C39" s="24">
        <v>1127</v>
      </c>
      <c r="D39" s="8"/>
      <c r="E39" s="24">
        <v>1107</v>
      </c>
      <c r="F39" s="8"/>
      <c r="G39" s="24">
        <v>1090</v>
      </c>
      <c r="H39" s="8"/>
      <c r="I39" s="24">
        <v>1189</v>
      </c>
      <c r="J39" s="8"/>
      <c r="K39" s="24">
        <v>1182</v>
      </c>
      <c r="L39" s="8"/>
      <c r="M39" s="24">
        <v>1164</v>
      </c>
      <c r="N39" s="8"/>
      <c r="O39" s="24">
        <v>1163</v>
      </c>
      <c r="P39" s="8"/>
      <c r="Q39" s="24">
        <v>1128</v>
      </c>
      <c r="R39" s="8"/>
      <c r="S39" s="24">
        <v>1139</v>
      </c>
      <c r="T39" s="8"/>
      <c r="U39" s="24">
        <v>1165</v>
      </c>
      <c r="V39" s="8"/>
      <c r="W39" s="24">
        <v>1143</v>
      </c>
      <c r="X39" s="8"/>
      <c r="Y39" s="24">
        <v>1148</v>
      </c>
      <c r="Z39" s="8"/>
      <c r="AA39" s="24">
        <v>1170</v>
      </c>
      <c r="AB39" s="8"/>
      <c r="AC39" s="8"/>
      <c r="AE39" s="8"/>
      <c r="AG39" s="8"/>
    </row>
    <row r="40" ht="12" customHeight="1">
      <c r="A40" s="8" t="s">
        <v>141</v>
      </c>
      <c r="B40" s="8" t="s">
        <v>812</v>
      </c>
      <c r="C40" s="24">
        <v>1106</v>
      </c>
      <c r="D40" s="8"/>
      <c r="E40" s="24">
        <v>1120</v>
      </c>
      <c r="F40" s="8"/>
      <c r="G40" s="24">
        <v>1134</v>
      </c>
      <c r="H40" s="8"/>
      <c r="I40" s="24">
        <v>1157</v>
      </c>
      <c r="J40" s="8"/>
      <c r="K40" s="24">
        <v>1126</v>
      </c>
      <c r="L40" s="8"/>
      <c r="M40" s="24">
        <v>1123</v>
      </c>
      <c r="N40" s="8"/>
      <c r="O40" s="24">
        <v>1078</v>
      </c>
      <c r="P40" s="8"/>
      <c r="Q40" s="24">
        <v>1053</v>
      </c>
      <c r="R40" s="8"/>
      <c r="S40" s="24">
        <v>1089</v>
      </c>
      <c r="T40" s="8"/>
      <c r="U40" s="24">
        <v>1092</v>
      </c>
      <c r="V40" s="8"/>
      <c r="W40" s="24">
        <v>1107</v>
      </c>
      <c r="X40" s="8"/>
      <c r="Y40" s="24">
        <v>1105</v>
      </c>
      <c r="Z40" s="8"/>
      <c r="AA40" s="24">
        <v>1105</v>
      </c>
      <c r="AB40" s="8"/>
      <c r="AC40" s="8"/>
      <c r="AE40" s="8"/>
      <c r="AG40" s="8"/>
    </row>
    <row r="41" ht="12" customHeight="1">
      <c r="A41" s="8" t="s">
        <v>143</v>
      </c>
      <c r="B41" s="8" t="s">
        <v>813</v>
      </c>
      <c r="C41" s="24">
        <v>1102</v>
      </c>
      <c r="D41" s="8"/>
      <c r="E41" s="24">
        <v>1081</v>
      </c>
      <c r="F41" s="8"/>
      <c r="G41" s="24">
        <v>1070</v>
      </c>
      <c r="H41" s="8"/>
      <c r="I41" s="24">
        <v>1198</v>
      </c>
      <c r="J41" s="8"/>
      <c r="K41" s="24">
        <v>1201</v>
      </c>
      <c r="L41" s="8"/>
      <c r="M41" s="24">
        <v>1183</v>
      </c>
      <c r="N41" s="8"/>
      <c r="O41" s="24">
        <v>1205</v>
      </c>
      <c r="P41" s="8"/>
      <c r="Q41" s="24">
        <v>1155</v>
      </c>
      <c r="R41" s="8"/>
      <c r="S41" s="24">
        <v>1145</v>
      </c>
      <c r="T41" s="8"/>
      <c r="U41" s="24">
        <v>1183</v>
      </c>
      <c r="V41" s="8"/>
      <c r="W41" s="24">
        <v>1158</v>
      </c>
      <c r="X41" s="8"/>
      <c r="Y41" s="24">
        <v>1162</v>
      </c>
      <c r="Z41" s="8"/>
      <c r="AA41" s="24">
        <v>1183</v>
      </c>
      <c r="AB41" s="8"/>
      <c r="AC41" s="8"/>
      <c r="AE41" s="8"/>
      <c r="AG41" s="8"/>
    </row>
    <row r="42" ht="12" customHeight="1">
      <c r="A42" s="8" t="s">
        <v>145</v>
      </c>
      <c r="B42" s="8" t="s">
        <v>814</v>
      </c>
      <c r="C42" s="24">
        <v>1188</v>
      </c>
      <c r="D42" s="8"/>
      <c r="E42" s="24">
        <v>1157</v>
      </c>
      <c r="F42" s="8"/>
      <c r="G42" s="24">
        <v>1139</v>
      </c>
      <c r="H42" s="8"/>
      <c r="I42" s="24">
        <v>1327</v>
      </c>
      <c r="J42" s="8"/>
      <c r="K42" s="24">
        <v>1328</v>
      </c>
      <c r="L42" s="8"/>
      <c r="M42" s="24">
        <v>1296</v>
      </c>
      <c r="N42" s="8"/>
      <c r="O42" s="24">
        <v>1305</v>
      </c>
      <c r="P42" s="8"/>
      <c r="Q42" s="24">
        <v>1224</v>
      </c>
      <c r="R42" s="8"/>
      <c r="S42" s="24">
        <v>1208</v>
      </c>
      <c r="T42" s="8"/>
      <c r="U42" s="24">
        <v>1264</v>
      </c>
      <c r="V42" s="8"/>
      <c r="W42" s="24">
        <v>1203</v>
      </c>
      <c r="X42" s="8"/>
      <c r="Y42" s="24">
        <v>1205</v>
      </c>
      <c r="Z42" s="8"/>
      <c r="AA42" s="24">
        <v>1235</v>
      </c>
      <c r="AB42" s="8"/>
      <c r="AC42" s="8"/>
      <c r="AE42" s="8"/>
      <c r="AG42" s="8"/>
    </row>
    <row r="43" ht="12" customHeight="1">
      <c r="A43" s="8" t="s">
        <v>147</v>
      </c>
      <c r="B43" s="8" t="s">
        <v>815</v>
      </c>
      <c r="C43" s="24">
        <v>1344</v>
      </c>
      <c r="D43" s="8"/>
      <c r="E43" s="24">
        <v>1275</v>
      </c>
      <c r="F43" s="8"/>
      <c r="G43" s="24">
        <v>1178</v>
      </c>
      <c r="H43" s="8"/>
      <c r="I43" s="24">
        <v>1240</v>
      </c>
      <c r="J43" s="8"/>
      <c r="K43" s="24">
        <v>1215</v>
      </c>
      <c r="L43" s="8"/>
      <c r="M43" s="24">
        <v>1174</v>
      </c>
      <c r="N43" s="8"/>
      <c r="O43" s="24">
        <v>1120</v>
      </c>
      <c r="P43" s="8"/>
      <c r="Q43" s="24">
        <v>1147</v>
      </c>
      <c r="R43" s="8"/>
      <c r="S43" s="24">
        <v>1232</v>
      </c>
      <c r="T43" s="8"/>
      <c r="U43" s="24">
        <v>1208</v>
      </c>
      <c r="V43" s="8"/>
      <c r="W43" s="24">
        <v>1154</v>
      </c>
      <c r="X43" s="8"/>
      <c r="Y43" s="24">
        <v>1170</v>
      </c>
      <c r="Z43" s="8"/>
      <c r="AA43" s="24">
        <v>1232</v>
      </c>
      <c r="AB43" s="8"/>
      <c r="AC43" s="8"/>
      <c r="AE43" s="8"/>
      <c r="AG43" s="8"/>
    </row>
    <row r="44" ht="12" customHeight="1">
      <c r="A44" s="11" t="s">
        <v>149</v>
      </c>
      <c r="B44" s="8" t="s">
        <v>816</v>
      </c>
      <c r="C44" s="24">
        <v>858</v>
      </c>
      <c r="D44" s="8"/>
      <c r="E44" s="24">
        <v>861</v>
      </c>
      <c r="F44" s="8"/>
      <c r="G44" s="24">
        <v>865</v>
      </c>
      <c r="H44" s="8"/>
      <c r="I44" s="24">
        <v>878</v>
      </c>
      <c r="J44" s="8"/>
      <c r="K44" s="24">
        <v>892</v>
      </c>
      <c r="L44" s="8"/>
      <c r="M44" s="24">
        <v>898</v>
      </c>
      <c r="N44" s="8"/>
      <c r="O44" s="24">
        <v>904</v>
      </c>
      <c r="P44" s="8"/>
      <c r="Q44" s="24">
        <v>910</v>
      </c>
      <c r="R44" s="8"/>
      <c r="S44" s="24">
        <v>930</v>
      </c>
      <c r="T44" s="8"/>
      <c r="U44" s="24">
        <v>936</v>
      </c>
      <c r="V44" s="8"/>
      <c r="W44" s="24">
        <v>939</v>
      </c>
      <c r="X44" s="8"/>
      <c r="Y44" s="24">
        <v>945</v>
      </c>
      <c r="Z44" s="8"/>
      <c r="AA44" s="24">
        <v>980</v>
      </c>
      <c r="AB44" s="8"/>
      <c r="AC44" s="8"/>
      <c r="AE44" s="8"/>
      <c r="AG44" s="8"/>
    </row>
    <row r="45" ht="12" customHeight="1">
      <c r="A45" s="8" t="s">
        <v>151</v>
      </c>
      <c r="B45" s="8" t="s">
        <v>817</v>
      </c>
      <c r="C45" s="24">
        <v>1438</v>
      </c>
      <c r="D45" s="8"/>
      <c r="E45" s="24">
        <v>1451</v>
      </c>
      <c r="F45" s="8"/>
      <c r="G45" s="24">
        <v>1438</v>
      </c>
      <c r="H45" s="8"/>
      <c r="I45" s="24">
        <v>1530</v>
      </c>
      <c r="J45" s="8"/>
      <c r="K45" s="24">
        <v>1546</v>
      </c>
      <c r="L45" s="8"/>
      <c r="M45" s="24">
        <v>1523</v>
      </c>
      <c r="N45" s="8"/>
      <c r="O45" s="24">
        <v>1513</v>
      </c>
      <c r="P45" s="8"/>
      <c r="Q45" s="24">
        <v>1547</v>
      </c>
      <c r="R45" s="8"/>
      <c r="S45" s="24">
        <v>1546</v>
      </c>
      <c r="T45" s="8"/>
      <c r="U45" s="24">
        <v>1540</v>
      </c>
      <c r="V45" s="8"/>
      <c r="W45" s="24">
        <v>1555</v>
      </c>
      <c r="X45" s="8"/>
      <c r="Y45" s="24">
        <v>1671</v>
      </c>
      <c r="Z45" s="8"/>
      <c r="AA45" s="24">
        <v>1676</v>
      </c>
      <c r="AB45" s="8"/>
      <c r="AC45" s="8"/>
      <c r="AE45" s="8"/>
      <c r="AG45" s="8"/>
    </row>
    <row r="46" ht="12" customHeight="1">
      <c r="A46" s="8" t="s">
        <v>153</v>
      </c>
      <c r="B46" s="8" t="s">
        <v>818</v>
      </c>
      <c r="C46" s="24">
        <v>281</v>
      </c>
      <c r="D46" s="8"/>
      <c r="E46" s="24">
        <v>285</v>
      </c>
      <c r="F46" s="8"/>
      <c r="G46" s="24">
        <v>257</v>
      </c>
      <c r="H46" s="8"/>
      <c r="I46" s="24">
        <v>241</v>
      </c>
      <c r="J46" s="8"/>
      <c r="K46" s="24">
        <v>279</v>
      </c>
      <c r="L46" s="8"/>
      <c r="M46" s="24">
        <v>271</v>
      </c>
      <c r="N46" s="8"/>
      <c r="O46" s="24">
        <v>293</v>
      </c>
      <c r="P46" s="8"/>
      <c r="Q46" s="24">
        <v>249</v>
      </c>
      <c r="R46" s="8"/>
      <c r="S46" s="24">
        <v>249</v>
      </c>
      <c r="T46" s="8"/>
      <c r="U46" s="24">
        <v>236</v>
      </c>
      <c r="V46" s="8"/>
      <c r="W46" s="24">
        <v>219</v>
      </c>
      <c r="X46" s="8"/>
      <c r="Y46" s="24">
        <v>211</v>
      </c>
      <c r="Z46" s="8"/>
      <c r="AA46" s="24">
        <v>235</v>
      </c>
      <c r="AB46" s="8"/>
      <c r="AC46" s="8"/>
      <c r="AE46" s="8"/>
      <c r="AG46" s="8"/>
    </row>
    <row r="47" ht="12" customHeight="1">
      <c r="A47" s="8" t="s">
        <v>155</v>
      </c>
      <c r="B47" s="8" t="s">
        <v>819</v>
      </c>
      <c r="C47" s="24">
        <v>894</v>
      </c>
      <c r="D47" s="8"/>
      <c r="E47" s="24">
        <v>897</v>
      </c>
      <c r="F47" s="8"/>
      <c r="G47" s="24">
        <v>904</v>
      </c>
      <c r="H47" s="8"/>
      <c r="I47" s="24">
        <v>919</v>
      </c>
      <c r="J47" s="8"/>
      <c r="K47" s="24">
        <v>931</v>
      </c>
      <c r="L47" s="8"/>
      <c r="M47" s="24">
        <v>938</v>
      </c>
      <c r="N47" s="8"/>
      <c r="O47" s="24">
        <v>943</v>
      </c>
      <c r="P47" s="8"/>
      <c r="Q47" s="24">
        <v>954</v>
      </c>
      <c r="R47" s="8"/>
      <c r="S47" s="24">
        <v>976</v>
      </c>
      <c r="T47" s="8"/>
      <c r="U47" s="24">
        <v>992</v>
      </c>
      <c r="V47" s="8"/>
      <c r="W47" s="24">
        <v>1006</v>
      </c>
      <c r="X47" s="8"/>
      <c r="Y47" s="24">
        <v>1016</v>
      </c>
      <c r="Z47" s="8"/>
      <c r="AA47" s="24">
        <v>1044</v>
      </c>
      <c r="AB47" s="8"/>
      <c r="AC47" s="8"/>
      <c r="AE47" s="8"/>
      <c r="AG47" s="8"/>
    </row>
    <row r="48" ht="12" customHeight="1">
      <c r="A48" s="11" t="s">
        <v>157</v>
      </c>
      <c r="B48" s="8" t="s">
        <v>820</v>
      </c>
      <c r="C48" s="24">
        <v>1114</v>
      </c>
      <c r="D48" s="8"/>
      <c r="E48" s="24">
        <v>1125</v>
      </c>
      <c r="F48" s="8"/>
      <c r="G48" s="24">
        <v>1131</v>
      </c>
      <c r="H48" s="8"/>
      <c r="I48" s="24">
        <v>1147</v>
      </c>
      <c r="J48" s="8"/>
      <c r="K48" s="24">
        <v>1172</v>
      </c>
      <c r="L48" s="8"/>
      <c r="M48" s="24">
        <v>1191</v>
      </c>
      <c r="N48" s="8"/>
      <c r="O48" s="24">
        <v>1176</v>
      </c>
      <c r="P48" s="8"/>
      <c r="Q48" s="24">
        <v>1177</v>
      </c>
      <c r="R48" s="8"/>
      <c r="S48" s="24">
        <v>1199</v>
      </c>
      <c r="T48" s="8"/>
      <c r="U48" s="24">
        <v>1194</v>
      </c>
      <c r="V48" s="8"/>
      <c r="W48" s="24">
        <v>1202</v>
      </c>
      <c r="X48" s="8"/>
      <c r="Y48" s="24">
        <v>1212</v>
      </c>
      <c r="Z48" s="8"/>
      <c r="AA48" s="24">
        <v>1230</v>
      </c>
      <c r="AB48" s="8"/>
      <c r="AC48" s="8"/>
      <c r="AE48" s="8"/>
      <c r="AG48" s="8"/>
    </row>
    <row r="49" ht="12" customHeight="1">
      <c r="A49" s="8" t="s">
        <v>159</v>
      </c>
      <c r="B49" s="8" t="s">
        <v>821</v>
      </c>
      <c r="C49" s="24">
        <v>411</v>
      </c>
      <c r="D49" s="8"/>
      <c r="E49" s="24">
        <v>390</v>
      </c>
      <c r="F49" s="8"/>
      <c r="G49" s="24">
        <v>331</v>
      </c>
      <c r="H49" s="8"/>
      <c r="I49" s="24">
        <v>343</v>
      </c>
      <c r="J49" s="8"/>
      <c r="K49" s="24">
        <v>372</v>
      </c>
      <c r="L49" s="8"/>
      <c r="M49" s="24">
        <v>338</v>
      </c>
      <c r="N49" s="8"/>
      <c r="O49" s="24">
        <v>304</v>
      </c>
      <c r="P49" s="8"/>
      <c r="Q49" s="24">
        <v>317</v>
      </c>
      <c r="R49" s="8"/>
      <c r="S49" s="24">
        <v>343</v>
      </c>
      <c r="T49" s="8"/>
      <c r="U49" s="24">
        <v>322</v>
      </c>
      <c r="V49" s="8"/>
      <c r="W49" s="24">
        <v>284</v>
      </c>
      <c r="X49" s="8"/>
      <c r="Y49" s="24">
        <v>289</v>
      </c>
      <c r="Z49" s="8"/>
      <c r="AA49" s="24">
        <v>312</v>
      </c>
      <c r="AB49" s="8"/>
      <c r="AC49" s="8"/>
      <c r="AE49" s="8"/>
      <c r="AG49" s="8"/>
    </row>
    <row r="50" ht="12" customHeight="1">
      <c r="A50" s="8" t="s">
        <v>161</v>
      </c>
      <c r="B50" s="8" t="s">
        <v>822</v>
      </c>
      <c r="C50" s="24">
        <v>1228</v>
      </c>
      <c r="D50" s="8"/>
      <c r="E50" s="24">
        <v>1229</v>
      </c>
      <c r="F50" s="8"/>
      <c r="G50" s="24">
        <v>1221</v>
      </c>
      <c r="H50" s="8"/>
      <c r="I50" s="24">
        <v>1218</v>
      </c>
      <c r="J50" s="8"/>
      <c r="K50" s="24">
        <v>1191</v>
      </c>
      <c r="L50" s="8"/>
      <c r="M50" s="24">
        <v>1239</v>
      </c>
      <c r="N50" s="8"/>
      <c r="O50" s="24">
        <v>1240</v>
      </c>
      <c r="P50" s="8"/>
      <c r="Q50" s="24">
        <v>1181</v>
      </c>
      <c r="R50" s="8"/>
      <c r="S50" s="24">
        <v>1177</v>
      </c>
      <c r="T50" s="8"/>
      <c r="U50" s="24">
        <v>1186</v>
      </c>
      <c r="V50" s="8"/>
      <c r="W50" s="24">
        <v>1207</v>
      </c>
      <c r="X50" s="8"/>
      <c r="Y50" s="24">
        <v>1203</v>
      </c>
      <c r="Z50" s="8"/>
      <c r="AA50" s="24">
        <v>1212</v>
      </c>
      <c r="AB50" s="8"/>
      <c r="AC50" s="8"/>
      <c r="AE50" s="8"/>
      <c r="AG50" s="8"/>
    </row>
    <row r="51" ht="12" customHeight="1">
      <c r="A51" s="8" t="s">
        <v>163</v>
      </c>
      <c r="B51" s="8" t="s">
        <v>823</v>
      </c>
      <c r="C51" s="24">
        <v>1241</v>
      </c>
      <c r="D51" s="8"/>
      <c r="E51" s="24">
        <v>1259</v>
      </c>
      <c r="F51" s="8"/>
      <c r="G51" s="24">
        <v>1314</v>
      </c>
      <c r="H51" s="8"/>
      <c r="I51" s="24">
        <v>1318</v>
      </c>
      <c r="J51" s="8"/>
      <c r="K51" s="24">
        <v>1326</v>
      </c>
      <c r="L51" s="8"/>
      <c r="M51" s="24">
        <v>1336</v>
      </c>
      <c r="N51" s="8"/>
      <c r="O51" s="24">
        <v>1323</v>
      </c>
      <c r="P51" s="8"/>
      <c r="Q51" s="24">
        <v>1330</v>
      </c>
      <c r="R51" s="8"/>
      <c r="S51" s="24">
        <v>1340</v>
      </c>
      <c r="T51" s="8"/>
      <c r="U51" s="24">
        <v>1326</v>
      </c>
      <c r="V51" s="8"/>
      <c r="W51" s="24">
        <v>1298</v>
      </c>
      <c r="X51" s="8"/>
      <c r="Y51" s="24">
        <v>1314</v>
      </c>
      <c r="Z51" s="8"/>
      <c r="AA51" s="24">
        <v>1324</v>
      </c>
      <c r="AB51" s="8"/>
      <c r="AC51" s="8"/>
      <c r="AE51" s="8"/>
      <c r="AG51" s="8"/>
    </row>
    <row r="52" ht="12" customHeight="1">
      <c r="A52" s="8" t="s">
        <v>165</v>
      </c>
      <c r="B52" s="8" t="s">
        <v>824</v>
      </c>
      <c r="C52" s="24">
        <v>1079</v>
      </c>
      <c r="D52" s="8"/>
      <c r="E52" s="24">
        <v>1093</v>
      </c>
      <c r="F52" s="8"/>
      <c r="G52" s="24">
        <v>1104</v>
      </c>
      <c r="H52" s="8"/>
      <c r="I52" s="24">
        <v>1116</v>
      </c>
      <c r="J52" s="8"/>
      <c r="K52" s="24">
        <v>1146</v>
      </c>
      <c r="L52" s="8"/>
      <c r="M52" s="24">
        <v>1179</v>
      </c>
      <c r="N52" s="8"/>
      <c r="O52" s="24">
        <v>1202</v>
      </c>
      <c r="P52" s="8"/>
      <c r="Q52" s="24">
        <v>1197</v>
      </c>
      <c r="R52" s="8"/>
      <c r="S52" s="24">
        <v>1209</v>
      </c>
      <c r="T52" s="8"/>
      <c r="U52" s="24">
        <v>1212</v>
      </c>
      <c r="V52" s="8"/>
      <c r="W52" s="24">
        <v>1289</v>
      </c>
      <c r="X52" s="8"/>
      <c r="Y52" s="24">
        <v>1293</v>
      </c>
      <c r="Z52" s="8"/>
      <c r="AA52" s="24">
        <v>1294</v>
      </c>
      <c r="AB52" s="8"/>
      <c r="AC52" s="8"/>
      <c r="AE52" s="8"/>
      <c r="AG52" s="8"/>
    </row>
    <row r="53" ht="12" customHeight="1">
      <c r="A53" s="8" t="s">
        <v>167</v>
      </c>
      <c r="B53" s="8" t="s">
        <v>825</v>
      </c>
      <c r="C53" s="24">
        <v>1422</v>
      </c>
      <c r="D53" s="8"/>
      <c r="E53" s="24">
        <v>1424</v>
      </c>
      <c r="F53" s="8"/>
      <c r="G53" s="24">
        <v>1464</v>
      </c>
      <c r="H53" s="8"/>
      <c r="I53" s="24">
        <v>1502</v>
      </c>
      <c r="J53" s="8"/>
      <c r="K53" s="24">
        <v>1511</v>
      </c>
      <c r="L53" s="8"/>
      <c r="M53" s="24">
        <v>1509</v>
      </c>
      <c r="N53" s="8"/>
      <c r="O53" s="24">
        <v>1538</v>
      </c>
      <c r="P53" s="8"/>
      <c r="Q53" s="24">
        <v>1546</v>
      </c>
      <c r="R53" s="8"/>
      <c r="S53" s="24">
        <v>1568</v>
      </c>
      <c r="T53" s="8"/>
      <c r="U53" s="24">
        <v>1559</v>
      </c>
      <c r="V53" s="8"/>
      <c r="W53" s="24">
        <v>1565</v>
      </c>
      <c r="X53" s="8"/>
      <c r="Y53" s="24">
        <v>1596</v>
      </c>
      <c r="Z53" s="8"/>
      <c r="AA53" s="24">
        <v>1615</v>
      </c>
      <c r="AB53" s="8"/>
      <c r="AC53" s="8"/>
      <c r="AE53" s="8"/>
      <c r="AG53" s="8"/>
    </row>
    <row r="54" ht="12" customHeight="1">
      <c r="A54" s="8" t="s">
        <v>169</v>
      </c>
      <c r="B54" s="8" t="s">
        <v>826</v>
      </c>
      <c r="C54" s="24">
        <v>1674</v>
      </c>
      <c r="D54" s="8"/>
      <c r="E54" s="24">
        <v>1755</v>
      </c>
      <c r="F54" s="8"/>
      <c r="G54" s="24">
        <v>1671</v>
      </c>
      <c r="H54" s="8"/>
      <c r="I54" s="24">
        <v>1718</v>
      </c>
      <c r="J54" s="8"/>
      <c r="K54" s="24">
        <v>1786</v>
      </c>
      <c r="L54" s="8"/>
      <c r="M54" s="24">
        <v>1907</v>
      </c>
      <c r="N54" s="8"/>
      <c r="O54" s="24">
        <v>1737</v>
      </c>
      <c r="P54" s="8"/>
      <c r="Q54" s="24">
        <v>1711</v>
      </c>
      <c r="R54" s="8"/>
      <c r="S54" s="24">
        <v>1799</v>
      </c>
      <c r="T54" s="8"/>
      <c r="U54" s="24">
        <v>1832</v>
      </c>
      <c r="V54" s="8"/>
      <c r="W54" s="24">
        <v>1811</v>
      </c>
      <c r="X54" s="8"/>
      <c r="Y54" s="24">
        <v>1822</v>
      </c>
      <c r="Z54" s="8"/>
      <c r="AA54" s="24">
        <v>1902</v>
      </c>
      <c r="AB54" s="8"/>
      <c r="AC54" s="8"/>
      <c r="AE54" s="8"/>
      <c r="AG54" s="8"/>
    </row>
    <row r="55" ht="12" customHeight="1">
      <c r="A55" s="11" t="s">
        <v>171</v>
      </c>
      <c r="B55" s="8" t="s">
        <v>827</v>
      </c>
      <c r="C55" s="24">
        <v>1109</v>
      </c>
      <c r="D55" s="8"/>
      <c r="E55" s="24">
        <v>1142</v>
      </c>
      <c r="F55" s="8"/>
      <c r="G55" s="24">
        <v>1142</v>
      </c>
      <c r="H55" s="8"/>
      <c r="I55" s="24">
        <v>1155</v>
      </c>
      <c r="J55" s="8"/>
      <c r="K55" s="24">
        <v>1155</v>
      </c>
      <c r="L55" s="8"/>
      <c r="M55" s="24">
        <v>1191</v>
      </c>
      <c r="N55" s="8"/>
      <c r="O55" s="24">
        <v>1191</v>
      </c>
      <c r="P55" s="8"/>
      <c r="Q55" s="24">
        <v>1110</v>
      </c>
      <c r="R55" s="8"/>
      <c r="S55" s="24">
        <v>1110</v>
      </c>
      <c r="T55" s="8"/>
      <c r="U55" s="24">
        <v>1219</v>
      </c>
      <c r="V55" s="8"/>
      <c r="W55" s="24">
        <v>1219</v>
      </c>
      <c r="X55" s="8"/>
      <c r="Y55" s="24">
        <v>1226</v>
      </c>
      <c r="Z55" s="8"/>
      <c r="AA55" s="24">
        <v>1226</v>
      </c>
      <c r="AB55" s="8"/>
      <c r="AC55" s="8"/>
      <c r="AE55" s="8"/>
      <c r="AG55" s="8"/>
    </row>
    <row r="56" ht="12" customHeight="1">
      <c r="A56" s="8" t="s">
        <v>173</v>
      </c>
      <c r="B56" s="8" t="s">
        <v>828</v>
      </c>
      <c r="C56" s="24">
        <v>1240</v>
      </c>
      <c r="D56" s="8"/>
      <c r="E56" s="24">
        <v>1240</v>
      </c>
      <c r="F56" s="8"/>
      <c r="G56" s="24">
        <v>1240</v>
      </c>
      <c r="H56" s="8"/>
      <c r="I56" s="24">
        <v>1283</v>
      </c>
      <c r="J56" s="8"/>
      <c r="K56" s="24">
        <v>1283</v>
      </c>
      <c r="L56" s="8"/>
      <c r="M56" s="24">
        <v>1283</v>
      </c>
      <c r="N56" s="8"/>
      <c r="O56" s="24">
        <v>1283</v>
      </c>
      <c r="P56" s="8"/>
      <c r="Q56" s="24">
        <v>1005</v>
      </c>
      <c r="R56" s="8"/>
      <c r="S56" s="24">
        <v>1005</v>
      </c>
      <c r="T56" s="8"/>
      <c r="U56" s="24">
        <v>1005</v>
      </c>
      <c r="V56" s="8"/>
      <c r="W56" s="24">
        <v>1005</v>
      </c>
      <c r="X56" s="8"/>
      <c r="Y56" s="24">
        <v>1029</v>
      </c>
      <c r="Z56" s="8"/>
      <c r="AA56" s="24">
        <v>1029</v>
      </c>
      <c r="AB56" s="8"/>
      <c r="AC56" s="8"/>
      <c r="AE56" s="8"/>
      <c r="AG56" s="8"/>
    </row>
    <row r="57" ht="12" customHeight="1">
      <c r="A57" s="8" t="s">
        <v>175</v>
      </c>
      <c r="B57" s="8" t="s">
        <v>829</v>
      </c>
      <c r="C57" s="24">
        <v>1139</v>
      </c>
      <c r="D57" s="8"/>
      <c r="E57" s="24">
        <v>1164</v>
      </c>
      <c r="F57" s="8"/>
      <c r="G57" s="24">
        <v>1164</v>
      </c>
      <c r="H57" s="8"/>
      <c r="I57" s="24">
        <v>1164</v>
      </c>
      <c r="J57" s="8"/>
      <c r="K57" s="24">
        <v>1164</v>
      </c>
      <c r="L57" s="8"/>
      <c r="M57" s="24">
        <v>1205</v>
      </c>
      <c r="N57" s="8"/>
      <c r="O57" s="24">
        <v>1205</v>
      </c>
      <c r="P57" s="8"/>
      <c r="Q57" s="24">
        <v>1205</v>
      </c>
      <c r="R57" s="8"/>
      <c r="S57" s="24">
        <v>1205</v>
      </c>
      <c r="T57" s="8"/>
      <c r="U57" s="24">
        <v>1254</v>
      </c>
      <c r="V57" s="8"/>
      <c r="W57" s="24">
        <v>1254</v>
      </c>
      <c r="X57" s="8"/>
      <c r="Y57" s="24">
        <v>1254</v>
      </c>
      <c r="Z57" s="8"/>
      <c r="AA57" s="24">
        <v>1254</v>
      </c>
      <c r="AB57" s="8"/>
      <c r="AC57" s="8"/>
      <c r="AE57" s="8"/>
      <c r="AG57" s="8"/>
    </row>
    <row r="58" ht="12" customHeight="1">
      <c r="A58" s="8" t="s">
        <v>177</v>
      </c>
      <c r="B58" s="8" t="s">
        <v>830</v>
      </c>
      <c r="C58" s="24">
        <v>954</v>
      </c>
      <c r="D58" s="8"/>
      <c r="E58" s="24">
        <v>1011</v>
      </c>
      <c r="F58" s="8"/>
      <c r="G58" s="24">
        <v>1011</v>
      </c>
      <c r="H58" s="8"/>
      <c r="I58" s="24">
        <v>1011</v>
      </c>
      <c r="J58" s="8"/>
      <c r="K58" s="24">
        <v>1011</v>
      </c>
      <c r="L58" s="8"/>
      <c r="M58" s="24">
        <v>1064</v>
      </c>
      <c r="N58" s="8"/>
      <c r="O58" s="24">
        <v>1064</v>
      </c>
      <c r="P58" s="8"/>
      <c r="Q58" s="24">
        <v>1064</v>
      </c>
      <c r="R58" s="8"/>
      <c r="S58" s="24">
        <v>1064</v>
      </c>
      <c r="T58" s="8"/>
      <c r="U58" s="24">
        <v>1305</v>
      </c>
      <c r="V58" s="8"/>
      <c r="W58" s="24">
        <v>1305</v>
      </c>
      <c r="X58" s="8"/>
      <c r="Y58" s="24">
        <v>1305</v>
      </c>
      <c r="Z58" s="8"/>
      <c r="AA58" s="24">
        <v>1305</v>
      </c>
      <c r="AB58" s="8"/>
      <c r="AC58" s="8"/>
      <c r="AE58" s="8"/>
      <c r="AG58" s="8"/>
    </row>
    <row r="59" ht="12" customHeight="1">
      <c r="A59" s="8" t="s">
        <v>179</v>
      </c>
      <c r="B59" s="8" t="s">
        <v>831</v>
      </c>
      <c r="C59" s="24">
        <v>1112</v>
      </c>
      <c r="D59" s="8"/>
      <c r="E59" s="24">
        <v>1174</v>
      </c>
      <c r="F59" s="8"/>
      <c r="G59" s="24">
        <v>1174</v>
      </c>
      <c r="H59" s="8"/>
      <c r="I59" s="24">
        <v>1174</v>
      </c>
      <c r="J59" s="8"/>
      <c r="K59" s="24">
        <v>1174</v>
      </c>
      <c r="L59" s="8"/>
      <c r="M59" s="24">
        <v>1229</v>
      </c>
      <c r="N59" s="8"/>
      <c r="O59" s="24">
        <v>1229</v>
      </c>
      <c r="P59" s="8"/>
      <c r="Q59" s="24">
        <v>1229</v>
      </c>
      <c r="R59" s="8"/>
      <c r="S59" s="24">
        <v>1229</v>
      </c>
      <c r="T59" s="8"/>
      <c r="U59" s="24">
        <v>1292</v>
      </c>
      <c r="V59" s="8"/>
      <c r="W59" s="24">
        <v>1292</v>
      </c>
      <c r="X59" s="8"/>
      <c r="Y59" s="24">
        <v>1292</v>
      </c>
      <c r="Z59" s="8"/>
      <c r="AA59" s="24">
        <v>1292</v>
      </c>
      <c r="AB59" s="8"/>
      <c r="AC59" s="8"/>
      <c r="AE59" s="8"/>
      <c r="AG59" s="8"/>
    </row>
    <row r="60" ht="12" customHeight="1">
      <c r="A60" s="11" t="s">
        <v>181</v>
      </c>
      <c r="B60" s="8" t="s">
        <v>832</v>
      </c>
      <c r="C60" s="24">
        <v>1285</v>
      </c>
      <c r="D60" s="8"/>
      <c r="E60" s="24">
        <v>1314</v>
      </c>
      <c r="F60" s="8"/>
      <c r="G60" s="24">
        <v>1357</v>
      </c>
      <c r="H60" s="8"/>
      <c r="I60" s="24">
        <v>1395</v>
      </c>
      <c r="J60" s="8"/>
      <c r="K60" s="24">
        <v>1430</v>
      </c>
      <c r="L60" s="8"/>
      <c r="M60" s="24">
        <v>1476</v>
      </c>
      <c r="N60" s="8"/>
      <c r="O60" s="24">
        <v>1518</v>
      </c>
      <c r="P60" s="8"/>
      <c r="Q60" s="24">
        <v>1546</v>
      </c>
      <c r="R60" s="8"/>
      <c r="S60" s="24">
        <v>1571</v>
      </c>
      <c r="T60" s="8"/>
      <c r="U60" s="24">
        <v>1589</v>
      </c>
      <c r="V60" s="8"/>
      <c r="W60" s="24">
        <v>1608</v>
      </c>
      <c r="X60" s="8"/>
      <c r="Y60" s="24">
        <v>1616</v>
      </c>
      <c r="Z60" s="8"/>
      <c r="AA60" s="24">
        <v>1621</v>
      </c>
      <c r="AB60" s="8"/>
      <c r="AC60" s="8"/>
      <c r="AE60" s="8"/>
      <c r="AG60" s="8"/>
    </row>
    <row r="61" ht="12" customHeight="1">
      <c r="A61" s="8" t="s">
        <v>183</v>
      </c>
      <c r="B61" s="8" t="s">
        <v>833</v>
      </c>
      <c r="C61" s="24">
        <v>1125</v>
      </c>
      <c r="D61" s="8"/>
      <c r="E61" s="24">
        <v>1148</v>
      </c>
      <c r="F61" s="8"/>
      <c r="G61" s="24">
        <v>1174</v>
      </c>
      <c r="H61" s="8"/>
      <c r="I61" s="24">
        <v>1167</v>
      </c>
      <c r="J61" s="8"/>
      <c r="K61" s="24">
        <v>1153</v>
      </c>
      <c r="L61" s="8"/>
      <c r="M61" s="24">
        <v>1154</v>
      </c>
      <c r="N61" s="8"/>
      <c r="O61" s="24">
        <v>1155</v>
      </c>
      <c r="P61" s="8"/>
      <c r="Q61" s="24">
        <v>1153</v>
      </c>
      <c r="R61" s="8"/>
      <c r="S61" s="24">
        <v>1152</v>
      </c>
      <c r="T61" s="8"/>
      <c r="U61" s="24">
        <v>1158</v>
      </c>
      <c r="V61" s="8"/>
      <c r="W61" s="24">
        <v>1170</v>
      </c>
      <c r="X61" s="8"/>
      <c r="Y61" s="24">
        <v>1173</v>
      </c>
      <c r="Z61" s="8"/>
      <c r="AA61" s="24">
        <v>1172</v>
      </c>
      <c r="AB61" s="8"/>
      <c r="AC61" s="8"/>
      <c r="AE61" s="8"/>
      <c r="AG61" s="8"/>
    </row>
    <row r="62" ht="12" customHeight="1">
      <c r="A62" s="8" t="s">
        <v>185</v>
      </c>
      <c r="B62" s="8" t="s">
        <v>834</v>
      </c>
      <c r="C62" s="24">
        <v>1303</v>
      </c>
      <c r="D62" s="8"/>
      <c r="E62" s="24">
        <v>1290</v>
      </c>
      <c r="F62" s="8"/>
      <c r="G62" s="24">
        <v>1305</v>
      </c>
      <c r="H62" s="8"/>
      <c r="I62" s="24">
        <v>1330</v>
      </c>
      <c r="J62" s="8"/>
      <c r="K62" s="24">
        <v>1359</v>
      </c>
      <c r="L62" s="8"/>
      <c r="M62" s="24">
        <v>1363</v>
      </c>
      <c r="N62" s="8"/>
      <c r="O62" s="24">
        <v>1421</v>
      </c>
      <c r="P62" s="8"/>
      <c r="Q62" s="24">
        <v>1452</v>
      </c>
      <c r="R62" s="8"/>
      <c r="S62" s="24">
        <v>1513</v>
      </c>
      <c r="T62" s="8"/>
      <c r="U62" s="24">
        <v>1511</v>
      </c>
      <c r="V62" s="8"/>
      <c r="W62" s="24">
        <v>1548</v>
      </c>
      <c r="X62" s="8"/>
      <c r="Y62" s="24">
        <v>1566</v>
      </c>
      <c r="Z62" s="8"/>
      <c r="AA62" s="24">
        <v>1610</v>
      </c>
      <c r="AB62" s="8"/>
      <c r="AC62" s="8"/>
      <c r="AE62" s="8"/>
      <c r="AG62" s="8"/>
    </row>
    <row r="63" ht="12" customHeight="1">
      <c r="A63" s="8" t="s">
        <v>187</v>
      </c>
      <c r="B63" s="8" t="s">
        <v>835</v>
      </c>
      <c r="C63" s="24">
        <v>1371</v>
      </c>
      <c r="D63" s="8"/>
      <c r="E63" s="24">
        <v>1406</v>
      </c>
      <c r="F63" s="8"/>
      <c r="G63" s="24">
        <v>1466</v>
      </c>
      <c r="H63" s="8"/>
      <c r="I63" s="24">
        <v>1532</v>
      </c>
      <c r="J63" s="8"/>
      <c r="K63" s="24">
        <v>1601</v>
      </c>
      <c r="L63" s="8"/>
      <c r="M63" s="24">
        <v>1679</v>
      </c>
      <c r="N63" s="8"/>
      <c r="O63" s="24">
        <v>1749</v>
      </c>
      <c r="P63" s="8"/>
      <c r="Q63" s="24">
        <v>1799</v>
      </c>
      <c r="R63" s="8"/>
      <c r="S63" s="24">
        <v>1843</v>
      </c>
      <c r="T63" s="8"/>
      <c r="U63" s="24">
        <v>1870</v>
      </c>
      <c r="V63" s="8"/>
      <c r="W63" s="24">
        <v>1894</v>
      </c>
      <c r="X63" s="8"/>
      <c r="Y63" s="24">
        <v>1908</v>
      </c>
      <c r="Z63" s="8"/>
      <c r="AA63" s="24">
        <v>1917</v>
      </c>
      <c r="AB63" s="8"/>
      <c r="AC63" s="8"/>
      <c r="AE63" s="8"/>
      <c r="AG63" s="8"/>
    </row>
    <row r="64" ht="12" customHeight="1">
      <c r="A64" s="8" t="s">
        <v>189</v>
      </c>
      <c r="B64" s="8" t="s">
        <v>836</v>
      </c>
      <c r="C64" s="24">
        <v>687</v>
      </c>
      <c r="D64" s="8"/>
      <c r="E64" s="24">
        <v>675</v>
      </c>
      <c r="F64" s="8"/>
      <c r="G64" s="24">
        <v>675</v>
      </c>
      <c r="H64" s="8"/>
      <c r="I64" s="24">
        <v>675</v>
      </c>
      <c r="J64" s="8"/>
      <c r="K64" s="24">
        <v>675</v>
      </c>
      <c r="L64" s="8"/>
      <c r="M64" s="24">
        <v>675</v>
      </c>
      <c r="N64" s="8"/>
      <c r="O64" s="24">
        <v>675</v>
      </c>
      <c r="P64" s="8"/>
      <c r="Q64" s="24">
        <v>656</v>
      </c>
      <c r="R64" s="8"/>
      <c r="S64" s="24">
        <v>641</v>
      </c>
      <c r="T64" s="8"/>
      <c r="U64" s="24">
        <v>641</v>
      </c>
      <c r="V64" s="8"/>
      <c r="W64" s="24">
        <v>637</v>
      </c>
      <c r="X64" s="8"/>
      <c r="Y64" s="24">
        <v>637</v>
      </c>
      <c r="Z64" s="8"/>
      <c r="AA64" s="24">
        <v>637</v>
      </c>
      <c r="AB64" s="8"/>
      <c r="AC64" s="8"/>
      <c r="AE64" s="8"/>
      <c r="AG64" s="8"/>
    </row>
    <row r="65" ht="12" customHeight="1">
      <c r="A65" s="8" t="s">
        <v>191</v>
      </c>
      <c r="B65" s="8" t="s">
        <v>837</v>
      </c>
      <c r="C65" s="24">
        <v>1298</v>
      </c>
      <c r="D65" s="8"/>
      <c r="E65" s="24">
        <v>1313</v>
      </c>
      <c r="F65" s="8"/>
      <c r="G65" s="24">
        <v>1330</v>
      </c>
      <c r="H65" s="8"/>
      <c r="I65" s="24">
        <v>1353</v>
      </c>
      <c r="J65" s="8"/>
      <c r="K65" s="24">
        <v>1363</v>
      </c>
      <c r="L65" s="8"/>
      <c r="M65" s="24">
        <v>1373</v>
      </c>
      <c r="N65" s="8"/>
      <c r="O65" s="24">
        <v>1392</v>
      </c>
      <c r="P65" s="8"/>
      <c r="Q65" s="24">
        <v>1398</v>
      </c>
      <c r="R65" s="8"/>
      <c r="S65" s="24">
        <v>1408</v>
      </c>
      <c r="T65" s="8"/>
      <c r="U65" s="24">
        <v>1419</v>
      </c>
      <c r="V65" s="8"/>
      <c r="W65" s="24">
        <v>1435</v>
      </c>
      <c r="X65" s="8"/>
      <c r="Y65" s="24">
        <v>1418</v>
      </c>
      <c r="Z65" s="8"/>
      <c r="AA65" s="24">
        <v>1418</v>
      </c>
      <c r="AB65" s="8"/>
      <c r="AC65" s="8"/>
      <c r="AE65" s="8"/>
      <c r="AG65" s="8"/>
    </row>
    <row r="66" ht="12" customHeight="1">
      <c r="A66" s="11" t="s">
        <v>193</v>
      </c>
      <c r="B66" s="8" t="s">
        <v>838</v>
      </c>
      <c r="C66" s="24">
        <v>1449</v>
      </c>
      <c r="D66" s="8"/>
      <c r="E66" s="24">
        <v>1549</v>
      </c>
      <c r="F66" s="8"/>
      <c r="G66" s="24">
        <v>1606</v>
      </c>
      <c r="H66" s="8"/>
      <c r="I66" s="24">
        <v>1738</v>
      </c>
      <c r="J66" s="8"/>
      <c r="K66" s="24">
        <v>1902</v>
      </c>
      <c r="L66" s="8"/>
      <c r="M66" s="24">
        <v>1986</v>
      </c>
      <c r="N66" s="8"/>
      <c r="O66" s="24">
        <v>2029</v>
      </c>
      <c r="P66" s="8"/>
      <c r="Q66" s="24">
        <v>2051</v>
      </c>
      <c r="R66" s="8"/>
      <c r="S66" s="24">
        <v>2039</v>
      </c>
      <c r="T66" s="8"/>
      <c r="U66" s="24">
        <v>2001</v>
      </c>
      <c r="V66" s="8"/>
      <c r="W66" s="24">
        <v>1882</v>
      </c>
      <c r="X66" s="8"/>
      <c r="Y66" s="24">
        <v>1770</v>
      </c>
      <c r="Z66" s="8"/>
      <c r="AA66" s="24">
        <v>1702</v>
      </c>
      <c r="AB66" s="8"/>
      <c r="AC66" s="8"/>
      <c r="AE66" s="8"/>
      <c r="AG66" s="8"/>
    </row>
    <row r="67" ht="12" customHeight="1">
      <c r="A67" s="8" t="s">
        <v>195</v>
      </c>
      <c r="B67" s="8" t="s">
        <v>839</v>
      </c>
      <c r="C67" s="24">
        <v>1449</v>
      </c>
      <c r="D67" s="8"/>
      <c r="E67" s="24">
        <v>1549</v>
      </c>
      <c r="F67" s="8"/>
      <c r="G67" s="24">
        <v>1606</v>
      </c>
      <c r="H67" s="8"/>
      <c r="I67" s="24">
        <v>1738</v>
      </c>
      <c r="J67" s="8"/>
      <c r="K67" s="24">
        <v>1902</v>
      </c>
      <c r="L67" s="8"/>
      <c r="M67" s="24">
        <v>1986</v>
      </c>
      <c r="N67" s="8"/>
      <c r="O67" s="24">
        <v>2029</v>
      </c>
      <c r="P67" s="8"/>
      <c r="Q67" s="24">
        <v>2051</v>
      </c>
      <c r="R67" s="8"/>
      <c r="S67" s="24">
        <v>2039</v>
      </c>
      <c r="T67" s="8"/>
      <c r="U67" s="24">
        <v>2001</v>
      </c>
      <c r="V67" s="8"/>
      <c r="W67" s="24">
        <v>1882</v>
      </c>
      <c r="X67" s="8"/>
      <c r="Y67" s="24">
        <v>1770</v>
      </c>
      <c r="Z67" s="8"/>
      <c r="AA67" s="24">
        <v>1702</v>
      </c>
      <c r="AB67" s="8"/>
      <c r="AC67" s="8"/>
      <c r="AE67" s="8"/>
      <c r="AG67" s="8"/>
    </row>
    <row r="68" ht="12" customHeight="1">
      <c r="A68" s="13" t="s">
        <v>69</v>
      </c>
      <c r="B68" s="10" t="s">
        <v>60</v>
      </c>
      <c r="C68" s="25">
        <v>1229</v>
      </c>
      <c r="D68" s="10"/>
      <c r="E68" s="25">
        <v>1252</v>
      </c>
      <c r="F68" s="10"/>
      <c r="G68" s="25">
        <v>1270</v>
      </c>
      <c r="H68" s="10"/>
      <c r="I68" s="25">
        <v>1300</v>
      </c>
      <c r="J68" s="10"/>
      <c r="K68" s="25">
        <v>1313</v>
      </c>
      <c r="L68" s="10"/>
      <c r="M68" s="25">
        <v>1327</v>
      </c>
      <c r="N68" s="10"/>
      <c r="O68" s="25">
        <v>1336</v>
      </c>
      <c r="P68" s="10"/>
      <c r="Q68" s="25">
        <v>1352</v>
      </c>
      <c r="R68" s="10"/>
      <c r="S68" s="25">
        <v>1358</v>
      </c>
      <c r="T68" s="10"/>
      <c r="U68" s="25">
        <v>1373</v>
      </c>
      <c r="V68" s="10"/>
      <c r="W68" s="25">
        <v>1380</v>
      </c>
      <c r="X68" s="10"/>
      <c r="Y68" s="25">
        <v>1393</v>
      </c>
      <c r="Z68" s="10"/>
      <c r="AA68" s="25">
        <v>1397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840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779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149999999999999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780</v>
      </c>
      <c r="C8" s="22">
        <v>2.2000000000000002</v>
      </c>
      <c r="D8" s="22"/>
      <c r="E8" s="22">
        <v>4.0999999999999996</v>
      </c>
      <c r="F8" s="22"/>
      <c r="G8" s="22">
        <v>2.1000000000000001</v>
      </c>
      <c r="H8" s="22"/>
      <c r="I8" s="22">
        <v>0.69999999999999996</v>
      </c>
      <c r="J8" s="22"/>
      <c r="K8" s="22">
        <v>-1.1000000000000001</v>
      </c>
      <c r="L8" s="22"/>
      <c r="M8" s="22">
        <v>0.40000000000000002</v>
      </c>
      <c r="N8" s="22"/>
      <c r="O8" s="22">
        <v>-0.20000000000000001</v>
      </c>
      <c r="P8" s="22"/>
      <c r="Q8" s="22">
        <v>1.3999999999999999</v>
      </c>
      <c r="R8" s="22"/>
      <c r="S8" s="22">
        <v>-0.5</v>
      </c>
      <c r="T8" s="22"/>
      <c r="U8" s="22">
        <v>2</v>
      </c>
      <c r="V8" s="22"/>
      <c r="W8" s="22">
        <v>1.6000000000000001</v>
      </c>
      <c r="X8" s="22"/>
      <c r="Y8" s="22">
        <v>1.8</v>
      </c>
      <c r="Z8" s="22"/>
      <c r="AA8" s="22">
        <v>-0.90000000000000002</v>
      </c>
      <c r="AB8" s="18"/>
      <c r="AC8" s="18"/>
    </row>
    <row r="9" ht="12" customHeight="1">
      <c r="A9" s="8" t="s">
        <v>79</v>
      </c>
      <c r="B9" s="8" t="s">
        <v>781</v>
      </c>
      <c r="C9" s="26">
        <v>-3.7999999999999998</v>
      </c>
      <c r="D9" s="8"/>
      <c r="E9" s="26">
        <v>9.6999999999999993</v>
      </c>
      <c r="F9" s="8"/>
      <c r="G9" s="26">
        <v>-0.69999999999999996</v>
      </c>
      <c r="H9" s="8"/>
      <c r="I9" s="26">
        <v>1.2</v>
      </c>
      <c r="J9" s="8"/>
      <c r="K9" s="26">
        <v>-5.5</v>
      </c>
      <c r="L9" s="8"/>
      <c r="M9" s="26">
        <v>-2.2000000000000002</v>
      </c>
      <c r="N9" s="8"/>
      <c r="O9" s="26">
        <v>-7.7999999999999998</v>
      </c>
      <c r="P9" s="8"/>
      <c r="Q9" s="26">
        <v>5.0999999999999996</v>
      </c>
      <c r="R9" s="8"/>
      <c r="S9" s="26">
        <v>-4.5</v>
      </c>
      <c r="T9" s="8"/>
      <c r="U9" s="26">
        <v>1.5</v>
      </c>
      <c r="V9" s="8"/>
      <c r="W9" s="26">
        <v>2.7999999999999998</v>
      </c>
      <c r="X9" s="8"/>
      <c r="Y9" s="26">
        <v>8.3000000000000007</v>
      </c>
      <c r="Z9" s="8"/>
      <c r="AA9" s="26">
        <v>-8.0999999999999996</v>
      </c>
      <c r="AB9" s="8"/>
      <c r="AC9" s="8"/>
    </row>
    <row r="10" ht="12" customHeight="1">
      <c r="A10" s="8" t="s">
        <v>81</v>
      </c>
      <c r="B10" s="8" t="s">
        <v>782</v>
      </c>
      <c r="C10" s="26">
        <v>4.4000000000000004</v>
      </c>
      <c r="D10" s="8"/>
      <c r="E10" s="26">
        <v>1.3</v>
      </c>
      <c r="F10" s="8"/>
      <c r="G10" s="26">
        <v>1.8999999999999999</v>
      </c>
      <c r="H10" s="8"/>
      <c r="I10" s="26">
        <v>0.20000000000000001</v>
      </c>
      <c r="J10" s="8"/>
      <c r="K10" s="26">
        <v>-0.80000000000000004</v>
      </c>
      <c r="L10" s="8"/>
      <c r="M10" s="26">
        <v>-0.40000000000000002</v>
      </c>
      <c r="N10" s="8"/>
      <c r="O10" s="26">
        <v>0.29999999999999999</v>
      </c>
      <c r="P10" s="8"/>
      <c r="Q10" s="26">
        <v>1.3</v>
      </c>
      <c r="R10" s="8"/>
      <c r="S10" s="26">
        <v>1.2</v>
      </c>
      <c r="T10" s="8"/>
      <c r="U10" s="26">
        <v>1.5</v>
      </c>
      <c r="V10" s="8"/>
      <c r="W10" s="26">
        <v>1.3</v>
      </c>
      <c r="X10" s="8"/>
      <c r="Y10" s="26">
        <v>3.6000000000000001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783</v>
      </c>
      <c r="C11" s="26">
        <v>3.5</v>
      </c>
      <c r="D11" s="8"/>
      <c r="E11" s="26">
        <v>4.4000000000000004</v>
      </c>
      <c r="F11" s="8"/>
      <c r="G11" s="26">
        <v>2.7000000000000002</v>
      </c>
      <c r="H11" s="8"/>
      <c r="I11" s="26">
        <v>0.20000000000000001</v>
      </c>
      <c r="J11" s="8"/>
      <c r="K11" s="26">
        <v>-0.90000000000000002</v>
      </c>
      <c r="L11" s="8"/>
      <c r="M11" s="26">
        <v>1</v>
      </c>
      <c r="N11" s="8"/>
      <c r="O11" s="26">
        <v>1</v>
      </c>
      <c r="P11" s="8"/>
      <c r="Q11" s="26">
        <v>0.80000000000000004</v>
      </c>
      <c r="R11" s="8"/>
      <c r="S11" s="26">
        <v>-0.20000000000000001</v>
      </c>
      <c r="T11" s="8"/>
      <c r="U11" s="26">
        <v>3</v>
      </c>
      <c r="V11" s="8"/>
      <c r="W11" s="26">
        <v>1.5</v>
      </c>
      <c r="X11" s="8"/>
      <c r="Y11" s="26">
        <v>0.40000000000000002</v>
      </c>
      <c r="Z11" s="8"/>
      <c r="AA11" s="26">
        <v>-0.29999999999999999</v>
      </c>
      <c r="AB11" s="8"/>
      <c r="AC11" s="8"/>
    </row>
    <row r="12" ht="12" customHeight="1">
      <c r="A12" s="8" t="s">
        <v>85</v>
      </c>
      <c r="B12" s="8" t="s">
        <v>784</v>
      </c>
      <c r="C12" s="26">
        <v>2.7999999999999998</v>
      </c>
      <c r="D12" s="8"/>
      <c r="E12" s="26">
        <v>2.2999999999999998</v>
      </c>
      <c r="F12" s="8"/>
      <c r="G12" s="26">
        <v>2.7999999999999998</v>
      </c>
      <c r="H12" s="8"/>
      <c r="I12" s="26">
        <v>0.80000000000000004</v>
      </c>
      <c r="J12" s="8"/>
      <c r="K12" s="26">
        <v>0.20000000000000001</v>
      </c>
      <c r="L12" s="8"/>
      <c r="M12" s="26">
        <v>1.2</v>
      </c>
      <c r="N12" s="8"/>
      <c r="O12" s="26">
        <v>2.2999999999999998</v>
      </c>
      <c r="P12" s="8"/>
      <c r="Q12" s="26">
        <v>0.69999999999999996</v>
      </c>
      <c r="R12" s="8"/>
      <c r="S12" s="26">
        <v>0</v>
      </c>
      <c r="T12" s="8"/>
      <c r="U12" s="26">
        <v>2.5</v>
      </c>
      <c r="V12" s="8"/>
      <c r="W12" s="26">
        <v>2.8999999999999999</v>
      </c>
      <c r="X12" s="8"/>
      <c r="Y12" s="26">
        <v>-0.80000000000000004</v>
      </c>
      <c r="Z12" s="8"/>
      <c r="AA12" s="26">
        <v>0.69999999999999996</v>
      </c>
      <c r="AB12" s="8"/>
      <c r="AC12" s="8"/>
    </row>
    <row r="13" ht="12" customHeight="1">
      <c r="A13" s="8" t="s">
        <v>87</v>
      </c>
      <c r="B13" s="8" t="s">
        <v>785</v>
      </c>
      <c r="C13" s="26">
        <v>2.2000000000000002</v>
      </c>
      <c r="D13" s="8"/>
      <c r="E13" s="26">
        <v>2</v>
      </c>
      <c r="F13" s="8"/>
      <c r="G13" s="26">
        <v>3.1000000000000001</v>
      </c>
      <c r="H13" s="8"/>
      <c r="I13" s="26">
        <v>1.7</v>
      </c>
      <c r="J13" s="8"/>
      <c r="K13" s="26">
        <v>0.80000000000000004</v>
      </c>
      <c r="L13" s="8"/>
      <c r="M13" s="26">
        <v>1</v>
      </c>
      <c r="N13" s="8"/>
      <c r="O13" s="26">
        <v>1.3999999999999999</v>
      </c>
      <c r="P13" s="8"/>
      <c r="Q13" s="26">
        <v>0.5</v>
      </c>
      <c r="R13" s="8"/>
      <c r="S13" s="26">
        <v>0.5</v>
      </c>
      <c r="T13" s="8"/>
      <c r="U13" s="26">
        <v>0.29999999999999999</v>
      </c>
      <c r="V13" s="8"/>
      <c r="W13" s="26">
        <v>0.90000000000000002</v>
      </c>
      <c r="X13" s="8"/>
      <c r="Y13" s="26">
        <v>0.80000000000000004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786</v>
      </c>
      <c r="C14" s="26">
        <v>0.69999999999999996</v>
      </c>
      <c r="D14" s="8"/>
      <c r="E14" s="26">
        <v>4.7000000000000002</v>
      </c>
      <c r="F14" s="8"/>
      <c r="G14" s="26">
        <v>1</v>
      </c>
      <c r="H14" s="8"/>
      <c r="I14" s="26">
        <v>1.1000000000000001</v>
      </c>
      <c r="J14" s="8"/>
      <c r="K14" s="26">
        <v>1.6000000000000001</v>
      </c>
      <c r="L14" s="8"/>
      <c r="M14" s="26">
        <v>4.0999999999999996</v>
      </c>
      <c r="N14" s="8"/>
      <c r="O14" s="26">
        <v>0.69999999999999996</v>
      </c>
      <c r="P14" s="8"/>
      <c r="Q14" s="26">
        <v>0.5</v>
      </c>
      <c r="R14" s="8"/>
      <c r="S14" s="26">
        <v>0.20000000000000001</v>
      </c>
      <c r="T14" s="8"/>
      <c r="U14" s="26">
        <v>2</v>
      </c>
      <c r="V14" s="8"/>
      <c r="W14" s="26">
        <v>-0.20000000000000001</v>
      </c>
      <c r="X14" s="8"/>
      <c r="Y14" s="26">
        <v>0.40000000000000002</v>
      </c>
      <c r="Z14" s="8"/>
      <c r="AA14" s="26">
        <v>0.10000000000000001</v>
      </c>
      <c r="AB14" s="8"/>
      <c r="AC14" s="8"/>
    </row>
    <row r="15" ht="12" customHeight="1">
      <c r="A15" s="8" t="s">
        <v>91</v>
      </c>
      <c r="B15" s="8" t="s">
        <v>787</v>
      </c>
      <c r="C15" s="26">
        <v>0.69999999999999996</v>
      </c>
      <c r="D15" s="8"/>
      <c r="E15" s="26">
        <v>1.5</v>
      </c>
      <c r="F15" s="8"/>
      <c r="G15" s="26">
        <v>2</v>
      </c>
      <c r="H15" s="8"/>
      <c r="I15" s="26">
        <v>1.8999999999999999</v>
      </c>
      <c r="J15" s="8"/>
      <c r="K15" s="26">
        <v>0.10000000000000001</v>
      </c>
      <c r="L15" s="8"/>
      <c r="M15" s="26">
        <v>1.1000000000000001</v>
      </c>
      <c r="N15" s="8"/>
      <c r="O15" s="26">
        <v>1.6000000000000001</v>
      </c>
      <c r="P15" s="8"/>
      <c r="Q15" s="26">
        <v>0.69999999999999996</v>
      </c>
      <c r="R15" s="8"/>
      <c r="S15" s="26">
        <v>-0.40000000000000002</v>
      </c>
      <c r="T15" s="8"/>
      <c r="U15" s="26">
        <v>0.80000000000000004</v>
      </c>
      <c r="V15" s="8"/>
      <c r="W15" s="26">
        <v>-0.5</v>
      </c>
      <c r="X15" s="8"/>
      <c r="Y15" s="26">
        <v>0.59999999999999998</v>
      </c>
      <c r="Z15" s="8"/>
      <c r="AA15" s="26">
        <v>-0.80000000000000004</v>
      </c>
      <c r="AB15" s="8"/>
      <c r="AC15" s="8"/>
    </row>
    <row r="16" ht="12" customHeight="1">
      <c r="A16" s="8" t="s">
        <v>93</v>
      </c>
      <c r="B16" s="8" t="s">
        <v>788</v>
      </c>
      <c r="C16" s="26">
        <v>0.59999999999999998</v>
      </c>
      <c r="D16" s="8"/>
      <c r="E16" s="26">
        <v>7.5999999999999996</v>
      </c>
      <c r="F16" s="8"/>
      <c r="G16" s="26">
        <v>0.10000000000000001</v>
      </c>
      <c r="H16" s="8"/>
      <c r="I16" s="26">
        <v>0.59999999999999998</v>
      </c>
      <c r="J16" s="8"/>
      <c r="K16" s="26">
        <v>2.8999999999999999</v>
      </c>
      <c r="L16" s="8"/>
      <c r="M16" s="26">
        <v>6.5</v>
      </c>
      <c r="N16" s="8"/>
      <c r="O16" s="26">
        <v>0</v>
      </c>
      <c r="P16" s="8"/>
      <c r="Q16" s="26">
        <v>0.29999999999999999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789</v>
      </c>
      <c r="C17" s="26">
        <v>1.2</v>
      </c>
      <c r="D17" s="8"/>
      <c r="E17" s="26">
        <v>-0.69999999999999996</v>
      </c>
      <c r="F17" s="8"/>
      <c r="G17" s="26">
        <v>3.2000000000000002</v>
      </c>
      <c r="H17" s="8"/>
      <c r="I17" s="26">
        <v>0.29999999999999999</v>
      </c>
      <c r="J17" s="8"/>
      <c r="K17" s="26">
        <v>0.59999999999999998</v>
      </c>
      <c r="L17" s="8"/>
      <c r="M17" s="26">
        <v>0.10000000000000001</v>
      </c>
      <c r="N17" s="8"/>
      <c r="O17" s="26">
        <v>-0.59999999999999998</v>
      </c>
      <c r="P17" s="8"/>
      <c r="Q17" s="26">
        <v>-0.5</v>
      </c>
      <c r="R17" s="8"/>
      <c r="S17" s="26">
        <v>-1</v>
      </c>
      <c r="T17" s="8"/>
      <c r="U17" s="26">
        <v>0.29999999999999999</v>
      </c>
      <c r="V17" s="8"/>
      <c r="W17" s="26">
        <v>0</v>
      </c>
      <c r="X17" s="8"/>
      <c r="Y17" s="26">
        <v>0.59999999999999998</v>
      </c>
      <c r="Z17" s="8"/>
      <c r="AA17" s="26">
        <v>0.80000000000000004</v>
      </c>
      <c r="AB17" s="8"/>
      <c r="AC17" s="8"/>
    </row>
    <row r="18" ht="12" customHeight="1">
      <c r="A18" s="8" t="s">
        <v>97</v>
      </c>
      <c r="B18" s="8" t="s">
        <v>790</v>
      </c>
      <c r="C18" s="26">
        <v>1.2</v>
      </c>
      <c r="D18" s="8"/>
      <c r="E18" s="26">
        <v>-0.59999999999999998</v>
      </c>
      <c r="F18" s="8"/>
      <c r="G18" s="26">
        <v>3.2999999999999998</v>
      </c>
      <c r="H18" s="8"/>
      <c r="I18" s="26">
        <v>0.40000000000000002</v>
      </c>
      <c r="J18" s="8"/>
      <c r="K18" s="26">
        <v>0.59999999999999998</v>
      </c>
      <c r="L18" s="8"/>
      <c r="M18" s="26">
        <v>0.20000000000000001</v>
      </c>
      <c r="N18" s="8"/>
      <c r="O18" s="26">
        <v>-0.90000000000000002</v>
      </c>
      <c r="P18" s="8"/>
      <c r="Q18" s="26">
        <v>-0.40000000000000002</v>
      </c>
      <c r="R18" s="8"/>
      <c r="S18" s="26">
        <v>-1</v>
      </c>
      <c r="T18" s="8"/>
      <c r="U18" s="26">
        <v>-0.20000000000000001</v>
      </c>
      <c r="V18" s="8"/>
      <c r="W18" s="26">
        <v>0.69999999999999996</v>
      </c>
      <c r="X18" s="8"/>
      <c r="Y18" s="26">
        <v>0.29999999999999999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791</v>
      </c>
      <c r="C19" s="26">
        <v>0.69999999999999996</v>
      </c>
      <c r="D19" s="8"/>
      <c r="E19" s="26">
        <v>-0.80000000000000004</v>
      </c>
      <c r="F19" s="8"/>
      <c r="G19" s="26">
        <v>2</v>
      </c>
      <c r="H19" s="8"/>
      <c r="I19" s="26">
        <v>-0.5</v>
      </c>
      <c r="J19" s="8"/>
      <c r="K19" s="26">
        <v>0.10000000000000001</v>
      </c>
      <c r="L19" s="8"/>
      <c r="M19" s="26">
        <v>-0.5</v>
      </c>
      <c r="N19" s="8"/>
      <c r="O19" s="26">
        <v>1.3999999999999999</v>
      </c>
      <c r="P19" s="8"/>
      <c r="Q19" s="26">
        <v>-1.1000000000000001</v>
      </c>
      <c r="R19" s="8"/>
      <c r="S19" s="26">
        <v>-1.3</v>
      </c>
      <c r="T19" s="8"/>
      <c r="U19" s="26">
        <v>2.2000000000000002</v>
      </c>
      <c r="V19" s="8"/>
      <c r="W19" s="26">
        <v>-2.8999999999999999</v>
      </c>
      <c r="X19" s="8"/>
      <c r="Y19" s="26">
        <v>1.5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792</v>
      </c>
      <c r="C20" s="26">
        <v>1</v>
      </c>
      <c r="D20" s="8"/>
      <c r="E20" s="26">
        <v>1.2</v>
      </c>
      <c r="F20" s="8"/>
      <c r="G20" s="26">
        <v>1.3999999999999999</v>
      </c>
      <c r="H20" s="8"/>
      <c r="I20" s="26">
        <v>2.2000000000000002</v>
      </c>
      <c r="J20" s="8"/>
      <c r="K20" s="26">
        <v>1.2</v>
      </c>
      <c r="L20" s="8"/>
      <c r="M20" s="26">
        <v>0.90000000000000002</v>
      </c>
      <c r="N20" s="8"/>
      <c r="O20" s="26">
        <v>1.3999999999999999</v>
      </c>
      <c r="P20" s="8"/>
      <c r="Q20" s="26">
        <v>2.7999999999999998</v>
      </c>
      <c r="R20" s="8"/>
      <c r="S20" s="26">
        <v>0.69999999999999996</v>
      </c>
      <c r="T20" s="8"/>
      <c r="U20" s="26">
        <v>0.90000000000000002</v>
      </c>
      <c r="V20" s="8"/>
      <c r="W20" s="26">
        <v>1.3</v>
      </c>
      <c r="X20" s="8"/>
      <c r="Y20" s="26">
        <v>2.2000000000000002</v>
      </c>
      <c r="Z20" s="8"/>
      <c r="AA20" s="26">
        <v>0.40000000000000002</v>
      </c>
      <c r="AB20" s="8"/>
      <c r="AC20" s="8"/>
    </row>
    <row r="21" ht="12" customHeight="1">
      <c r="A21" s="8" t="s">
        <v>103</v>
      </c>
      <c r="B21" s="8" t="s">
        <v>793</v>
      </c>
      <c r="C21" s="26">
        <v>1.2</v>
      </c>
      <c r="D21" s="8"/>
      <c r="E21" s="26">
        <v>1.3</v>
      </c>
      <c r="F21" s="8"/>
      <c r="G21" s="26">
        <v>1.3999999999999999</v>
      </c>
      <c r="H21" s="8"/>
      <c r="I21" s="26">
        <v>1.3999999999999999</v>
      </c>
      <c r="J21" s="8"/>
      <c r="K21" s="26">
        <v>1.3</v>
      </c>
      <c r="L21" s="8"/>
      <c r="M21" s="26">
        <v>1.3</v>
      </c>
      <c r="N21" s="8"/>
      <c r="O21" s="26">
        <v>1.2</v>
      </c>
      <c r="P21" s="8"/>
      <c r="Q21" s="26">
        <v>1.1000000000000001</v>
      </c>
      <c r="R21" s="8"/>
      <c r="S21" s="26">
        <v>0.80000000000000004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794</v>
      </c>
      <c r="C22" s="26">
        <v>1.2</v>
      </c>
      <c r="D22" s="8"/>
      <c r="E22" s="26">
        <v>1.3</v>
      </c>
      <c r="F22" s="8"/>
      <c r="G22" s="26">
        <v>1.3999999999999999</v>
      </c>
      <c r="H22" s="8"/>
      <c r="I22" s="26">
        <v>1.3999999999999999</v>
      </c>
      <c r="J22" s="8"/>
      <c r="K22" s="26">
        <v>1.3</v>
      </c>
      <c r="L22" s="8"/>
      <c r="M22" s="26">
        <v>1.3</v>
      </c>
      <c r="N22" s="8"/>
      <c r="O22" s="26">
        <v>1.2</v>
      </c>
      <c r="P22" s="8"/>
      <c r="Q22" s="26">
        <v>1.1000000000000001</v>
      </c>
      <c r="R22" s="8"/>
      <c r="S22" s="26">
        <v>0.80000000000000004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795</v>
      </c>
      <c r="C23" s="26">
        <v>2</v>
      </c>
      <c r="D23" s="8"/>
      <c r="E23" s="26">
        <v>0</v>
      </c>
      <c r="F23" s="8"/>
      <c r="G23" s="26">
        <v>1.6000000000000001</v>
      </c>
      <c r="H23" s="8"/>
      <c r="I23" s="26">
        <v>0.69999999999999996</v>
      </c>
      <c r="J23" s="8"/>
      <c r="K23" s="26">
        <v>0.69999999999999996</v>
      </c>
      <c r="L23" s="8"/>
      <c r="M23" s="26">
        <v>0</v>
      </c>
      <c r="N23" s="8"/>
      <c r="O23" s="26">
        <v>1.7</v>
      </c>
      <c r="P23" s="8"/>
      <c r="Q23" s="26">
        <v>1.1000000000000001</v>
      </c>
      <c r="R23" s="8"/>
      <c r="S23" s="26">
        <v>0.10000000000000001</v>
      </c>
      <c r="T23" s="8"/>
      <c r="U23" s="26">
        <v>0.5</v>
      </c>
      <c r="V23" s="8"/>
      <c r="W23" s="26">
        <v>0.29999999999999999</v>
      </c>
      <c r="X23" s="8"/>
      <c r="Y23" s="26">
        <v>0.69999999999999996</v>
      </c>
      <c r="Z23" s="8"/>
      <c r="AA23" s="26">
        <v>0.80000000000000004</v>
      </c>
      <c r="AB23" s="8"/>
      <c r="AC23" s="8"/>
    </row>
    <row r="24" ht="12" customHeight="1">
      <c r="A24" s="8" t="s">
        <v>109</v>
      </c>
      <c r="B24" s="8" t="s">
        <v>796</v>
      </c>
      <c r="C24" s="26">
        <v>0</v>
      </c>
      <c r="D24" s="8"/>
      <c r="E24" s="26">
        <v>0.10000000000000001</v>
      </c>
      <c r="F24" s="8"/>
      <c r="G24" s="26">
        <v>0.10000000000000001</v>
      </c>
      <c r="H24" s="8"/>
      <c r="I24" s="26">
        <v>9.5</v>
      </c>
      <c r="J24" s="8"/>
      <c r="K24" s="26">
        <v>0.10000000000000001</v>
      </c>
      <c r="L24" s="8"/>
      <c r="M24" s="26">
        <v>0</v>
      </c>
      <c r="N24" s="8"/>
      <c r="O24" s="26">
        <v>0.10000000000000001</v>
      </c>
      <c r="P24" s="8"/>
      <c r="Q24" s="26">
        <v>11.800000000000001</v>
      </c>
      <c r="R24" s="8"/>
      <c r="S24" s="26">
        <v>0.10000000000000001</v>
      </c>
      <c r="T24" s="8"/>
      <c r="U24" s="26">
        <v>0.10000000000000001</v>
      </c>
      <c r="V24" s="8"/>
      <c r="W24" s="26">
        <v>0</v>
      </c>
      <c r="X24" s="8"/>
      <c r="Y24" s="26">
        <v>8.1999999999999993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797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9.8000000000000007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12.1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798</v>
      </c>
      <c r="C26" s="26">
        <v>1</v>
      </c>
      <c r="D26" s="8"/>
      <c r="E26" s="26">
        <v>2.2999999999999998</v>
      </c>
      <c r="F26" s="8"/>
      <c r="G26" s="26">
        <v>2.7999999999999998</v>
      </c>
      <c r="H26" s="8"/>
      <c r="I26" s="26">
        <v>-1.1000000000000001</v>
      </c>
      <c r="J26" s="8"/>
      <c r="K26" s="26">
        <v>1.8999999999999999</v>
      </c>
      <c r="L26" s="8"/>
      <c r="M26" s="26">
        <v>0.5</v>
      </c>
      <c r="N26" s="8"/>
      <c r="O26" s="26">
        <v>2.8999999999999999</v>
      </c>
      <c r="P26" s="8"/>
      <c r="Q26" s="26">
        <v>0.80000000000000004</v>
      </c>
      <c r="R26" s="8"/>
      <c r="S26" s="26">
        <v>0.90000000000000002</v>
      </c>
      <c r="T26" s="8"/>
      <c r="U26" s="26">
        <v>2.2999999999999998</v>
      </c>
      <c r="V26" s="8"/>
      <c r="W26" s="26">
        <v>4.7999999999999998</v>
      </c>
      <c r="X26" s="8"/>
      <c r="Y26" s="26">
        <v>2.8999999999999999</v>
      </c>
      <c r="Z26" s="8"/>
      <c r="AA26" s="26">
        <v>1.5</v>
      </c>
      <c r="AB26" s="8"/>
      <c r="AC26" s="8"/>
    </row>
    <row r="27" ht="12" customHeight="1">
      <c r="A27" s="8" t="s">
        <v>115</v>
      </c>
      <c r="B27" s="8" t="s">
        <v>799</v>
      </c>
      <c r="C27" s="26">
        <v>0.90000000000000002</v>
      </c>
      <c r="D27" s="8"/>
      <c r="E27" s="26">
        <v>2.2000000000000002</v>
      </c>
      <c r="F27" s="8"/>
      <c r="G27" s="26">
        <v>2.7999999999999998</v>
      </c>
      <c r="H27" s="8"/>
      <c r="I27" s="26">
        <v>-1.7</v>
      </c>
      <c r="J27" s="8"/>
      <c r="K27" s="26">
        <v>1.8999999999999999</v>
      </c>
      <c r="L27" s="8"/>
      <c r="M27" s="26">
        <v>0.40000000000000002</v>
      </c>
      <c r="N27" s="8"/>
      <c r="O27" s="26">
        <v>3.1000000000000001</v>
      </c>
      <c r="P27" s="8"/>
      <c r="Q27" s="26">
        <v>0.59999999999999998</v>
      </c>
      <c r="R27" s="8"/>
      <c r="S27" s="26">
        <v>0.59999999999999998</v>
      </c>
      <c r="T27" s="8"/>
      <c r="U27" s="26">
        <v>2.1000000000000001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800</v>
      </c>
      <c r="C28" s="26">
        <v>2.6000000000000001</v>
      </c>
      <c r="D28" s="8"/>
      <c r="E28" s="26">
        <v>0.10000000000000001</v>
      </c>
      <c r="F28" s="8"/>
      <c r="G28" s="26">
        <v>2.7999999999999998</v>
      </c>
      <c r="H28" s="8"/>
      <c r="I28" s="26">
        <v>-1.2</v>
      </c>
      <c r="J28" s="8"/>
      <c r="K28" s="26">
        <v>0.5</v>
      </c>
      <c r="L28" s="8"/>
      <c r="M28" s="26">
        <v>-0.40000000000000002</v>
      </c>
      <c r="N28" s="8"/>
      <c r="O28" s="26">
        <v>0.10000000000000001</v>
      </c>
      <c r="P28" s="8"/>
      <c r="Q28" s="26">
        <v>0.29999999999999999</v>
      </c>
      <c r="R28" s="8"/>
      <c r="S28" s="26">
        <v>-0.29999999999999999</v>
      </c>
      <c r="T28" s="8"/>
      <c r="U28" s="26">
        <v>-0.5</v>
      </c>
      <c r="V28" s="8"/>
      <c r="W28" s="26">
        <v>0.59999999999999998</v>
      </c>
      <c r="X28" s="8"/>
      <c r="Y28" s="26">
        <v>-0.90000000000000002</v>
      </c>
      <c r="Z28" s="8"/>
      <c r="AA28" s="26">
        <v>0.29999999999999999</v>
      </c>
      <c r="AB28" s="8"/>
      <c r="AC28" s="8"/>
    </row>
    <row r="29" ht="12" customHeight="1">
      <c r="A29" s="8" t="s">
        <v>119</v>
      </c>
      <c r="B29" s="8" t="s">
        <v>801</v>
      </c>
      <c r="C29" s="26">
        <v>3.8999999999999999</v>
      </c>
      <c r="D29" s="8"/>
      <c r="E29" s="26">
        <v>-1.1000000000000001</v>
      </c>
      <c r="F29" s="8"/>
      <c r="G29" s="26">
        <v>3</v>
      </c>
      <c r="H29" s="8"/>
      <c r="I29" s="26">
        <v>-2.2000000000000002</v>
      </c>
      <c r="J29" s="8"/>
      <c r="K29" s="26">
        <v>0.20000000000000001</v>
      </c>
      <c r="L29" s="8"/>
      <c r="M29" s="26">
        <v>-3.6000000000000001</v>
      </c>
      <c r="N29" s="8"/>
      <c r="O29" s="26">
        <v>-0.29999999999999999</v>
      </c>
      <c r="P29" s="8"/>
      <c r="Q29" s="26">
        <v>1.6000000000000001</v>
      </c>
      <c r="R29" s="8"/>
      <c r="S29" s="26">
        <v>1.2</v>
      </c>
      <c r="T29" s="8"/>
      <c r="U29" s="26">
        <v>-0.90000000000000002</v>
      </c>
      <c r="V29" s="8"/>
      <c r="W29" s="26">
        <v>-1.3</v>
      </c>
      <c r="X29" s="8"/>
      <c r="Y29" s="26">
        <v>-2.5</v>
      </c>
      <c r="Z29" s="8"/>
      <c r="AA29" s="26">
        <v>4.4000000000000004</v>
      </c>
      <c r="AB29" s="8"/>
      <c r="AC29" s="8"/>
    </row>
    <row r="30" ht="12" customHeight="1">
      <c r="A30" s="8" t="s">
        <v>121</v>
      </c>
      <c r="B30" s="8" t="s">
        <v>802</v>
      </c>
      <c r="C30" s="26">
        <v>2.2000000000000002</v>
      </c>
      <c r="D30" s="8"/>
      <c r="E30" s="26">
        <v>2.1000000000000001</v>
      </c>
      <c r="F30" s="8"/>
      <c r="G30" s="26">
        <v>0.5</v>
      </c>
      <c r="H30" s="8"/>
      <c r="I30" s="26">
        <v>-2.2999999999999998</v>
      </c>
      <c r="J30" s="8"/>
      <c r="K30" s="26">
        <v>3</v>
      </c>
      <c r="L30" s="8"/>
      <c r="M30" s="26">
        <v>-0.29999999999999999</v>
      </c>
      <c r="N30" s="8"/>
      <c r="O30" s="26">
        <v>7.2000000000000002</v>
      </c>
      <c r="P30" s="8"/>
      <c r="Q30" s="26">
        <v>-2</v>
      </c>
      <c r="R30" s="8"/>
      <c r="S30" s="26">
        <v>-6.2999999999999998</v>
      </c>
      <c r="T30" s="8"/>
      <c r="U30" s="26">
        <v>4.4000000000000004</v>
      </c>
      <c r="V30" s="8"/>
      <c r="W30" s="26">
        <v>3.7000000000000002</v>
      </c>
      <c r="X30" s="8"/>
      <c r="Y30" s="26">
        <v>-1.1000000000000001</v>
      </c>
      <c r="Z30" s="8"/>
      <c r="AA30" s="26">
        <v>-2</v>
      </c>
      <c r="AB30" s="8"/>
      <c r="AC30" s="8"/>
    </row>
    <row r="31" ht="12" customHeight="1">
      <c r="A31" s="8" t="s">
        <v>123</v>
      </c>
      <c r="B31" s="8" t="s">
        <v>803</v>
      </c>
      <c r="C31" s="26">
        <v>1.1000000000000001</v>
      </c>
      <c r="D31" s="8"/>
      <c r="E31" s="26">
        <v>-1.5</v>
      </c>
      <c r="F31" s="8"/>
      <c r="G31" s="26">
        <v>4.2000000000000002</v>
      </c>
      <c r="H31" s="8"/>
      <c r="I31" s="26">
        <v>-1</v>
      </c>
      <c r="J31" s="8"/>
      <c r="K31" s="26">
        <v>-0.59999999999999998</v>
      </c>
      <c r="L31" s="8"/>
      <c r="M31" s="26">
        <v>-0.90000000000000002</v>
      </c>
      <c r="N31" s="8"/>
      <c r="O31" s="26">
        <v>-0.40000000000000002</v>
      </c>
      <c r="P31" s="8"/>
      <c r="Q31" s="26">
        <v>-1.1000000000000001</v>
      </c>
      <c r="R31" s="8"/>
      <c r="S31" s="26">
        <v>0.59999999999999998</v>
      </c>
      <c r="T31" s="8"/>
      <c r="U31" s="26">
        <v>-1.3</v>
      </c>
      <c r="V31" s="8"/>
      <c r="W31" s="26">
        <v>0.69999999999999996</v>
      </c>
      <c r="X31" s="8"/>
      <c r="Y31" s="26">
        <v>-0.29999999999999999</v>
      </c>
      <c r="Z31" s="8"/>
      <c r="AA31" s="26">
        <v>0.29999999999999999</v>
      </c>
      <c r="AB31" s="8"/>
      <c r="AC31" s="8"/>
    </row>
    <row r="32" ht="12" customHeight="1">
      <c r="A32" s="8" t="s">
        <v>125</v>
      </c>
      <c r="B32" s="8" t="s">
        <v>804</v>
      </c>
      <c r="C32" s="26">
        <v>4.2999999999999998</v>
      </c>
      <c r="D32" s="8"/>
      <c r="E32" s="26">
        <v>-3.7999999999999998</v>
      </c>
      <c r="F32" s="8"/>
      <c r="G32" s="26">
        <v>3.1000000000000001</v>
      </c>
      <c r="H32" s="8"/>
      <c r="I32" s="26">
        <v>-1.7</v>
      </c>
      <c r="J32" s="8"/>
      <c r="K32" s="26">
        <v>4.9000000000000004</v>
      </c>
      <c r="L32" s="8"/>
      <c r="M32" s="26">
        <v>3</v>
      </c>
      <c r="N32" s="8"/>
      <c r="O32" s="26">
        <v>-1.3999999999999999</v>
      </c>
      <c r="P32" s="8"/>
      <c r="Q32" s="26">
        <v>-2.2999999999999998</v>
      </c>
      <c r="R32" s="8"/>
      <c r="S32" s="26">
        <v>2.8999999999999999</v>
      </c>
      <c r="T32" s="8"/>
      <c r="U32" s="26">
        <v>1.8</v>
      </c>
      <c r="V32" s="8"/>
      <c r="W32" s="26">
        <v>-1.3999999999999999</v>
      </c>
      <c r="X32" s="8"/>
      <c r="Y32" s="26">
        <v>-0.90000000000000002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805</v>
      </c>
      <c r="C33" s="26">
        <v>2</v>
      </c>
      <c r="D33" s="8"/>
      <c r="E33" s="26">
        <v>0.5</v>
      </c>
      <c r="F33" s="8"/>
      <c r="G33" s="26">
        <v>2.7000000000000002</v>
      </c>
      <c r="H33" s="8"/>
      <c r="I33" s="26">
        <v>0</v>
      </c>
      <c r="J33" s="8"/>
      <c r="K33" s="26">
        <v>0.10000000000000001</v>
      </c>
      <c r="L33" s="8"/>
      <c r="M33" s="26">
        <v>0.69999999999999996</v>
      </c>
      <c r="N33" s="8"/>
      <c r="O33" s="26">
        <v>-4.5</v>
      </c>
      <c r="P33" s="8"/>
      <c r="Q33" s="26">
        <v>0.10000000000000001</v>
      </c>
      <c r="R33" s="8"/>
      <c r="S33" s="26">
        <v>0.29999999999999999</v>
      </c>
      <c r="T33" s="8"/>
      <c r="U33" s="26">
        <v>-1</v>
      </c>
      <c r="V33" s="8"/>
      <c r="W33" s="26">
        <v>0.5</v>
      </c>
      <c r="X33" s="8"/>
      <c r="Y33" s="26">
        <v>0</v>
      </c>
      <c r="Z33" s="8"/>
      <c r="AA33" s="26">
        <v>-2.1000000000000001</v>
      </c>
      <c r="AB33" s="8"/>
      <c r="AC33" s="8"/>
    </row>
    <row r="34" ht="12" customHeight="1">
      <c r="A34" s="8" t="s">
        <v>129</v>
      </c>
      <c r="B34" s="8" t="s">
        <v>806</v>
      </c>
      <c r="C34" s="26">
        <v>2.8999999999999999</v>
      </c>
      <c r="D34" s="8"/>
      <c r="E34" s="26">
        <v>2</v>
      </c>
      <c r="F34" s="8"/>
      <c r="G34" s="26">
        <v>2.3999999999999999</v>
      </c>
      <c r="H34" s="8"/>
      <c r="I34" s="26">
        <v>-0.69999999999999996</v>
      </c>
      <c r="J34" s="8"/>
      <c r="K34" s="26">
        <v>-0.29999999999999999</v>
      </c>
      <c r="L34" s="8"/>
      <c r="M34" s="26">
        <v>0.80000000000000004</v>
      </c>
      <c r="N34" s="8"/>
      <c r="O34" s="26">
        <v>0.69999999999999996</v>
      </c>
      <c r="P34" s="8"/>
      <c r="Q34" s="26">
        <v>1.7</v>
      </c>
      <c r="R34" s="8"/>
      <c r="S34" s="26">
        <v>-0.40000000000000002</v>
      </c>
      <c r="T34" s="8"/>
      <c r="U34" s="26">
        <v>-1.1000000000000001</v>
      </c>
      <c r="V34" s="8"/>
      <c r="W34" s="26">
        <v>1.7</v>
      </c>
      <c r="X34" s="8"/>
      <c r="Y34" s="26">
        <v>-0.40000000000000002</v>
      </c>
      <c r="Z34" s="8"/>
      <c r="AA34" s="26">
        <v>-0.29999999999999999</v>
      </c>
      <c r="AB34" s="8"/>
      <c r="AC34" s="8"/>
    </row>
    <row r="35" ht="12" customHeight="1">
      <c r="A35" s="11" t="s">
        <v>131</v>
      </c>
      <c r="B35" s="8" t="s">
        <v>807</v>
      </c>
      <c r="C35" s="26">
        <v>1.7</v>
      </c>
      <c r="D35" s="8"/>
      <c r="E35" s="26">
        <v>0.5</v>
      </c>
      <c r="F35" s="8"/>
      <c r="G35" s="26">
        <v>1.1000000000000001</v>
      </c>
      <c r="H35" s="8"/>
      <c r="I35" s="26">
        <v>-5.7000000000000002</v>
      </c>
      <c r="J35" s="8"/>
      <c r="K35" s="26">
        <v>2.2999999999999998</v>
      </c>
      <c r="L35" s="8"/>
      <c r="M35" s="26">
        <v>1.8999999999999999</v>
      </c>
      <c r="N35" s="8"/>
      <c r="O35" s="26">
        <v>0.20000000000000001</v>
      </c>
      <c r="P35" s="8"/>
      <c r="Q35" s="26">
        <v>8.6999999999999993</v>
      </c>
      <c r="R35" s="8"/>
      <c r="S35" s="26">
        <v>-1.1000000000000001</v>
      </c>
      <c r="T35" s="8"/>
      <c r="U35" s="26">
        <v>0.40000000000000002</v>
      </c>
      <c r="V35" s="8"/>
      <c r="W35" s="26">
        <v>0</v>
      </c>
      <c r="X35" s="8"/>
      <c r="Y35" s="26">
        <v>0</v>
      </c>
      <c r="Z35" s="8"/>
      <c r="AA35" s="26">
        <v>-0.5</v>
      </c>
      <c r="AB35" s="8"/>
      <c r="AC35" s="8"/>
    </row>
    <row r="36" ht="12" customHeight="1">
      <c r="A36" s="8" t="s">
        <v>133</v>
      </c>
      <c r="B36" s="8" t="s">
        <v>808</v>
      </c>
      <c r="C36" s="26">
        <v>1.6000000000000001</v>
      </c>
      <c r="D36" s="8"/>
      <c r="E36" s="26">
        <v>0.40000000000000002</v>
      </c>
      <c r="F36" s="8"/>
      <c r="G36" s="26">
        <v>1</v>
      </c>
      <c r="H36" s="8"/>
      <c r="I36" s="26">
        <v>-25.199999999999999</v>
      </c>
      <c r="J36" s="8"/>
      <c r="K36" s="26">
        <v>0.5</v>
      </c>
      <c r="L36" s="8"/>
      <c r="M36" s="26">
        <v>0</v>
      </c>
      <c r="N36" s="8"/>
      <c r="O36" s="26">
        <v>0.40000000000000002</v>
      </c>
      <c r="P36" s="8"/>
      <c r="Q36" s="26">
        <v>36</v>
      </c>
      <c r="R36" s="8"/>
      <c r="S36" s="26">
        <v>-8.4000000000000004</v>
      </c>
      <c r="T36" s="8"/>
      <c r="U36" s="26">
        <v>0.20000000000000001</v>
      </c>
      <c r="V36" s="8"/>
      <c r="W36" s="26">
        <v>-0.59999999999999998</v>
      </c>
      <c r="X36" s="8"/>
      <c r="Y36" s="26">
        <v>-3.5</v>
      </c>
      <c r="Z36" s="8"/>
      <c r="AA36" s="26">
        <v>-3.2999999999999998</v>
      </c>
      <c r="AB36" s="8"/>
      <c r="AC36" s="8"/>
    </row>
    <row r="37" ht="12" customHeight="1">
      <c r="A37" s="8" t="s">
        <v>135</v>
      </c>
      <c r="B37" s="8" t="s">
        <v>809</v>
      </c>
      <c r="C37" s="26">
        <v>1.7</v>
      </c>
      <c r="D37" s="8"/>
      <c r="E37" s="26">
        <v>0.59999999999999998</v>
      </c>
      <c r="F37" s="8"/>
      <c r="G37" s="26">
        <v>1.2</v>
      </c>
      <c r="H37" s="8"/>
      <c r="I37" s="26">
        <v>1.2</v>
      </c>
      <c r="J37" s="8"/>
      <c r="K37" s="26">
        <v>2.5</v>
      </c>
      <c r="L37" s="8"/>
      <c r="M37" s="26">
        <v>2.3999999999999999</v>
      </c>
      <c r="N37" s="8"/>
      <c r="O37" s="26">
        <v>0.10000000000000001</v>
      </c>
      <c r="P37" s="8"/>
      <c r="Q37" s="26">
        <v>1.3</v>
      </c>
      <c r="R37" s="8"/>
      <c r="S37" s="26">
        <v>1.5</v>
      </c>
      <c r="T37" s="8"/>
      <c r="U37" s="26">
        <v>0.5</v>
      </c>
      <c r="V37" s="8"/>
      <c r="W37" s="26">
        <v>0.29999999999999999</v>
      </c>
      <c r="X37" s="8"/>
      <c r="Y37" s="26">
        <v>1.6000000000000001</v>
      </c>
      <c r="Z37" s="8"/>
      <c r="AA37" s="26">
        <v>0.80000000000000004</v>
      </c>
      <c r="AB37" s="8"/>
      <c r="AC37" s="8"/>
    </row>
    <row r="38" ht="12" customHeight="1">
      <c r="A38" s="8" t="s">
        <v>137</v>
      </c>
      <c r="B38" s="8" t="s">
        <v>810</v>
      </c>
      <c r="C38" s="26">
        <v>1.3999999999999999</v>
      </c>
      <c r="D38" s="8"/>
      <c r="E38" s="26">
        <v>1.8</v>
      </c>
      <c r="F38" s="8"/>
      <c r="G38" s="26">
        <v>2</v>
      </c>
      <c r="H38" s="8"/>
      <c r="I38" s="26">
        <v>3.8999999999999999</v>
      </c>
      <c r="J38" s="8"/>
      <c r="K38" s="26">
        <v>5.2000000000000002</v>
      </c>
      <c r="L38" s="8"/>
      <c r="M38" s="26">
        <v>1.8</v>
      </c>
      <c r="N38" s="8"/>
      <c r="O38" s="26">
        <v>0.80000000000000004</v>
      </c>
      <c r="P38" s="8"/>
      <c r="Q38" s="26">
        <v>7</v>
      </c>
      <c r="R38" s="8"/>
      <c r="S38" s="26">
        <v>1.3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811</v>
      </c>
      <c r="C39" s="26">
        <v>-1.2</v>
      </c>
      <c r="D39" s="8"/>
      <c r="E39" s="26">
        <v>-1.8</v>
      </c>
      <c r="F39" s="8"/>
      <c r="G39" s="26">
        <v>-1.5</v>
      </c>
      <c r="H39" s="8"/>
      <c r="I39" s="26">
        <v>9.0999999999999996</v>
      </c>
      <c r="J39" s="8"/>
      <c r="K39" s="26">
        <v>-0.59999999999999998</v>
      </c>
      <c r="L39" s="8"/>
      <c r="M39" s="26">
        <v>-1.5</v>
      </c>
      <c r="N39" s="8"/>
      <c r="O39" s="26">
        <v>-0.10000000000000001</v>
      </c>
      <c r="P39" s="8"/>
      <c r="Q39" s="26">
        <v>-3</v>
      </c>
      <c r="R39" s="8"/>
      <c r="S39" s="26">
        <v>1</v>
      </c>
      <c r="T39" s="8"/>
      <c r="U39" s="26">
        <v>2.2999999999999998</v>
      </c>
      <c r="V39" s="8"/>
      <c r="W39" s="26">
        <v>-1.8999999999999999</v>
      </c>
      <c r="X39" s="8"/>
      <c r="Y39" s="26">
        <v>0.40000000000000002</v>
      </c>
      <c r="Z39" s="8"/>
      <c r="AA39" s="26">
        <v>1.8999999999999999</v>
      </c>
      <c r="AB39" s="8"/>
      <c r="AC39" s="8"/>
    </row>
    <row r="40" ht="12" customHeight="1">
      <c r="A40" s="8" t="s">
        <v>141</v>
      </c>
      <c r="B40" s="8" t="s">
        <v>812</v>
      </c>
      <c r="C40" s="26">
        <v>-0.20000000000000001</v>
      </c>
      <c r="D40" s="8"/>
      <c r="E40" s="26">
        <v>1.3</v>
      </c>
      <c r="F40" s="8"/>
      <c r="G40" s="26">
        <v>1.2</v>
      </c>
      <c r="H40" s="8"/>
      <c r="I40" s="26">
        <v>2</v>
      </c>
      <c r="J40" s="8"/>
      <c r="K40" s="26">
        <v>-2.7000000000000002</v>
      </c>
      <c r="L40" s="8"/>
      <c r="M40" s="26">
        <v>-0.29999999999999999</v>
      </c>
      <c r="N40" s="8"/>
      <c r="O40" s="26">
        <v>-4</v>
      </c>
      <c r="P40" s="8"/>
      <c r="Q40" s="26">
        <v>-2.2999999999999998</v>
      </c>
      <c r="R40" s="8"/>
      <c r="S40" s="26">
        <v>3.3999999999999999</v>
      </c>
      <c r="T40" s="8"/>
      <c r="U40" s="26">
        <v>0.29999999999999999</v>
      </c>
      <c r="V40" s="8"/>
      <c r="W40" s="26">
        <v>1.3999999999999999</v>
      </c>
      <c r="X40" s="8"/>
      <c r="Y40" s="26">
        <v>-0.20000000000000001</v>
      </c>
      <c r="Z40" s="8"/>
      <c r="AA40" s="26">
        <v>0</v>
      </c>
      <c r="AB40" s="8"/>
      <c r="AC40" s="8"/>
    </row>
    <row r="41" ht="12" customHeight="1">
      <c r="A41" s="8" t="s">
        <v>143</v>
      </c>
      <c r="B41" s="8" t="s">
        <v>813</v>
      </c>
      <c r="C41" s="26">
        <v>-4.2999999999999998</v>
      </c>
      <c r="D41" s="8"/>
      <c r="E41" s="26">
        <v>-1.8999999999999999</v>
      </c>
      <c r="F41" s="8"/>
      <c r="G41" s="26">
        <v>-1</v>
      </c>
      <c r="H41" s="8"/>
      <c r="I41" s="26">
        <v>12</v>
      </c>
      <c r="J41" s="8"/>
      <c r="K41" s="26">
        <v>0.29999999999999999</v>
      </c>
      <c r="L41" s="8"/>
      <c r="M41" s="26">
        <v>-1.5</v>
      </c>
      <c r="N41" s="8"/>
      <c r="O41" s="26">
        <v>1.8999999999999999</v>
      </c>
      <c r="P41" s="8"/>
      <c r="Q41" s="26">
        <v>-4.0999999999999996</v>
      </c>
      <c r="R41" s="8"/>
      <c r="S41" s="26">
        <v>-0.90000000000000002</v>
      </c>
      <c r="T41" s="8"/>
      <c r="U41" s="26">
        <v>3.2999999999999998</v>
      </c>
      <c r="V41" s="8"/>
      <c r="W41" s="26">
        <v>-2.1000000000000001</v>
      </c>
      <c r="X41" s="8"/>
      <c r="Y41" s="26">
        <v>0.29999999999999999</v>
      </c>
      <c r="Z41" s="8"/>
      <c r="AA41" s="26">
        <v>1.8</v>
      </c>
      <c r="AB41" s="8"/>
      <c r="AC41" s="8"/>
    </row>
    <row r="42" ht="12" customHeight="1">
      <c r="A42" s="8" t="s">
        <v>145</v>
      </c>
      <c r="B42" s="8" t="s">
        <v>814</v>
      </c>
      <c r="C42" s="26">
        <v>-7</v>
      </c>
      <c r="D42" s="8"/>
      <c r="E42" s="26">
        <v>-2.6000000000000001</v>
      </c>
      <c r="F42" s="8"/>
      <c r="G42" s="26">
        <v>-1.6000000000000001</v>
      </c>
      <c r="H42" s="8"/>
      <c r="I42" s="26">
        <v>16.5</v>
      </c>
      <c r="J42" s="8"/>
      <c r="K42" s="26">
        <v>0.10000000000000001</v>
      </c>
      <c r="L42" s="8"/>
      <c r="M42" s="26">
        <v>-2.3999999999999999</v>
      </c>
      <c r="N42" s="8"/>
      <c r="O42" s="26">
        <v>0.69999999999999996</v>
      </c>
      <c r="P42" s="8"/>
      <c r="Q42" s="26">
        <v>-6.2000000000000002</v>
      </c>
      <c r="R42" s="8"/>
      <c r="S42" s="26">
        <v>-1.3</v>
      </c>
      <c r="T42" s="8"/>
      <c r="U42" s="26">
        <v>4.5999999999999996</v>
      </c>
      <c r="V42" s="8"/>
      <c r="W42" s="26">
        <v>-4.7999999999999998</v>
      </c>
      <c r="X42" s="8"/>
      <c r="Y42" s="26">
        <v>0.20000000000000001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815</v>
      </c>
      <c r="C43" s="26">
        <v>13.9</v>
      </c>
      <c r="D43" s="8"/>
      <c r="E43" s="26">
        <v>-5.0999999999999996</v>
      </c>
      <c r="F43" s="8"/>
      <c r="G43" s="26">
        <v>-7.5999999999999996</v>
      </c>
      <c r="H43" s="8"/>
      <c r="I43" s="26">
        <v>5.2999999999999998</v>
      </c>
      <c r="J43" s="8"/>
      <c r="K43" s="26">
        <v>-2</v>
      </c>
      <c r="L43" s="8"/>
      <c r="M43" s="26">
        <v>-3.3999999999999999</v>
      </c>
      <c r="N43" s="8"/>
      <c r="O43" s="26">
        <v>-4.5999999999999996</v>
      </c>
      <c r="P43" s="8"/>
      <c r="Q43" s="26">
        <v>2.3999999999999999</v>
      </c>
      <c r="R43" s="8"/>
      <c r="S43" s="26">
        <v>7.4000000000000004</v>
      </c>
      <c r="T43" s="8"/>
      <c r="U43" s="26">
        <v>-1.8999999999999999</v>
      </c>
      <c r="V43" s="8"/>
      <c r="W43" s="26">
        <v>-4.5</v>
      </c>
      <c r="X43" s="8"/>
      <c r="Y43" s="26">
        <v>1.3999999999999999</v>
      </c>
      <c r="Z43" s="8"/>
      <c r="AA43" s="26">
        <v>5.2999999999999998</v>
      </c>
      <c r="AB43" s="8"/>
      <c r="AC43" s="8"/>
    </row>
    <row r="44" ht="12" customHeight="1">
      <c r="A44" s="11" t="s">
        <v>149</v>
      </c>
      <c r="B44" s="8" t="s">
        <v>816</v>
      </c>
      <c r="C44" s="26">
        <v>0.10000000000000001</v>
      </c>
      <c r="D44" s="8"/>
      <c r="E44" s="26">
        <v>0.29999999999999999</v>
      </c>
      <c r="F44" s="8"/>
      <c r="G44" s="26">
        <v>0.5</v>
      </c>
      <c r="H44" s="8"/>
      <c r="I44" s="26">
        <v>1.5</v>
      </c>
      <c r="J44" s="8"/>
      <c r="K44" s="26">
        <v>1.6000000000000001</v>
      </c>
      <c r="L44" s="8"/>
      <c r="M44" s="26">
        <v>0.69999999999999996</v>
      </c>
      <c r="N44" s="8"/>
      <c r="O44" s="26">
        <v>0.69999999999999996</v>
      </c>
      <c r="P44" s="8"/>
      <c r="Q44" s="26">
        <v>0.69999999999999996</v>
      </c>
      <c r="R44" s="8"/>
      <c r="S44" s="26">
        <v>2.2000000000000002</v>
      </c>
      <c r="T44" s="8"/>
      <c r="U44" s="26">
        <v>0.59999999999999998</v>
      </c>
      <c r="V44" s="8"/>
      <c r="W44" s="26">
        <v>0.29999999999999999</v>
      </c>
      <c r="X44" s="8"/>
      <c r="Y44" s="26">
        <v>0.59999999999999998</v>
      </c>
      <c r="Z44" s="8"/>
      <c r="AA44" s="26">
        <v>3.7000000000000002</v>
      </c>
      <c r="AB44" s="8"/>
      <c r="AC44" s="8"/>
    </row>
    <row r="45" ht="12" customHeight="1">
      <c r="A45" s="8" t="s">
        <v>151</v>
      </c>
      <c r="B45" s="8" t="s">
        <v>817</v>
      </c>
      <c r="C45" s="26">
        <v>1.2</v>
      </c>
      <c r="D45" s="8"/>
      <c r="E45" s="26">
        <v>0.90000000000000002</v>
      </c>
      <c r="F45" s="8"/>
      <c r="G45" s="26">
        <v>-0.90000000000000002</v>
      </c>
      <c r="H45" s="8"/>
      <c r="I45" s="26">
        <v>6.4000000000000004</v>
      </c>
      <c r="J45" s="8"/>
      <c r="K45" s="26">
        <v>1</v>
      </c>
      <c r="L45" s="8"/>
      <c r="M45" s="26">
        <v>-1.5</v>
      </c>
      <c r="N45" s="8"/>
      <c r="O45" s="26">
        <v>-0.69999999999999996</v>
      </c>
      <c r="P45" s="8"/>
      <c r="Q45" s="26">
        <v>2.2000000000000002</v>
      </c>
      <c r="R45" s="8"/>
      <c r="S45" s="26">
        <v>-0.10000000000000001</v>
      </c>
      <c r="T45" s="8"/>
      <c r="U45" s="26">
        <v>-0.40000000000000002</v>
      </c>
      <c r="V45" s="8"/>
      <c r="W45" s="26">
        <v>1</v>
      </c>
      <c r="X45" s="8"/>
      <c r="Y45" s="26">
        <v>7.5</v>
      </c>
      <c r="Z45" s="8"/>
      <c r="AA45" s="26">
        <v>0.29999999999999999</v>
      </c>
      <c r="AB45" s="8"/>
      <c r="AC45" s="8"/>
    </row>
    <row r="46" ht="12" customHeight="1">
      <c r="A46" s="8" t="s">
        <v>153</v>
      </c>
      <c r="B46" s="8" t="s">
        <v>818</v>
      </c>
      <c r="C46" s="26">
        <v>-0.40000000000000002</v>
      </c>
      <c r="D46" s="8"/>
      <c r="E46" s="26">
        <v>1.3999999999999999</v>
      </c>
      <c r="F46" s="8"/>
      <c r="G46" s="26">
        <v>-9.8000000000000007</v>
      </c>
      <c r="H46" s="8"/>
      <c r="I46" s="26">
        <v>-6.2000000000000002</v>
      </c>
      <c r="J46" s="8"/>
      <c r="K46" s="26">
        <v>15.800000000000001</v>
      </c>
      <c r="L46" s="8"/>
      <c r="M46" s="26">
        <v>-2.8999999999999999</v>
      </c>
      <c r="N46" s="8"/>
      <c r="O46" s="26">
        <v>8.0999999999999996</v>
      </c>
      <c r="P46" s="8"/>
      <c r="Q46" s="26">
        <v>-15</v>
      </c>
      <c r="R46" s="8"/>
      <c r="S46" s="26">
        <v>0</v>
      </c>
      <c r="T46" s="8"/>
      <c r="U46" s="26">
        <v>-5.2000000000000002</v>
      </c>
      <c r="V46" s="8"/>
      <c r="W46" s="26">
        <v>-7.2000000000000002</v>
      </c>
      <c r="X46" s="8"/>
      <c r="Y46" s="26">
        <v>-3.7000000000000002</v>
      </c>
      <c r="Z46" s="8"/>
      <c r="AA46" s="26">
        <v>11.4</v>
      </c>
      <c r="AB46" s="8"/>
      <c r="AC46" s="8"/>
    </row>
    <row r="47" ht="12" customHeight="1">
      <c r="A47" s="8" t="s">
        <v>155</v>
      </c>
      <c r="B47" s="8" t="s">
        <v>819</v>
      </c>
      <c r="C47" s="26">
        <v>0.20000000000000001</v>
      </c>
      <c r="D47" s="8"/>
      <c r="E47" s="26">
        <v>0.29999999999999999</v>
      </c>
      <c r="F47" s="8"/>
      <c r="G47" s="26">
        <v>0.80000000000000004</v>
      </c>
      <c r="H47" s="8"/>
      <c r="I47" s="26">
        <v>1.7</v>
      </c>
      <c r="J47" s="8"/>
      <c r="K47" s="26">
        <v>1.3</v>
      </c>
      <c r="L47" s="8"/>
      <c r="M47" s="26">
        <v>0.80000000000000004</v>
      </c>
      <c r="N47" s="8"/>
      <c r="O47" s="26">
        <v>0.5</v>
      </c>
      <c r="P47" s="8"/>
      <c r="Q47" s="26">
        <v>1.2</v>
      </c>
      <c r="R47" s="8"/>
      <c r="S47" s="26">
        <v>2.2999999999999998</v>
      </c>
      <c r="T47" s="8"/>
      <c r="U47" s="26">
        <v>1.6000000000000001</v>
      </c>
      <c r="V47" s="8"/>
      <c r="W47" s="26">
        <v>1.3999999999999999</v>
      </c>
      <c r="X47" s="8"/>
      <c r="Y47" s="26">
        <v>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820</v>
      </c>
      <c r="C48" s="26">
        <v>3.1000000000000001</v>
      </c>
      <c r="D48" s="8"/>
      <c r="E48" s="26">
        <v>1</v>
      </c>
      <c r="F48" s="8"/>
      <c r="G48" s="26">
        <v>0.5</v>
      </c>
      <c r="H48" s="8"/>
      <c r="I48" s="26">
        <v>1.3999999999999999</v>
      </c>
      <c r="J48" s="8"/>
      <c r="K48" s="26">
        <v>2.2000000000000002</v>
      </c>
      <c r="L48" s="8"/>
      <c r="M48" s="26">
        <v>1.6000000000000001</v>
      </c>
      <c r="N48" s="8"/>
      <c r="O48" s="26">
        <v>-1.3</v>
      </c>
      <c r="P48" s="8"/>
      <c r="Q48" s="26">
        <v>0.10000000000000001</v>
      </c>
      <c r="R48" s="8"/>
      <c r="S48" s="26">
        <v>1.8999999999999999</v>
      </c>
      <c r="T48" s="8"/>
      <c r="U48" s="26">
        <v>-0.40000000000000002</v>
      </c>
      <c r="V48" s="8"/>
      <c r="W48" s="26">
        <v>0.69999999999999996</v>
      </c>
      <c r="X48" s="8"/>
      <c r="Y48" s="26">
        <v>0.80000000000000004</v>
      </c>
      <c r="Z48" s="8"/>
      <c r="AA48" s="26">
        <v>1.5</v>
      </c>
      <c r="AB48" s="8"/>
      <c r="AC48" s="8"/>
    </row>
    <row r="49" ht="12" customHeight="1">
      <c r="A49" s="8" t="s">
        <v>159</v>
      </c>
      <c r="B49" s="8" t="s">
        <v>821</v>
      </c>
      <c r="C49" s="26">
        <v>7.5999999999999996</v>
      </c>
      <c r="D49" s="8"/>
      <c r="E49" s="26">
        <v>-5.0999999999999996</v>
      </c>
      <c r="F49" s="8"/>
      <c r="G49" s="26">
        <v>-15.1</v>
      </c>
      <c r="H49" s="8"/>
      <c r="I49" s="26">
        <v>3.6000000000000001</v>
      </c>
      <c r="J49" s="8"/>
      <c r="K49" s="26">
        <v>8.5</v>
      </c>
      <c r="L49" s="8"/>
      <c r="M49" s="26">
        <v>-9.0999999999999996</v>
      </c>
      <c r="N49" s="8"/>
      <c r="O49" s="26">
        <v>-10.1</v>
      </c>
      <c r="P49" s="8"/>
      <c r="Q49" s="26">
        <v>4.2999999999999998</v>
      </c>
      <c r="R49" s="8"/>
      <c r="S49" s="26">
        <v>8.1999999999999993</v>
      </c>
      <c r="T49" s="8"/>
      <c r="U49" s="26">
        <v>-6.0999999999999996</v>
      </c>
      <c r="V49" s="8"/>
      <c r="W49" s="26">
        <v>-11.800000000000001</v>
      </c>
      <c r="X49" s="8"/>
      <c r="Y49" s="26">
        <v>1.8</v>
      </c>
      <c r="Z49" s="8"/>
      <c r="AA49" s="26">
        <v>8</v>
      </c>
      <c r="AB49" s="8"/>
      <c r="AC49" s="8"/>
    </row>
    <row r="50" ht="12" customHeight="1">
      <c r="A50" s="8" t="s">
        <v>161</v>
      </c>
      <c r="B50" s="8" t="s">
        <v>822</v>
      </c>
      <c r="C50" s="26">
        <v>2.5</v>
      </c>
      <c r="D50" s="8"/>
      <c r="E50" s="26">
        <v>0.10000000000000001</v>
      </c>
      <c r="F50" s="8"/>
      <c r="G50" s="26">
        <v>-0.69999999999999996</v>
      </c>
      <c r="H50" s="8"/>
      <c r="I50" s="26">
        <v>-0.20000000000000001</v>
      </c>
      <c r="J50" s="8"/>
      <c r="K50" s="26">
        <v>-2.2000000000000002</v>
      </c>
      <c r="L50" s="8"/>
      <c r="M50" s="26">
        <v>4</v>
      </c>
      <c r="N50" s="8"/>
      <c r="O50" s="26">
        <v>0.10000000000000001</v>
      </c>
      <c r="P50" s="8"/>
      <c r="Q50" s="26">
        <v>-4.7999999999999998</v>
      </c>
      <c r="R50" s="8"/>
      <c r="S50" s="26">
        <v>-0.29999999999999999</v>
      </c>
      <c r="T50" s="8"/>
      <c r="U50" s="26">
        <v>0.80000000000000004</v>
      </c>
      <c r="V50" s="8"/>
      <c r="W50" s="26">
        <v>1.8</v>
      </c>
      <c r="X50" s="8"/>
      <c r="Y50" s="26">
        <v>-0.29999999999999999</v>
      </c>
      <c r="Z50" s="8"/>
      <c r="AA50" s="26">
        <v>0.69999999999999996</v>
      </c>
      <c r="AB50" s="8"/>
      <c r="AC50" s="8"/>
    </row>
    <row r="51" ht="12" customHeight="1">
      <c r="A51" s="8" t="s">
        <v>163</v>
      </c>
      <c r="B51" s="8" t="s">
        <v>823</v>
      </c>
      <c r="C51" s="26">
        <v>1.8999999999999999</v>
      </c>
      <c r="D51" s="8"/>
      <c r="E51" s="26">
        <v>1.5</v>
      </c>
      <c r="F51" s="8"/>
      <c r="G51" s="26">
        <v>4.4000000000000004</v>
      </c>
      <c r="H51" s="8"/>
      <c r="I51" s="26">
        <v>0.29999999999999999</v>
      </c>
      <c r="J51" s="8"/>
      <c r="K51" s="26">
        <v>0.59999999999999998</v>
      </c>
      <c r="L51" s="8"/>
      <c r="M51" s="26">
        <v>0.80000000000000004</v>
      </c>
      <c r="N51" s="8"/>
      <c r="O51" s="26">
        <v>-1</v>
      </c>
      <c r="P51" s="8"/>
      <c r="Q51" s="26">
        <v>0.5</v>
      </c>
      <c r="R51" s="8"/>
      <c r="S51" s="26">
        <v>0.80000000000000004</v>
      </c>
      <c r="T51" s="8"/>
      <c r="U51" s="26">
        <v>-1</v>
      </c>
      <c r="V51" s="8"/>
      <c r="W51" s="26">
        <v>-2.1000000000000001</v>
      </c>
      <c r="X51" s="8"/>
      <c r="Y51" s="26">
        <v>1.2</v>
      </c>
      <c r="Z51" s="8"/>
      <c r="AA51" s="26">
        <v>0.80000000000000004</v>
      </c>
      <c r="AB51" s="8"/>
      <c r="AC51" s="8"/>
    </row>
    <row r="52" ht="12" customHeight="1">
      <c r="A52" s="8" t="s">
        <v>165</v>
      </c>
      <c r="B52" s="8" t="s">
        <v>824</v>
      </c>
      <c r="C52" s="26">
        <v>2.3999999999999999</v>
      </c>
      <c r="D52" s="8"/>
      <c r="E52" s="26">
        <v>1.3</v>
      </c>
      <c r="F52" s="8"/>
      <c r="G52" s="26">
        <v>1</v>
      </c>
      <c r="H52" s="8"/>
      <c r="I52" s="26">
        <v>1.1000000000000001</v>
      </c>
      <c r="J52" s="8"/>
      <c r="K52" s="26">
        <v>2.7000000000000002</v>
      </c>
      <c r="L52" s="8"/>
      <c r="M52" s="26">
        <v>2.8999999999999999</v>
      </c>
      <c r="N52" s="8"/>
      <c r="O52" s="26">
        <v>2</v>
      </c>
      <c r="P52" s="8"/>
      <c r="Q52" s="26">
        <v>-0.40000000000000002</v>
      </c>
      <c r="R52" s="8"/>
      <c r="S52" s="26">
        <v>1</v>
      </c>
      <c r="T52" s="8"/>
      <c r="U52" s="26">
        <v>0.20000000000000001</v>
      </c>
      <c r="V52" s="8"/>
      <c r="W52" s="26">
        <v>6.4000000000000004</v>
      </c>
      <c r="X52" s="8"/>
      <c r="Y52" s="26">
        <v>0.29999999999999999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825</v>
      </c>
      <c r="C53" s="26">
        <v>3.5</v>
      </c>
      <c r="D53" s="8"/>
      <c r="E53" s="26">
        <v>0.10000000000000001</v>
      </c>
      <c r="F53" s="8"/>
      <c r="G53" s="26">
        <v>2.7999999999999998</v>
      </c>
      <c r="H53" s="8"/>
      <c r="I53" s="26">
        <v>2.6000000000000001</v>
      </c>
      <c r="J53" s="8"/>
      <c r="K53" s="26">
        <v>0.59999999999999998</v>
      </c>
      <c r="L53" s="8"/>
      <c r="M53" s="26">
        <v>-0.10000000000000001</v>
      </c>
      <c r="N53" s="8"/>
      <c r="O53" s="26">
        <v>1.8999999999999999</v>
      </c>
      <c r="P53" s="8"/>
      <c r="Q53" s="26">
        <v>0.5</v>
      </c>
      <c r="R53" s="8"/>
      <c r="S53" s="26">
        <v>1.3999999999999999</v>
      </c>
      <c r="T53" s="8"/>
      <c r="U53" s="26">
        <v>-0.59999999999999998</v>
      </c>
      <c r="V53" s="8"/>
      <c r="W53" s="26">
        <v>0.40000000000000002</v>
      </c>
      <c r="X53" s="8"/>
      <c r="Y53" s="26">
        <v>2</v>
      </c>
      <c r="Z53" s="8"/>
      <c r="AA53" s="26">
        <v>1.2</v>
      </c>
      <c r="AB53" s="8"/>
      <c r="AC53" s="8"/>
    </row>
    <row r="54" ht="12" customHeight="1">
      <c r="A54" s="8" t="s">
        <v>169</v>
      </c>
      <c r="B54" s="8" t="s">
        <v>826</v>
      </c>
      <c r="C54" s="26">
        <v>6.0999999999999996</v>
      </c>
      <c r="D54" s="8"/>
      <c r="E54" s="26">
        <v>4.7999999999999998</v>
      </c>
      <c r="F54" s="8"/>
      <c r="G54" s="26">
        <v>-4.7999999999999998</v>
      </c>
      <c r="H54" s="8"/>
      <c r="I54" s="26">
        <v>2.7999999999999998</v>
      </c>
      <c r="J54" s="8"/>
      <c r="K54" s="26">
        <v>4</v>
      </c>
      <c r="L54" s="8"/>
      <c r="M54" s="26">
        <v>6.7999999999999998</v>
      </c>
      <c r="N54" s="8"/>
      <c r="O54" s="26">
        <v>-8.9000000000000004</v>
      </c>
      <c r="P54" s="8"/>
      <c r="Q54" s="26">
        <v>-1.5</v>
      </c>
      <c r="R54" s="8"/>
      <c r="S54" s="26">
        <v>5.0999999999999996</v>
      </c>
      <c r="T54" s="8"/>
      <c r="U54" s="26">
        <v>1.8</v>
      </c>
      <c r="V54" s="8"/>
      <c r="W54" s="26">
        <v>-1.1000000000000001</v>
      </c>
      <c r="X54" s="8"/>
      <c r="Y54" s="26">
        <v>0.59999999999999998</v>
      </c>
      <c r="Z54" s="8"/>
      <c r="AA54" s="26">
        <v>4.4000000000000004</v>
      </c>
      <c r="AB54" s="8"/>
      <c r="AC54" s="8"/>
    </row>
    <row r="55" ht="12" customHeight="1">
      <c r="A55" s="11" t="s">
        <v>171</v>
      </c>
      <c r="B55" s="8" t="s">
        <v>827</v>
      </c>
      <c r="C55" s="26">
        <v>0</v>
      </c>
      <c r="D55" s="8"/>
      <c r="E55" s="26">
        <v>3</v>
      </c>
      <c r="F55" s="8"/>
      <c r="G55" s="26">
        <v>0</v>
      </c>
      <c r="H55" s="8"/>
      <c r="I55" s="26">
        <v>1.1000000000000001</v>
      </c>
      <c r="J55" s="8"/>
      <c r="K55" s="26">
        <v>0</v>
      </c>
      <c r="L55" s="8"/>
      <c r="M55" s="26">
        <v>3.1000000000000001</v>
      </c>
      <c r="N55" s="8"/>
      <c r="O55" s="26">
        <v>0</v>
      </c>
      <c r="P55" s="8"/>
      <c r="Q55" s="26">
        <v>-6.7999999999999998</v>
      </c>
      <c r="R55" s="8"/>
      <c r="S55" s="26">
        <v>0</v>
      </c>
      <c r="T55" s="8"/>
      <c r="U55" s="26">
        <v>9.8000000000000007</v>
      </c>
      <c r="V55" s="8"/>
      <c r="W55" s="26">
        <v>0</v>
      </c>
      <c r="X55" s="8"/>
      <c r="Y55" s="26">
        <v>0.59999999999999998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828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3.5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-21.699999999999999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2.3999999999999999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829</v>
      </c>
      <c r="C57" s="26">
        <v>0</v>
      </c>
      <c r="D57" s="8"/>
      <c r="E57" s="26">
        <v>2.2000000000000002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3.5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830</v>
      </c>
      <c r="C58" s="26">
        <v>0</v>
      </c>
      <c r="D58" s="8"/>
      <c r="E58" s="26">
        <v>6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5.2000000000000002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22.699999999999999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831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4.7000000000000002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832</v>
      </c>
      <c r="C60" s="26">
        <v>1.8</v>
      </c>
      <c r="D60" s="8"/>
      <c r="E60" s="26">
        <v>2.2999999999999998</v>
      </c>
      <c r="F60" s="8"/>
      <c r="G60" s="26">
        <v>3.2999999999999998</v>
      </c>
      <c r="H60" s="8"/>
      <c r="I60" s="26">
        <v>2.7999999999999998</v>
      </c>
      <c r="J60" s="8"/>
      <c r="K60" s="26">
        <v>2.5</v>
      </c>
      <c r="L60" s="8"/>
      <c r="M60" s="26">
        <v>3.2000000000000002</v>
      </c>
      <c r="N60" s="8"/>
      <c r="O60" s="26">
        <v>2.7999999999999998</v>
      </c>
      <c r="P60" s="8"/>
      <c r="Q60" s="26">
        <v>1.8</v>
      </c>
      <c r="R60" s="8"/>
      <c r="S60" s="26">
        <v>1.6000000000000001</v>
      </c>
      <c r="T60" s="8"/>
      <c r="U60" s="26">
        <v>1.1000000000000001</v>
      </c>
      <c r="V60" s="8"/>
      <c r="W60" s="26">
        <v>1.2</v>
      </c>
      <c r="X60" s="8"/>
      <c r="Y60" s="26">
        <v>0.5</v>
      </c>
      <c r="Z60" s="8"/>
      <c r="AA60" s="26">
        <v>0.29999999999999999</v>
      </c>
      <c r="AB60" s="8"/>
      <c r="AC60" s="8"/>
    </row>
    <row r="61" ht="12" customHeight="1">
      <c r="A61" s="8" t="s">
        <v>183</v>
      </c>
      <c r="B61" s="8" t="s">
        <v>833</v>
      </c>
      <c r="C61" s="26">
        <v>2.6000000000000001</v>
      </c>
      <c r="D61" s="8"/>
      <c r="E61" s="26">
        <v>2</v>
      </c>
      <c r="F61" s="8"/>
      <c r="G61" s="26">
        <v>2.2999999999999998</v>
      </c>
      <c r="H61" s="8"/>
      <c r="I61" s="26">
        <v>-0.59999999999999998</v>
      </c>
      <c r="J61" s="8"/>
      <c r="K61" s="26">
        <v>-1.2</v>
      </c>
      <c r="L61" s="8"/>
      <c r="M61" s="26">
        <v>0.10000000000000001</v>
      </c>
      <c r="N61" s="8"/>
      <c r="O61" s="26">
        <v>0.10000000000000001</v>
      </c>
      <c r="P61" s="8"/>
      <c r="Q61" s="26">
        <v>-0.20000000000000001</v>
      </c>
      <c r="R61" s="8"/>
      <c r="S61" s="26">
        <v>-0.10000000000000001</v>
      </c>
      <c r="T61" s="8"/>
      <c r="U61" s="26">
        <v>0.5</v>
      </c>
      <c r="V61" s="8"/>
      <c r="W61" s="26">
        <v>1</v>
      </c>
      <c r="X61" s="8"/>
      <c r="Y61" s="26">
        <v>0.29999999999999999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834</v>
      </c>
      <c r="C62" s="26">
        <v>3.3999999999999999</v>
      </c>
      <c r="D62" s="8"/>
      <c r="E62" s="26">
        <v>-1</v>
      </c>
      <c r="F62" s="8"/>
      <c r="G62" s="26">
        <v>1.2</v>
      </c>
      <c r="H62" s="8"/>
      <c r="I62" s="26">
        <v>1.8999999999999999</v>
      </c>
      <c r="J62" s="8"/>
      <c r="K62" s="26">
        <v>2.2000000000000002</v>
      </c>
      <c r="L62" s="8"/>
      <c r="M62" s="26">
        <v>0.29999999999999999</v>
      </c>
      <c r="N62" s="8"/>
      <c r="O62" s="26">
        <v>4.2999999999999998</v>
      </c>
      <c r="P62" s="8"/>
      <c r="Q62" s="26">
        <v>2.2000000000000002</v>
      </c>
      <c r="R62" s="8"/>
      <c r="S62" s="26">
        <v>4.2000000000000002</v>
      </c>
      <c r="T62" s="8"/>
      <c r="U62" s="26">
        <v>-0.10000000000000001</v>
      </c>
      <c r="V62" s="8"/>
      <c r="W62" s="26">
        <v>2.3999999999999999</v>
      </c>
      <c r="X62" s="8"/>
      <c r="Y62" s="26">
        <v>1.2</v>
      </c>
      <c r="Z62" s="8"/>
      <c r="AA62" s="26">
        <v>2.7999999999999998</v>
      </c>
      <c r="AB62" s="8"/>
      <c r="AC62" s="8"/>
    </row>
    <row r="63" ht="12" customHeight="1">
      <c r="A63" s="8" t="s">
        <v>187</v>
      </c>
      <c r="B63" s="8" t="s">
        <v>835</v>
      </c>
      <c r="C63" s="26">
        <v>1.8999999999999999</v>
      </c>
      <c r="D63" s="8"/>
      <c r="E63" s="26">
        <v>2.6000000000000001</v>
      </c>
      <c r="F63" s="8"/>
      <c r="G63" s="26">
        <v>4.2999999999999998</v>
      </c>
      <c r="H63" s="8"/>
      <c r="I63" s="26">
        <v>4.5</v>
      </c>
      <c r="J63" s="8"/>
      <c r="K63" s="26">
        <v>4.5</v>
      </c>
      <c r="L63" s="8"/>
      <c r="M63" s="26">
        <v>4.9000000000000004</v>
      </c>
      <c r="N63" s="8"/>
      <c r="O63" s="26">
        <v>4.2000000000000002</v>
      </c>
      <c r="P63" s="8"/>
      <c r="Q63" s="26">
        <v>2.8999999999999999</v>
      </c>
      <c r="R63" s="8"/>
      <c r="S63" s="26">
        <v>2.3999999999999999</v>
      </c>
      <c r="T63" s="8"/>
      <c r="U63" s="26">
        <v>1.5</v>
      </c>
      <c r="V63" s="8"/>
      <c r="W63" s="26">
        <v>1.3</v>
      </c>
      <c r="X63" s="8"/>
      <c r="Y63" s="26">
        <v>0.69999999999999996</v>
      </c>
      <c r="Z63" s="8"/>
      <c r="AA63" s="26">
        <v>0.5</v>
      </c>
      <c r="AB63" s="8"/>
      <c r="AC63" s="8"/>
    </row>
    <row r="64" ht="12" customHeight="1">
      <c r="A64" s="8" t="s">
        <v>189</v>
      </c>
      <c r="B64" s="8" t="s">
        <v>836</v>
      </c>
      <c r="C64" s="26">
        <v>-2.1000000000000001</v>
      </c>
      <c r="D64" s="8"/>
      <c r="E64" s="26">
        <v>-1.7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-2.7999999999999998</v>
      </c>
      <c r="R64" s="8"/>
      <c r="S64" s="26">
        <v>-2.2999999999999998</v>
      </c>
      <c r="T64" s="8"/>
      <c r="U64" s="26">
        <v>0</v>
      </c>
      <c r="V64" s="8"/>
      <c r="W64" s="26">
        <v>-0.59999999999999998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837</v>
      </c>
      <c r="C65" s="26">
        <v>0.20000000000000001</v>
      </c>
      <c r="D65" s="8"/>
      <c r="E65" s="26">
        <v>1.2</v>
      </c>
      <c r="F65" s="8"/>
      <c r="G65" s="26">
        <v>1.3</v>
      </c>
      <c r="H65" s="8"/>
      <c r="I65" s="26">
        <v>1.7</v>
      </c>
      <c r="J65" s="8"/>
      <c r="K65" s="26">
        <v>0.69999999999999996</v>
      </c>
      <c r="L65" s="8"/>
      <c r="M65" s="26">
        <v>0.69999999999999996</v>
      </c>
      <c r="N65" s="8"/>
      <c r="O65" s="26">
        <v>1.3999999999999999</v>
      </c>
      <c r="P65" s="8"/>
      <c r="Q65" s="26">
        <v>0.40000000000000002</v>
      </c>
      <c r="R65" s="8"/>
      <c r="S65" s="26">
        <v>0.69999999999999996</v>
      </c>
      <c r="T65" s="8"/>
      <c r="U65" s="26">
        <v>0.80000000000000004</v>
      </c>
      <c r="V65" s="8"/>
      <c r="W65" s="26">
        <v>1.1000000000000001</v>
      </c>
      <c r="X65" s="8"/>
      <c r="Y65" s="26">
        <v>-1.2</v>
      </c>
      <c r="Z65" s="8"/>
      <c r="AA65" s="26">
        <v>0</v>
      </c>
      <c r="AB65" s="8"/>
      <c r="AC65" s="8"/>
    </row>
    <row r="66" ht="12" customHeight="1">
      <c r="A66" s="11" t="s">
        <v>193</v>
      </c>
      <c r="B66" s="8" t="s">
        <v>838</v>
      </c>
      <c r="C66" s="26">
        <v>6.5999999999999996</v>
      </c>
      <c r="D66" s="8"/>
      <c r="E66" s="26">
        <v>6.9000000000000004</v>
      </c>
      <c r="F66" s="8"/>
      <c r="G66" s="26">
        <v>3.7000000000000002</v>
      </c>
      <c r="H66" s="8"/>
      <c r="I66" s="26">
        <v>8.1999999999999993</v>
      </c>
      <c r="J66" s="8"/>
      <c r="K66" s="26">
        <v>9.4000000000000004</v>
      </c>
      <c r="L66" s="8"/>
      <c r="M66" s="26">
        <v>4.4000000000000004</v>
      </c>
      <c r="N66" s="8"/>
      <c r="O66" s="26">
        <v>2.2000000000000002</v>
      </c>
      <c r="P66" s="8"/>
      <c r="Q66" s="26">
        <v>1.1000000000000001</v>
      </c>
      <c r="R66" s="8"/>
      <c r="S66" s="26">
        <v>-0.59999999999999998</v>
      </c>
      <c r="T66" s="8"/>
      <c r="U66" s="26">
        <v>-1.8999999999999999</v>
      </c>
      <c r="V66" s="8"/>
      <c r="W66" s="26">
        <v>-5.9000000000000004</v>
      </c>
      <c r="X66" s="8"/>
      <c r="Y66" s="26">
        <v>-6</v>
      </c>
      <c r="Z66" s="8"/>
      <c r="AA66" s="26">
        <v>-3.7999999999999998</v>
      </c>
      <c r="AB66" s="8"/>
      <c r="AC66" s="8"/>
    </row>
    <row r="67" ht="12" customHeight="1">
      <c r="A67" s="8" t="s">
        <v>195</v>
      </c>
      <c r="B67" s="8" t="s">
        <v>839</v>
      </c>
      <c r="C67" s="26">
        <v>6.5999999999999996</v>
      </c>
      <c r="D67" s="8"/>
      <c r="E67" s="26">
        <v>6.9000000000000004</v>
      </c>
      <c r="F67" s="8"/>
      <c r="G67" s="26">
        <v>3.7000000000000002</v>
      </c>
      <c r="H67" s="8"/>
      <c r="I67" s="26">
        <v>8.1999999999999993</v>
      </c>
      <c r="J67" s="8"/>
      <c r="K67" s="26">
        <v>9.4000000000000004</v>
      </c>
      <c r="L67" s="8"/>
      <c r="M67" s="26">
        <v>4.4000000000000004</v>
      </c>
      <c r="N67" s="8"/>
      <c r="O67" s="26">
        <v>2.2000000000000002</v>
      </c>
      <c r="P67" s="8"/>
      <c r="Q67" s="26">
        <v>1.1000000000000001</v>
      </c>
      <c r="R67" s="8"/>
      <c r="S67" s="26">
        <v>-0.59999999999999998</v>
      </c>
      <c r="T67" s="8"/>
      <c r="U67" s="26">
        <v>-1.8999999999999999</v>
      </c>
      <c r="V67" s="8"/>
      <c r="W67" s="26">
        <v>-5.9000000000000004</v>
      </c>
      <c r="X67" s="8"/>
      <c r="Y67" s="26">
        <v>-6</v>
      </c>
      <c r="Z67" s="8"/>
      <c r="AA67" s="26">
        <v>-3.7999999999999998</v>
      </c>
      <c r="AB67" s="8"/>
      <c r="AC67" s="8"/>
    </row>
    <row r="68" ht="12" customHeight="1">
      <c r="A68" s="13" t="s">
        <v>69</v>
      </c>
      <c r="B68" s="10" t="s">
        <v>60</v>
      </c>
      <c r="C68" s="27">
        <v>1.3</v>
      </c>
      <c r="D68" s="10"/>
      <c r="E68" s="27">
        <v>1.8999999999999999</v>
      </c>
      <c r="F68" s="10"/>
      <c r="G68" s="27">
        <v>1.3999999999999999</v>
      </c>
      <c r="H68" s="10"/>
      <c r="I68" s="27">
        <v>2.3999999999999999</v>
      </c>
      <c r="J68" s="10"/>
      <c r="K68" s="27">
        <v>1</v>
      </c>
      <c r="L68" s="10"/>
      <c r="M68" s="27">
        <v>1.1000000000000001</v>
      </c>
      <c r="N68" s="10"/>
      <c r="O68" s="27">
        <v>0.69999999999999996</v>
      </c>
      <c r="P68" s="10"/>
      <c r="Q68" s="27">
        <v>1.2</v>
      </c>
      <c r="R68" s="10"/>
      <c r="S68" s="27">
        <v>0.40000000000000002</v>
      </c>
      <c r="T68" s="10"/>
      <c r="U68" s="27">
        <v>1.1000000000000001</v>
      </c>
      <c r="V68" s="10"/>
      <c r="W68" s="27">
        <v>0.5</v>
      </c>
      <c r="X68" s="10"/>
      <c r="Y68" s="27">
        <v>0.90000000000000002</v>
      </c>
      <c r="Z68" s="10"/>
      <c r="AA68" s="27">
        <v>0.29999999999999999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841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779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780</v>
      </c>
      <c r="C8" s="22">
        <v>11.199999999999999</v>
      </c>
      <c r="D8" s="22"/>
      <c r="E8" s="22">
        <v>12.1</v>
      </c>
      <c r="F8" s="22"/>
      <c r="G8" s="22">
        <v>12.9</v>
      </c>
      <c r="H8" s="22"/>
      <c r="I8" s="22">
        <v>9.3000000000000007</v>
      </c>
      <c r="J8" s="22"/>
      <c r="K8" s="22">
        <v>5.7999999999999998</v>
      </c>
      <c r="L8" s="22"/>
      <c r="M8" s="22">
        <v>2</v>
      </c>
      <c r="N8" s="22"/>
      <c r="O8" s="22">
        <v>-0.29999999999999999</v>
      </c>
      <c r="P8" s="22"/>
      <c r="Q8" s="22">
        <v>0.40000000000000002</v>
      </c>
      <c r="R8" s="22"/>
      <c r="S8" s="22">
        <v>1.1000000000000001</v>
      </c>
      <c r="T8" s="22"/>
      <c r="U8" s="22">
        <v>2.7000000000000002</v>
      </c>
      <c r="V8" s="22"/>
      <c r="W8" s="22">
        <v>4.5999999999999996</v>
      </c>
      <c r="X8" s="22"/>
      <c r="Y8" s="22">
        <v>5.0999999999999996</v>
      </c>
      <c r="Z8" s="22"/>
      <c r="AA8" s="22">
        <v>4.5999999999999996</v>
      </c>
      <c r="AB8" s="18"/>
      <c r="AC8" s="18"/>
    </row>
    <row r="9" ht="12" customHeight="1">
      <c r="A9" s="8" t="s">
        <v>79</v>
      </c>
      <c r="B9" s="8" t="s">
        <v>781</v>
      </c>
      <c r="C9" s="26">
        <v>20.899999999999999</v>
      </c>
      <c r="D9" s="8"/>
      <c r="E9" s="26">
        <v>21.199999999999999</v>
      </c>
      <c r="F9" s="8"/>
      <c r="G9" s="26">
        <v>21.5</v>
      </c>
      <c r="H9" s="8"/>
      <c r="I9" s="26">
        <v>6.0999999999999996</v>
      </c>
      <c r="J9" s="8"/>
      <c r="K9" s="26">
        <v>4.2000000000000002</v>
      </c>
      <c r="L9" s="8"/>
      <c r="M9" s="26">
        <v>-7.0999999999999996</v>
      </c>
      <c r="N9" s="8"/>
      <c r="O9" s="26">
        <v>-13.699999999999999</v>
      </c>
      <c r="P9" s="8"/>
      <c r="Q9" s="26">
        <v>-10.4</v>
      </c>
      <c r="R9" s="8"/>
      <c r="S9" s="26">
        <v>-9.5</v>
      </c>
      <c r="T9" s="8"/>
      <c r="U9" s="26">
        <v>-6</v>
      </c>
      <c r="V9" s="8"/>
      <c r="W9" s="26">
        <v>4.7999999999999998</v>
      </c>
      <c r="X9" s="8"/>
      <c r="Y9" s="26">
        <v>8</v>
      </c>
      <c r="Z9" s="8"/>
      <c r="AA9" s="26">
        <v>3.8999999999999999</v>
      </c>
      <c r="AB9" s="8"/>
      <c r="AC9" s="8"/>
    </row>
    <row r="10" ht="12" customHeight="1">
      <c r="A10" s="8" t="s">
        <v>81</v>
      </c>
      <c r="B10" s="8" t="s">
        <v>782</v>
      </c>
      <c r="C10" s="26">
        <v>11.1</v>
      </c>
      <c r="D10" s="8"/>
      <c r="E10" s="26">
        <v>9</v>
      </c>
      <c r="F10" s="8"/>
      <c r="G10" s="26">
        <v>10.6</v>
      </c>
      <c r="H10" s="8"/>
      <c r="I10" s="26">
        <v>7.9000000000000004</v>
      </c>
      <c r="J10" s="8"/>
      <c r="K10" s="26">
        <v>2.5</v>
      </c>
      <c r="L10" s="8"/>
      <c r="M10" s="26">
        <v>0.80000000000000004</v>
      </c>
      <c r="N10" s="8"/>
      <c r="O10" s="26">
        <v>-0.69999999999999996</v>
      </c>
      <c r="P10" s="8"/>
      <c r="Q10" s="26">
        <v>0.40000000000000002</v>
      </c>
      <c r="R10" s="8"/>
      <c r="S10" s="26">
        <v>2.3999999999999999</v>
      </c>
      <c r="T10" s="8"/>
      <c r="U10" s="26">
        <v>4.2999999999999998</v>
      </c>
      <c r="V10" s="8"/>
      <c r="W10" s="26">
        <v>5.2999999999999998</v>
      </c>
      <c r="X10" s="8"/>
      <c r="Y10" s="26">
        <v>7.7999999999999998</v>
      </c>
      <c r="Z10" s="8"/>
      <c r="AA10" s="26">
        <v>7.2999999999999998</v>
      </c>
      <c r="AB10" s="8"/>
      <c r="AC10" s="8"/>
    </row>
    <row r="11" ht="12" customHeight="1">
      <c r="A11" s="8" t="s">
        <v>83</v>
      </c>
      <c r="B11" s="8" t="s">
        <v>783</v>
      </c>
      <c r="C11" s="26">
        <v>10.199999999999999</v>
      </c>
      <c r="D11" s="8"/>
      <c r="E11" s="26">
        <v>12.300000000000001</v>
      </c>
      <c r="F11" s="8"/>
      <c r="G11" s="26">
        <v>13.1</v>
      </c>
      <c r="H11" s="8"/>
      <c r="I11" s="26">
        <v>11.199999999999999</v>
      </c>
      <c r="J11" s="8"/>
      <c r="K11" s="26">
        <v>6.4000000000000004</v>
      </c>
      <c r="L11" s="8"/>
      <c r="M11" s="26">
        <v>3</v>
      </c>
      <c r="N11" s="8"/>
      <c r="O11" s="26">
        <v>1.3</v>
      </c>
      <c r="P11" s="8"/>
      <c r="Q11" s="26">
        <v>1.8999999999999999</v>
      </c>
      <c r="R11" s="8"/>
      <c r="S11" s="26">
        <v>2.6000000000000001</v>
      </c>
      <c r="T11" s="8"/>
      <c r="U11" s="26">
        <v>4.5</v>
      </c>
      <c r="V11" s="8"/>
      <c r="W11" s="26">
        <v>5.0999999999999996</v>
      </c>
      <c r="X11" s="8"/>
      <c r="Y11" s="26">
        <v>4.7000000000000002</v>
      </c>
      <c r="Z11" s="8"/>
      <c r="AA11" s="26">
        <v>4.5999999999999996</v>
      </c>
      <c r="AB11" s="8"/>
      <c r="AC11" s="8"/>
    </row>
    <row r="12" ht="12" customHeight="1">
      <c r="A12" s="8" t="s">
        <v>85</v>
      </c>
      <c r="B12" s="8" t="s">
        <v>784</v>
      </c>
      <c r="C12" s="26">
        <v>8.0999999999999996</v>
      </c>
      <c r="D12" s="8"/>
      <c r="E12" s="26">
        <v>8.1999999999999993</v>
      </c>
      <c r="F12" s="8"/>
      <c r="G12" s="26">
        <v>10</v>
      </c>
      <c r="H12" s="8"/>
      <c r="I12" s="26">
        <v>9</v>
      </c>
      <c r="J12" s="8"/>
      <c r="K12" s="26">
        <v>6.2000000000000002</v>
      </c>
      <c r="L12" s="8"/>
      <c r="M12" s="26">
        <v>5.0999999999999996</v>
      </c>
      <c r="N12" s="8"/>
      <c r="O12" s="26">
        <v>4.5</v>
      </c>
      <c r="P12" s="8"/>
      <c r="Q12" s="26">
        <v>4.4000000000000004</v>
      </c>
      <c r="R12" s="8"/>
      <c r="S12" s="26">
        <v>4.2000000000000002</v>
      </c>
      <c r="T12" s="8"/>
      <c r="U12" s="26">
        <v>5.5999999999999996</v>
      </c>
      <c r="V12" s="8"/>
      <c r="W12" s="26">
        <v>6.2000000000000002</v>
      </c>
      <c r="X12" s="8"/>
      <c r="Y12" s="26">
        <v>4.7000000000000002</v>
      </c>
      <c r="Z12" s="8"/>
      <c r="AA12" s="26">
        <v>5.4000000000000004</v>
      </c>
      <c r="AB12" s="8"/>
      <c r="AC12" s="8"/>
    </row>
    <row r="13" ht="12" customHeight="1">
      <c r="A13" s="8" t="s">
        <v>87</v>
      </c>
      <c r="B13" s="8" t="s">
        <v>785</v>
      </c>
      <c r="C13" s="26">
        <v>8.1999999999999993</v>
      </c>
      <c r="D13" s="8"/>
      <c r="E13" s="26">
        <v>9</v>
      </c>
      <c r="F13" s="8"/>
      <c r="G13" s="26">
        <v>9.5999999999999996</v>
      </c>
      <c r="H13" s="8"/>
      <c r="I13" s="26">
        <v>9.3000000000000007</v>
      </c>
      <c r="J13" s="8"/>
      <c r="K13" s="26">
        <v>7.9000000000000004</v>
      </c>
      <c r="L13" s="8"/>
      <c r="M13" s="26">
        <v>6.7999999999999998</v>
      </c>
      <c r="N13" s="8"/>
      <c r="O13" s="26">
        <v>5</v>
      </c>
      <c r="P13" s="8"/>
      <c r="Q13" s="26">
        <v>3.7000000000000002</v>
      </c>
      <c r="R13" s="8"/>
      <c r="S13" s="26">
        <v>3.3999999999999999</v>
      </c>
      <c r="T13" s="8"/>
      <c r="U13" s="26">
        <v>2.6000000000000001</v>
      </c>
      <c r="V13" s="8"/>
      <c r="W13" s="26">
        <v>2.1000000000000001</v>
      </c>
      <c r="X13" s="8"/>
      <c r="Y13" s="26">
        <v>2.5</v>
      </c>
      <c r="Z13" s="8"/>
      <c r="AA13" s="26">
        <v>2.5</v>
      </c>
      <c r="AB13" s="8"/>
      <c r="AC13" s="8"/>
    </row>
    <row r="14" ht="12" customHeight="1">
      <c r="A14" s="11" t="s">
        <v>89</v>
      </c>
      <c r="B14" s="8" t="s">
        <v>786</v>
      </c>
      <c r="C14" s="26">
        <v>5.5999999999999996</v>
      </c>
      <c r="D14" s="8"/>
      <c r="E14" s="26">
        <v>7.5</v>
      </c>
      <c r="F14" s="8"/>
      <c r="G14" s="26">
        <v>7.7000000000000002</v>
      </c>
      <c r="H14" s="8"/>
      <c r="I14" s="26">
        <v>7.7000000000000002</v>
      </c>
      <c r="J14" s="8"/>
      <c r="K14" s="26">
        <v>8.6999999999999993</v>
      </c>
      <c r="L14" s="8"/>
      <c r="M14" s="26">
        <v>8</v>
      </c>
      <c r="N14" s="8"/>
      <c r="O14" s="26">
        <v>7.5999999999999996</v>
      </c>
      <c r="P14" s="8"/>
      <c r="Q14" s="26">
        <v>7</v>
      </c>
      <c r="R14" s="8"/>
      <c r="S14" s="26">
        <v>5.5</v>
      </c>
      <c r="T14" s="8"/>
      <c r="U14" s="26">
        <v>3.5</v>
      </c>
      <c r="V14" s="8"/>
      <c r="W14" s="26">
        <v>2.6000000000000001</v>
      </c>
      <c r="X14" s="8"/>
      <c r="Y14" s="26">
        <v>2.5</v>
      </c>
      <c r="Z14" s="8"/>
      <c r="AA14" s="26">
        <v>2.2999999999999998</v>
      </c>
      <c r="AB14" s="8"/>
      <c r="AC14" s="8"/>
    </row>
    <row r="15" ht="12" customHeight="1">
      <c r="A15" s="8" t="s">
        <v>91</v>
      </c>
      <c r="B15" s="8" t="s">
        <v>787</v>
      </c>
      <c r="C15" s="26">
        <v>6.4000000000000004</v>
      </c>
      <c r="D15" s="8"/>
      <c r="E15" s="26">
        <v>6.4000000000000004</v>
      </c>
      <c r="F15" s="8"/>
      <c r="G15" s="26">
        <v>6.7999999999999998</v>
      </c>
      <c r="H15" s="8"/>
      <c r="I15" s="26">
        <v>6.2000000000000002</v>
      </c>
      <c r="J15" s="8"/>
      <c r="K15" s="26">
        <v>5.5</v>
      </c>
      <c r="L15" s="8"/>
      <c r="M15" s="26">
        <v>5.0999999999999996</v>
      </c>
      <c r="N15" s="8"/>
      <c r="O15" s="26">
        <v>4.7000000000000002</v>
      </c>
      <c r="P15" s="8"/>
      <c r="Q15" s="26">
        <v>3.5</v>
      </c>
      <c r="R15" s="8"/>
      <c r="S15" s="26">
        <v>3</v>
      </c>
      <c r="T15" s="8"/>
      <c r="U15" s="26">
        <v>2.7000000000000002</v>
      </c>
      <c r="V15" s="8"/>
      <c r="W15" s="26">
        <v>0.59999999999999998</v>
      </c>
      <c r="X15" s="8"/>
      <c r="Y15" s="26">
        <v>0.59999999999999998</v>
      </c>
      <c r="Z15" s="8"/>
      <c r="AA15" s="26">
        <v>0.20000000000000001</v>
      </c>
      <c r="AB15" s="8"/>
      <c r="AC15" s="8"/>
    </row>
    <row r="16" ht="12" customHeight="1">
      <c r="A16" s="8" t="s">
        <v>93</v>
      </c>
      <c r="B16" s="8" t="s">
        <v>788</v>
      </c>
      <c r="C16" s="26">
        <v>5</v>
      </c>
      <c r="D16" s="8"/>
      <c r="E16" s="26">
        <v>8.4000000000000004</v>
      </c>
      <c r="F16" s="8"/>
      <c r="G16" s="26">
        <v>8.4000000000000004</v>
      </c>
      <c r="H16" s="8"/>
      <c r="I16" s="26">
        <v>9</v>
      </c>
      <c r="J16" s="8"/>
      <c r="K16" s="26">
        <v>11.5</v>
      </c>
      <c r="L16" s="8"/>
      <c r="M16" s="26">
        <v>10.4</v>
      </c>
      <c r="N16" s="8"/>
      <c r="O16" s="26">
        <v>10.300000000000001</v>
      </c>
      <c r="P16" s="8"/>
      <c r="Q16" s="26">
        <v>10.1</v>
      </c>
      <c r="R16" s="8"/>
      <c r="S16" s="26">
        <v>7.7000000000000002</v>
      </c>
      <c r="T16" s="8"/>
      <c r="U16" s="26">
        <v>5</v>
      </c>
      <c r="V16" s="8"/>
      <c r="W16" s="26">
        <v>5.2999999999999998</v>
      </c>
      <c r="X16" s="8"/>
      <c r="Y16" s="26">
        <v>4.9000000000000004</v>
      </c>
      <c r="Z16" s="8"/>
      <c r="AA16" s="26">
        <v>5.7999999999999998</v>
      </c>
      <c r="AB16" s="8"/>
      <c r="AC16" s="8"/>
    </row>
    <row r="17" ht="12" customHeight="1">
      <c r="A17" s="11" t="s">
        <v>95</v>
      </c>
      <c r="B17" s="8" t="s">
        <v>789</v>
      </c>
      <c r="C17" s="26">
        <v>2.8999999999999999</v>
      </c>
      <c r="D17" s="8"/>
      <c r="E17" s="26">
        <v>3</v>
      </c>
      <c r="F17" s="8"/>
      <c r="G17" s="26">
        <v>5.4000000000000004</v>
      </c>
      <c r="H17" s="8"/>
      <c r="I17" s="26">
        <v>4.0999999999999996</v>
      </c>
      <c r="J17" s="8"/>
      <c r="K17" s="26">
        <v>3.3999999999999999</v>
      </c>
      <c r="L17" s="8"/>
      <c r="M17" s="26">
        <v>4.2000000000000002</v>
      </c>
      <c r="N17" s="8"/>
      <c r="O17" s="26">
        <v>0.29999999999999999</v>
      </c>
      <c r="P17" s="8"/>
      <c r="Q17" s="26">
        <v>-0.5</v>
      </c>
      <c r="R17" s="8"/>
      <c r="S17" s="26">
        <v>-2</v>
      </c>
      <c r="T17" s="8"/>
      <c r="U17" s="26">
        <v>-1.8</v>
      </c>
      <c r="V17" s="8"/>
      <c r="W17" s="26">
        <v>-1.2</v>
      </c>
      <c r="X17" s="8"/>
      <c r="Y17" s="26">
        <v>-0.20000000000000001</v>
      </c>
      <c r="Z17" s="8"/>
      <c r="AA17" s="26">
        <v>1.7</v>
      </c>
      <c r="AB17" s="8"/>
      <c r="AC17" s="8"/>
    </row>
    <row r="18" ht="12" customHeight="1">
      <c r="A18" s="8" t="s">
        <v>97</v>
      </c>
      <c r="B18" s="8" t="s">
        <v>790</v>
      </c>
      <c r="C18" s="26">
        <v>2.7000000000000002</v>
      </c>
      <c r="D18" s="8"/>
      <c r="E18" s="26">
        <v>2.7999999999999998</v>
      </c>
      <c r="F18" s="8"/>
      <c r="G18" s="26">
        <v>5.4000000000000004</v>
      </c>
      <c r="H18" s="8"/>
      <c r="I18" s="26">
        <v>4.4000000000000004</v>
      </c>
      <c r="J18" s="8"/>
      <c r="K18" s="26">
        <v>3.7999999999999998</v>
      </c>
      <c r="L18" s="8"/>
      <c r="M18" s="26">
        <v>4.5</v>
      </c>
      <c r="N18" s="8"/>
      <c r="O18" s="26">
        <v>0.29999999999999999</v>
      </c>
      <c r="P18" s="8"/>
      <c r="Q18" s="26">
        <v>-0.5</v>
      </c>
      <c r="R18" s="8"/>
      <c r="S18" s="26">
        <v>-2.1000000000000001</v>
      </c>
      <c r="T18" s="8"/>
      <c r="U18" s="26">
        <v>-2.3999999999999999</v>
      </c>
      <c r="V18" s="8"/>
      <c r="W18" s="26">
        <v>-0.80000000000000004</v>
      </c>
      <c r="X18" s="8"/>
      <c r="Y18" s="26">
        <v>-0.20000000000000001</v>
      </c>
      <c r="Z18" s="8"/>
      <c r="AA18" s="26">
        <v>1.8999999999999999</v>
      </c>
      <c r="AB18" s="8"/>
      <c r="AC18" s="8"/>
    </row>
    <row r="19" ht="12" customHeight="1">
      <c r="A19" s="8" t="s">
        <v>99</v>
      </c>
      <c r="B19" s="8" t="s">
        <v>791</v>
      </c>
      <c r="C19" s="26">
        <v>3.7999999999999998</v>
      </c>
      <c r="D19" s="8"/>
      <c r="E19" s="26">
        <v>5.0999999999999996</v>
      </c>
      <c r="F19" s="8"/>
      <c r="G19" s="26">
        <v>4.9000000000000004</v>
      </c>
      <c r="H19" s="8"/>
      <c r="I19" s="26">
        <v>1.3</v>
      </c>
      <c r="J19" s="8"/>
      <c r="K19" s="26">
        <v>0.59999999999999998</v>
      </c>
      <c r="L19" s="8"/>
      <c r="M19" s="26">
        <v>1</v>
      </c>
      <c r="N19" s="8"/>
      <c r="O19" s="26">
        <v>0.5</v>
      </c>
      <c r="P19" s="8"/>
      <c r="Q19" s="26">
        <v>-0.10000000000000001</v>
      </c>
      <c r="R19" s="8"/>
      <c r="S19" s="26">
        <v>-1.5</v>
      </c>
      <c r="T19" s="8"/>
      <c r="U19" s="26">
        <v>1.2</v>
      </c>
      <c r="V19" s="8"/>
      <c r="W19" s="26">
        <v>-3.1000000000000001</v>
      </c>
      <c r="X19" s="8"/>
      <c r="Y19" s="26">
        <v>-0.59999999999999998</v>
      </c>
      <c r="Z19" s="8"/>
      <c r="AA19" s="26">
        <v>0.5</v>
      </c>
      <c r="AB19" s="8"/>
      <c r="AC19" s="8"/>
    </row>
    <row r="20" ht="12" customHeight="1">
      <c r="A20" s="11" t="s">
        <v>101</v>
      </c>
      <c r="B20" s="8" t="s">
        <v>792</v>
      </c>
      <c r="C20" s="26">
        <v>5.0999999999999996</v>
      </c>
      <c r="D20" s="8"/>
      <c r="E20" s="26">
        <v>5.2999999999999998</v>
      </c>
      <c r="F20" s="8"/>
      <c r="G20" s="26">
        <v>5.4000000000000004</v>
      </c>
      <c r="H20" s="8"/>
      <c r="I20" s="26">
        <v>5.9000000000000004</v>
      </c>
      <c r="J20" s="8"/>
      <c r="K20" s="26">
        <v>6.0999999999999996</v>
      </c>
      <c r="L20" s="8"/>
      <c r="M20" s="26">
        <v>5.7000000000000002</v>
      </c>
      <c r="N20" s="8"/>
      <c r="O20" s="26">
        <v>5.7000000000000002</v>
      </c>
      <c r="P20" s="8"/>
      <c r="Q20" s="26">
        <v>6.2999999999999998</v>
      </c>
      <c r="R20" s="8"/>
      <c r="S20" s="26">
        <v>5.7999999999999998</v>
      </c>
      <c r="T20" s="8"/>
      <c r="U20" s="26">
        <v>5.9000000000000004</v>
      </c>
      <c r="V20" s="8"/>
      <c r="W20" s="26">
        <v>5.7999999999999998</v>
      </c>
      <c r="X20" s="8"/>
      <c r="Y20" s="26">
        <v>5.0999999999999996</v>
      </c>
      <c r="Z20" s="8"/>
      <c r="AA20" s="26">
        <v>4.7999999999999998</v>
      </c>
      <c r="AB20" s="8"/>
      <c r="AC20" s="8"/>
    </row>
    <row r="21" ht="12" customHeight="1">
      <c r="A21" s="8" t="s">
        <v>103</v>
      </c>
      <c r="B21" s="8" t="s">
        <v>793</v>
      </c>
      <c r="C21" s="26">
        <v>5.0999999999999996</v>
      </c>
      <c r="D21" s="8"/>
      <c r="E21" s="26">
        <v>5.2000000000000002</v>
      </c>
      <c r="F21" s="8"/>
      <c r="G21" s="26">
        <v>5.0999999999999996</v>
      </c>
      <c r="H21" s="8"/>
      <c r="I21" s="26">
        <v>5.2999999999999998</v>
      </c>
      <c r="J21" s="8"/>
      <c r="K21" s="26">
        <v>5.4000000000000004</v>
      </c>
      <c r="L21" s="8"/>
      <c r="M21" s="26">
        <v>5.4000000000000004</v>
      </c>
      <c r="N21" s="8"/>
      <c r="O21" s="26">
        <v>5.2999999999999998</v>
      </c>
      <c r="P21" s="8"/>
      <c r="Q21" s="26">
        <v>5</v>
      </c>
      <c r="R21" s="8"/>
      <c r="S21" s="26">
        <v>4.5</v>
      </c>
      <c r="T21" s="8"/>
      <c r="U21" s="26">
        <v>3.8999999999999999</v>
      </c>
      <c r="V21" s="8"/>
      <c r="W21" s="26">
        <v>3.5</v>
      </c>
      <c r="X21" s="8"/>
      <c r="Y21" s="26">
        <v>2.7000000000000002</v>
      </c>
      <c r="Z21" s="8"/>
      <c r="AA21" s="26">
        <v>2</v>
      </c>
      <c r="AB21" s="8"/>
      <c r="AC21" s="8"/>
    </row>
    <row r="22" ht="12" customHeight="1">
      <c r="A22" s="8" t="s">
        <v>105</v>
      </c>
      <c r="B22" s="8" t="s">
        <v>794</v>
      </c>
      <c r="C22" s="26">
        <v>5.0999999999999996</v>
      </c>
      <c r="D22" s="8"/>
      <c r="E22" s="26">
        <v>5.2000000000000002</v>
      </c>
      <c r="F22" s="8"/>
      <c r="G22" s="26">
        <v>5.0999999999999996</v>
      </c>
      <c r="H22" s="8"/>
      <c r="I22" s="26">
        <v>5.2999999999999998</v>
      </c>
      <c r="J22" s="8"/>
      <c r="K22" s="26">
        <v>5.4000000000000004</v>
      </c>
      <c r="L22" s="8"/>
      <c r="M22" s="26">
        <v>5.4000000000000004</v>
      </c>
      <c r="N22" s="8"/>
      <c r="O22" s="26">
        <v>5.2999999999999998</v>
      </c>
      <c r="P22" s="8"/>
      <c r="Q22" s="26">
        <v>5</v>
      </c>
      <c r="R22" s="8"/>
      <c r="S22" s="26">
        <v>4.5</v>
      </c>
      <c r="T22" s="8"/>
      <c r="U22" s="26">
        <v>3.8999999999999999</v>
      </c>
      <c r="V22" s="8"/>
      <c r="W22" s="26">
        <v>3.5</v>
      </c>
      <c r="X22" s="8"/>
      <c r="Y22" s="26">
        <v>2.7000000000000002</v>
      </c>
      <c r="Z22" s="8"/>
      <c r="AA22" s="26">
        <v>2</v>
      </c>
      <c r="AB22" s="8"/>
      <c r="AC22" s="8"/>
    </row>
    <row r="23" ht="12" customHeight="1">
      <c r="A23" s="8" t="s">
        <v>107</v>
      </c>
      <c r="B23" s="8" t="s">
        <v>795</v>
      </c>
      <c r="C23" s="26">
        <v>7.5</v>
      </c>
      <c r="D23" s="8"/>
      <c r="E23" s="26">
        <v>5.7999999999999998</v>
      </c>
      <c r="F23" s="8"/>
      <c r="G23" s="26">
        <v>5.4000000000000004</v>
      </c>
      <c r="H23" s="8"/>
      <c r="I23" s="26">
        <v>4.4000000000000004</v>
      </c>
      <c r="J23" s="8"/>
      <c r="K23" s="26">
        <v>3</v>
      </c>
      <c r="L23" s="8"/>
      <c r="M23" s="26">
        <v>3</v>
      </c>
      <c r="N23" s="8"/>
      <c r="O23" s="26">
        <v>3.1000000000000001</v>
      </c>
      <c r="P23" s="8"/>
      <c r="Q23" s="26">
        <v>3.5</v>
      </c>
      <c r="R23" s="8"/>
      <c r="S23" s="26">
        <v>2.7999999999999998</v>
      </c>
      <c r="T23" s="8"/>
      <c r="U23" s="26">
        <v>3.2999999999999998</v>
      </c>
      <c r="V23" s="8"/>
      <c r="W23" s="26">
        <v>1.8999999999999999</v>
      </c>
      <c r="X23" s="8"/>
      <c r="Y23" s="26">
        <v>1.5</v>
      </c>
      <c r="Z23" s="8"/>
      <c r="AA23" s="26">
        <v>2.2000000000000002</v>
      </c>
      <c r="AB23" s="8"/>
      <c r="AC23" s="8"/>
    </row>
    <row r="24" ht="12" customHeight="1">
      <c r="A24" s="8" t="s">
        <v>109</v>
      </c>
      <c r="B24" s="8" t="s">
        <v>796</v>
      </c>
      <c r="C24" s="26">
        <v>7.0999999999999996</v>
      </c>
      <c r="D24" s="8"/>
      <c r="E24" s="26">
        <v>7.0999999999999996</v>
      </c>
      <c r="F24" s="8"/>
      <c r="G24" s="26">
        <v>7.0999999999999996</v>
      </c>
      <c r="H24" s="8"/>
      <c r="I24" s="26">
        <v>9.5999999999999996</v>
      </c>
      <c r="J24" s="8"/>
      <c r="K24" s="26">
        <v>9.6999999999999993</v>
      </c>
      <c r="L24" s="8"/>
      <c r="M24" s="26">
        <v>9.5999999999999996</v>
      </c>
      <c r="N24" s="8"/>
      <c r="O24" s="26">
        <v>9.5999999999999996</v>
      </c>
      <c r="P24" s="8"/>
      <c r="Q24" s="26">
        <v>11.9</v>
      </c>
      <c r="R24" s="8"/>
      <c r="S24" s="26">
        <v>11.9</v>
      </c>
      <c r="T24" s="8"/>
      <c r="U24" s="26">
        <v>12</v>
      </c>
      <c r="V24" s="8"/>
      <c r="W24" s="26">
        <v>11.9</v>
      </c>
      <c r="X24" s="8"/>
      <c r="Y24" s="26">
        <v>8.3000000000000007</v>
      </c>
      <c r="Z24" s="8"/>
      <c r="AA24" s="26">
        <v>8.3000000000000007</v>
      </c>
      <c r="AB24" s="8"/>
      <c r="AC24" s="8"/>
    </row>
    <row r="25" ht="12" customHeight="1">
      <c r="A25" s="8" t="s">
        <v>111</v>
      </c>
      <c r="B25" s="8" t="s">
        <v>797</v>
      </c>
      <c r="C25" s="26">
        <v>7.2000000000000002</v>
      </c>
      <c r="D25" s="8"/>
      <c r="E25" s="26">
        <v>7.2000000000000002</v>
      </c>
      <c r="F25" s="8"/>
      <c r="G25" s="26">
        <v>7.2000000000000002</v>
      </c>
      <c r="H25" s="8"/>
      <c r="I25" s="26">
        <v>9.8000000000000007</v>
      </c>
      <c r="J25" s="8"/>
      <c r="K25" s="26">
        <v>9.8000000000000007</v>
      </c>
      <c r="L25" s="8"/>
      <c r="M25" s="26">
        <v>9.8000000000000007</v>
      </c>
      <c r="N25" s="8"/>
      <c r="O25" s="26">
        <v>9.8000000000000007</v>
      </c>
      <c r="P25" s="8"/>
      <c r="Q25" s="26">
        <v>12.1</v>
      </c>
      <c r="R25" s="8"/>
      <c r="S25" s="26">
        <v>12.1</v>
      </c>
      <c r="T25" s="8"/>
      <c r="U25" s="26">
        <v>12.1</v>
      </c>
      <c r="V25" s="8"/>
      <c r="W25" s="26">
        <v>12.1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798</v>
      </c>
      <c r="C26" s="26">
        <v>2.7000000000000002</v>
      </c>
      <c r="D26" s="8"/>
      <c r="E26" s="26">
        <v>3.7999999999999998</v>
      </c>
      <c r="F26" s="8"/>
      <c r="G26" s="26">
        <v>4.7999999999999998</v>
      </c>
      <c r="H26" s="8"/>
      <c r="I26" s="26">
        <v>5.0999999999999996</v>
      </c>
      <c r="J26" s="8"/>
      <c r="K26" s="26">
        <v>6</v>
      </c>
      <c r="L26" s="8"/>
      <c r="M26" s="26">
        <v>4.0999999999999996</v>
      </c>
      <c r="N26" s="8"/>
      <c r="O26" s="26">
        <v>4.2000000000000002</v>
      </c>
      <c r="P26" s="8"/>
      <c r="Q26" s="26">
        <v>6.2000000000000002</v>
      </c>
      <c r="R26" s="8"/>
      <c r="S26" s="26">
        <v>5.2000000000000002</v>
      </c>
      <c r="T26" s="8"/>
      <c r="U26" s="26">
        <v>7</v>
      </c>
      <c r="V26" s="8"/>
      <c r="W26" s="26">
        <v>9</v>
      </c>
      <c r="X26" s="8"/>
      <c r="Y26" s="26">
        <v>11.300000000000001</v>
      </c>
      <c r="Z26" s="8"/>
      <c r="AA26" s="26">
        <v>12</v>
      </c>
      <c r="AB26" s="8"/>
      <c r="AC26" s="8"/>
    </row>
    <row r="27" ht="12" customHeight="1">
      <c r="A27" s="8" t="s">
        <v>115</v>
      </c>
      <c r="B27" s="8" t="s">
        <v>799</v>
      </c>
      <c r="C27" s="26">
        <v>2.2999999999999998</v>
      </c>
      <c r="D27" s="8"/>
      <c r="E27" s="26">
        <v>3.2999999999999998</v>
      </c>
      <c r="F27" s="8"/>
      <c r="G27" s="26">
        <v>4.2000000000000002</v>
      </c>
      <c r="H27" s="8"/>
      <c r="I27" s="26">
        <v>4.0999999999999996</v>
      </c>
      <c r="J27" s="8"/>
      <c r="K27" s="26">
        <v>5.0999999999999996</v>
      </c>
      <c r="L27" s="8"/>
      <c r="M27" s="26">
        <v>3.2999999999999998</v>
      </c>
      <c r="N27" s="8"/>
      <c r="O27" s="26">
        <v>3.6000000000000001</v>
      </c>
      <c r="P27" s="8"/>
      <c r="Q27" s="26">
        <v>6.0999999999999996</v>
      </c>
      <c r="R27" s="8"/>
      <c r="S27" s="26">
        <v>4.7999999999999998</v>
      </c>
      <c r="T27" s="8"/>
      <c r="U27" s="26">
        <v>6.5</v>
      </c>
      <c r="V27" s="8"/>
      <c r="W27" s="26">
        <v>8.5</v>
      </c>
      <c r="X27" s="8"/>
      <c r="Y27" s="26">
        <v>11.4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800</v>
      </c>
      <c r="C28" s="26">
        <v>8.6999999999999993</v>
      </c>
      <c r="D28" s="8"/>
      <c r="E28" s="26">
        <v>7.5</v>
      </c>
      <c r="F28" s="8"/>
      <c r="G28" s="26">
        <v>7.4000000000000004</v>
      </c>
      <c r="H28" s="8"/>
      <c r="I28" s="26">
        <v>4.2999999999999998</v>
      </c>
      <c r="J28" s="8"/>
      <c r="K28" s="26">
        <v>2.2000000000000002</v>
      </c>
      <c r="L28" s="8"/>
      <c r="M28" s="26">
        <v>1.6000000000000001</v>
      </c>
      <c r="N28" s="8"/>
      <c r="O28" s="26">
        <v>-1</v>
      </c>
      <c r="P28" s="8"/>
      <c r="Q28" s="26">
        <v>0.40000000000000002</v>
      </c>
      <c r="R28" s="8"/>
      <c r="S28" s="26">
        <v>-0.29999999999999999</v>
      </c>
      <c r="T28" s="8"/>
      <c r="U28" s="26">
        <v>-0.40000000000000002</v>
      </c>
      <c r="V28" s="8"/>
      <c r="W28" s="26">
        <v>0.10000000000000001</v>
      </c>
      <c r="X28" s="8"/>
      <c r="Y28" s="26">
        <v>-1</v>
      </c>
      <c r="Z28" s="8"/>
      <c r="AA28" s="26">
        <v>-0.40000000000000002</v>
      </c>
      <c r="AB28" s="8"/>
      <c r="AC28" s="8"/>
    </row>
    <row r="29" ht="12" customHeight="1">
      <c r="A29" s="8" t="s">
        <v>119</v>
      </c>
      <c r="B29" s="8" t="s">
        <v>801</v>
      </c>
      <c r="C29" s="26">
        <v>7.2999999999999998</v>
      </c>
      <c r="D29" s="8"/>
      <c r="E29" s="26">
        <v>6.9000000000000004</v>
      </c>
      <c r="F29" s="8"/>
      <c r="G29" s="26">
        <v>8.1999999999999993</v>
      </c>
      <c r="H29" s="8"/>
      <c r="I29" s="26">
        <v>3.5</v>
      </c>
      <c r="J29" s="8"/>
      <c r="K29" s="26">
        <v>-0.20000000000000001</v>
      </c>
      <c r="L29" s="8"/>
      <c r="M29" s="26">
        <v>-2.6000000000000001</v>
      </c>
      <c r="N29" s="8"/>
      <c r="O29" s="26">
        <v>-5.7000000000000002</v>
      </c>
      <c r="P29" s="8"/>
      <c r="Q29" s="26">
        <v>-2</v>
      </c>
      <c r="R29" s="8"/>
      <c r="S29" s="26">
        <v>-1.1000000000000001</v>
      </c>
      <c r="T29" s="8"/>
      <c r="U29" s="26">
        <v>1.6000000000000001</v>
      </c>
      <c r="V29" s="8"/>
      <c r="W29" s="26">
        <v>0.5</v>
      </c>
      <c r="X29" s="8"/>
      <c r="Y29" s="26">
        <v>-3.6000000000000001</v>
      </c>
      <c r="Z29" s="8"/>
      <c r="AA29" s="26">
        <v>-0.5</v>
      </c>
      <c r="AB29" s="8"/>
      <c r="AC29" s="8"/>
    </row>
    <row r="30" ht="12" customHeight="1">
      <c r="A30" s="8" t="s">
        <v>121</v>
      </c>
      <c r="B30" s="8" t="s">
        <v>802</v>
      </c>
      <c r="C30" s="26">
        <v>3.6000000000000001</v>
      </c>
      <c r="D30" s="8"/>
      <c r="E30" s="26">
        <v>6.0999999999999996</v>
      </c>
      <c r="F30" s="8"/>
      <c r="G30" s="26">
        <v>1</v>
      </c>
      <c r="H30" s="8"/>
      <c r="I30" s="26">
        <v>2.5</v>
      </c>
      <c r="J30" s="8"/>
      <c r="K30" s="26">
        <v>3.2999999999999998</v>
      </c>
      <c r="L30" s="8"/>
      <c r="M30" s="26">
        <v>0.90000000000000002</v>
      </c>
      <c r="N30" s="8"/>
      <c r="O30" s="26">
        <v>7.5999999999999996</v>
      </c>
      <c r="P30" s="8"/>
      <c r="Q30" s="26">
        <v>7.7999999999999998</v>
      </c>
      <c r="R30" s="8"/>
      <c r="S30" s="26">
        <v>-1.8999999999999999</v>
      </c>
      <c r="T30" s="8"/>
      <c r="U30" s="26">
        <v>2.6000000000000001</v>
      </c>
      <c r="V30" s="8"/>
      <c r="W30" s="26">
        <v>-0.69999999999999996</v>
      </c>
      <c r="X30" s="8"/>
      <c r="Y30" s="26">
        <v>0.29999999999999999</v>
      </c>
      <c r="Z30" s="8"/>
      <c r="AA30" s="26">
        <v>4.9000000000000004</v>
      </c>
      <c r="AB30" s="8"/>
      <c r="AC30" s="8"/>
    </row>
    <row r="31" ht="12" customHeight="1">
      <c r="A31" s="8" t="s">
        <v>123</v>
      </c>
      <c r="B31" s="8" t="s">
        <v>803</v>
      </c>
      <c r="C31" s="26">
        <v>6.2999999999999998</v>
      </c>
      <c r="D31" s="8"/>
      <c r="E31" s="26">
        <v>3</v>
      </c>
      <c r="F31" s="8"/>
      <c r="G31" s="26">
        <v>4.7000000000000002</v>
      </c>
      <c r="H31" s="8"/>
      <c r="I31" s="26">
        <v>2.7999999999999998</v>
      </c>
      <c r="J31" s="8"/>
      <c r="K31" s="26">
        <v>1</v>
      </c>
      <c r="L31" s="8"/>
      <c r="M31" s="26">
        <v>1.6000000000000001</v>
      </c>
      <c r="N31" s="8"/>
      <c r="O31" s="26">
        <v>-2.7999999999999998</v>
      </c>
      <c r="P31" s="8"/>
      <c r="Q31" s="26">
        <v>-3</v>
      </c>
      <c r="R31" s="8"/>
      <c r="S31" s="26">
        <v>-1.8</v>
      </c>
      <c r="T31" s="8"/>
      <c r="U31" s="26">
        <v>-2.2000000000000002</v>
      </c>
      <c r="V31" s="8"/>
      <c r="W31" s="26">
        <v>-1.1000000000000001</v>
      </c>
      <c r="X31" s="8"/>
      <c r="Y31" s="26">
        <v>-0.29999999999999999</v>
      </c>
      <c r="Z31" s="8"/>
      <c r="AA31" s="26">
        <v>-0.5</v>
      </c>
      <c r="AB31" s="8"/>
      <c r="AC31" s="8"/>
    </row>
    <row r="32" ht="12" customHeight="1">
      <c r="A32" s="8" t="s">
        <v>125</v>
      </c>
      <c r="B32" s="8" t="s">
        <v>804</v>
      </c>
      <c r="C32" s="26">
        <v>16</v>
      </c>
      <c r="D32" s="8"/>
      <c r="E32" s="26">
        <v>10.9</v>
      </c>
      <c r="F32" s="8"/>
      <c r="G32" s="26">
        <v>7.9000000000000004</v>
      </c>
      <c r="H32" s="8"/>
      <c r="I32" s="26">
        <v>1.7</v>
      </c>
      <c r="J32" s="8"/>
      <c r="K32" s="26">
        <v>2.2999999999999998</v>
      </c>
      <c r="L32" s="8"/>
      <c r="M32" s="26">
        <v>9.5999999999999996</v>
      </c>
      <c r="N32" s="8"/>
      <c r="O32" s="26">
        <v>4.7999999999999998</v>
      </c>
      <c r="P32" s="8"/>
      <c r="Q32" s="26">
        <v>4.2000000000000002</v>
      </c>
      <c r="R32" s="8"/>
      <c r="S32" s="26">
        <v>2.1000000000000001</v>
      </c>
      <c r="T32" s="8"/>
      <c r="U32" s="26">
        <v>0.90000000000000002</v>
      </c>
      <c r="V32" s="8"/>
      <c r="W32" s="26">
        <v>0.90000000000000002</v>
      </c>
      <c r="X32" s="8"/>
      <c r="Y32" s="26">
        <v>2.3999999999999999</v>
      </c>
      <c r="Z32" s="8"/>
      <c r="AA32" s="26">
        <v>-2.7999999999999998</v>
      </c>
      <c r="AB32" s="8"/>
      <c r="AC32" s="8"/>
    </row>
    <row r="33" ht="12" customHeight="1">
      <c r="A33" s="8" t="s">
        <v>127</v>
      </c>
      <c r="B33" s="8" t="s">
        <v>805</v>
      </c>
      <c r="C33" s="26">
        <v>10.199999999999999</v>
      </c>
      <c r="D33" s="8"/>
      <c r="E33" s="26">
        <v>8.8000000000000007</v>
      </c>
      <c r="F33" s="8"/>
      <c r="G33" s="26">
        <v>6.9000000000000004</v>
      </c>
      <c r="H33" s="8"/>
      <c r="I33" s="26">
        <v>5.4000000000000004</v>
      </c>
      <c r="J33" s="8"/>
      <c r="K33" s="26">
        <v>3.3999999999999999</v>
      </c>
      <c r="L33" s="8"/>
      <c r="M33" s="26">
        <v>3.5</v>
      </c>
      <c r="N33" s="8"/>
      <c r="O33" s="26">
        <v>-3.7999999999999998</v>
      </c>
      <c r="P33" s="8"/>
      <c r="Q33" s="26">
        <v>-3.7000000000000002</v>
      </c>
      <c r="R33" s="8"/>
      <c r="S33" s="26">
        <v>-3.5</v>
      </c>
      <c r="T33" s="8"/>
      <c r="U33" s="26">
        <v>-5.0999999999999996</v>
      </c>
      <c r="V33" s="8"/>
      <c r="W33" s="26">
        <v>-0.20000000000000001</v>
      </c>
      <c r="X33" s="8"/>
      <c r="Y33" s="26">
        <v>-0.29999999999999999</v>
      </c>
      <c r="Z33" s="8"/>
      <c r="AA33" s="26">
        <v>-2.6000000000000001</v>
      </c>
      <c r="AB33" s="8"/>
      <c r="AC33" s="8"/>
    </row>
    <row r="34" ht="12" customHeight="1">
      <c r="A34" s="8" t="s">
        <v>129</v>
      </c>
      <c r="B34" s="8" t="s">
        <v>806</v>
      </c>
      <c r="C34" s="26">
        <v>11.199999999999999</v>
      </c>
      <c r="D34" s="8"/>
      <c r="E34" s="26">
        <v>10.6</v>
      </c>
      <c r="F34" s="8"/>
      <c r="G34" s="26">
        <v>11.5</v>
      </c>
      <c r="H34" s="8"/>
      <c r="I34" s="26">
        <v>6.7000000000000002</v>
      </c>
      <c r="J34" s="8"/>
      <c r="K34" s="26">
        <v>3.5</v>
      </c>
      <c r="L34" s="8"/>
      <c r="M34" s="26">
        <v>2.2000000000000002</v>
      </c>
      <c r="N34" s="8"/>
      <c r="O34" s="26">
        <v>0.5</v>
      </c>
      <c r="P34" s="8"/>
      <c r="Q34" s="26">
        <v>2.8999999999999999</v>
      </c>
      <c r="R34" s="8"/>
      <c r="S34" s="26">
        <v>2.7999999999999998</v>
      </c>
      <c r="T34" s="8"/>
      <c r="U34" s="26">
        <v>0.80000000000000004</v>
      </c>
      <c r="V34" s="8"/>
      <c r="W34" s="26">
        <v>1.8</v>
      </c>
      <c r="X34" s="8"/>
      <c r="Y34" s="26">
        <v>-0.29999999999999999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807</v>
      </c>
      <c r="C35" s="26">
        <v>5.0999999999999996</v>
      </c>
      <c r="D35" s="8"/>
      <c r="E35" s="26">
        <v>4.7999999999999998</v>
      </c>
      <c r="F35" s="8"/>
      <c r="G35" s="26">
        <v>4.5999999999999996</v>
      </c>
      <c r="H35" s="8"/>
      <c r="I35" s="26">
        <v>-2.6000000000000001</v>
      </c>
      <c r="J35" s="8"/>
      <c r="K35" s="26">
        <v>-2</v>
      </c>
      <c r="L35" s="8"/>
      <c r="M35" s="26">
        <v>-0.69999999999999996</v>
      </c>
      <c r="N35" s="8"/>
      <c r="O35" s="26">
        <v>-1.6000000000000001</v>
      </c>
      <c r="P35" s="8"/>
      <c r="Q35" s="26">
        <v>13.5</v>
      </c>
      <c r="R35" s="8"/>
      <c r="S35" s="26">
        <v>9.6999999999999993</v>
      </c>
      <c r="T35" s="8"/>
      <c r="U35" s="26">
        <v>8.1999999999999993</v>
      </c>
      <c r="V35" s="8"/>
      <c r="W35" s="26">
        <v>8</v>
      </c>
      <c r="X35" s="8"/>
      <c r="Y35" s="26">
        <v>-0.69999999999999996</v>
      </c>
      <c r="Z35" s="8"/>
      <c r="AA35" s="26">
        <v>-0.10000000000000001</v>
      </c>
      <c r="AB35" s="8"/>
      <c r="AC35" s="8"/>
    </row>
    <row r="36" ht="12" customHeight="1">
      <c r="A36" s="8" t="s">
        <v>133</v>
      </c>
      <c r="B36" s="8" t="s">
        <v>808</v>
      </c>
      <c r="C36" s="26">
        <v>5.2000000000000002</v>
      </c>
      <c r="D36" s="8"/>
      <c r="E36" s="26">
        <v>3.7999999999999998</v>
      </c>
      <c r="F36" s="8"/>
      <c r="G36" s="26">
        <v>4.4000000000000004</v>
      </c>
      <c r="H36" s="8"/>
      <c r="I36" s="26">
        <v>-23</v>
      </c>
      <c r="J36" s="8"/>
      <c r="K36" s="26">
        <v>-23.800000000000001</v>
      </c>
      <c r="L36" s="8"/>
      <c r="M36" s="26">
        <v>-24.100000000000001</v>
      </c>
      <c r="N36" s="8"/>
      <c r="O36" s="26">
        <v>-24.600000000000001</v>
      </c>
      <c r="P36" s="8"/>
      <c r="Q36" s="26">
        <v>37.200000000000003</v>
      </c>
      <c r="R36" s="8"/>
      <c r="S36" s="26">
        <v>25</v>
      </c>
      <c r="T36" s="8"/>
      <c r="U36" s="26">
        <v>25.300000000000001</v>
      </c>
      <c r="V36" s="8"/>
      <c r="W36" s="26">
        <v>24</v>
      </c>
      <c r="X36" s="8"/>
      <c r="Y36" s="26">
        <v>-12</v>
      </c>
      <c r="Z36" s="8"/>
      <c r="AA36" s="26">
        <v>-7.0999999999999996</v>
      </c>
      <c r="AB36" s="8"/>
      <c r="AC36" s="8"/>
    </row>
    <row r="37" ht="12" customHeight="1">
      <c r="A37" s="8" t="s">
        <v>135</v>
      </c>
      <c r="B37" s="8" t="s">
        <v>809</v>
      </c>
      <c r="C37" s="26">
        <v>4.9000000000000004</v>
      </c>
      <c r="D37" s="8"/>
      <c r="E37" s="26">
        <v>4.9000000000000004</v>
      </c>
      <c r="F37" s="8"/>
      <c r="G37" s="26">
        <v>4.7000000000000002</v>
      </c>
      <c r="H37" s="8"/>
      <c r="I37" s="26">
        <v>4.7999999999999998</v>
      </c>
      <c r="J37" s="8"/>
      <c r="K37" s="26">
        <v>5.5999999999999996</v>
      </c>
      <c r="L37" s="8"/>
      <c r="M37" s="26">
        <v>7.5</v>
      </c>
      <c r="N37" s="8"/>
      <c r="O37" s="26">
        <v>6.4000000000000004</v>
      </c>
      <c r="P37" s="8"/>
      <c r="Q37" s="26">
        <v>6.4000000000000004</v>
      </c>
      <c r="R37" s="8"/>
      <c r="S37" s="26">
        <v>5.4000000000000004</v>
      </c>
      <c r="T37" s="8"/>
      <c r="U37" s="26">
        <v>3.3999999999999999</v>
      </c>
      <c r="V37" s="8"/>
      <c r="W37" s="26">
        <v>3.6000000000000001</v>
      </c>
      <c r="X37" s="8"/>
      <c r="Y37" s="26">
        <v>4</v>
      </c>
      <c r="Z37" s="8"/>
      <c r="AA37" s="26">
        <v>3.2000000000000002</v>
      </c>
      <c r="AB37" s="8"/>
      <c r="AC37" s="8"/>
    </row>
    <row r="38" ht="12" customHeight="1">
      <c r="A38" s="8" t="s">
        <v>137</v>
      </c>
      <c r="B38" s="8" t="s">
        <v>810</v>
      </c>
      <c r="C38" s="26">
        <v>8.5</v>
      </c>
      <c r="D38" s="8"/>
      <c r="E38" s="26">
        <v>10.4</v>
      </c>
      <c r="F38" s="8"/>
      <c r="G38" s="26">
        <v>6.7999999999999998</v>
      </c>
      <c r="H38" s="8"/>
      <c r="I38" s="26">
        <v>9.5</v>
      </c>
      <c r="J38" s="8"/>
      <c r="K38" s="26">
        <v>13.6</v>
      </c>
      <c r="L38" s="8"/>
      <c r="M38" s="26">
        <v>13.5</v>
      </c>
      <c r="N38" s="8"/>
      <c r="O38" s="26">
        <v>12.1</v>
      </c>
      <c r="P38" s="8"/>
      <c r="Q38" s="26">
        <v>15.4</v>
      </c>
      <c r="R38" s="8"/>
      <c r="S38" s="26">
        <v>11.1</v>
      </c>
      <c r="T38" s="8"/>
      <c r="U38" s="26">
        <v>9.1999999999999993</v>
      </c>
      <c r="V38" s="8"/>
      <c r="W38" s="26">
        <v>9.3000000000000007</v>
      </c>
      <c r="X38" s="8"/>
      <c r="Y38" s="26">
        <v>3.7000000000000002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811</v>
      </c>
      <c r="C39" s="26">
        <v>6.9000000000000004</v>
      </c>
      <c r="D39" s="8"/>
      <c r="E39" s="26">
        <v>0.20000000000000001</v>
      </c>
      <c r="F39" s="8"/>
      <c r="G39" s="26">
        <v>-4.5999999999999996</v>
      </c>
      <c r="H39" s="8"/>
      <c r="I39" s="26">
        <v>4.2000000000000002</v>
      </c>
      <c r="J39" s="8"/>
      <c r="K39" s="26">
        <v>4.9000000000000004</v>
      </c>
      <c r="L39" s="8"/>
      <c r="M39" s="26">
        <v>5.0999999999999996</v>
      </c>
      <c r="N39" s="8"/>
      <c r="O39" s="26">
        <v>6.7000000000000002</v>
      </c>
      <c r="P39" s="8"/>
      <c r="Q39" s="26">
        <v>-5.0999999999999996</v>
      </c>
      <c r="R39" s="8"/>
      <c r="S39" s="26">
        <v>-3.6000000000000001</v>
      </c>
      <c r="T39" s="8"/>
      <c r="U39" s="26">
        <v>0.10000000000000001</v>
      </c>
      <c r="V39" s="8"/>
      <c r="W39" s="26">
        <v>-1.7</v>
      </c>
      <c r="X39" s="8"/>
      <c r="Y39" s="26">
        <v>1.8</v>
      </c>
      <c r="Z39" s="8"/>
      <c r="AA39" s="26">
        <v>2.7000000000000002</v>
      </c>
      <c r="AB39" s="8"/>
      <c r="AC39" s="8"/>
    </row>
    <row r="40" ht="12" customHeight="1">
      <c r="A40" s="8" t="s">
        <v>141</v>
      </c>
      <c r="B40" s="8" t="s">
        <v>812</v>
      </c>
      <c r="C40" s="26">
        <v>1.5</v>
      </c>
      <c r="D40" s="8"/>
      <c r="E40" s="26">
        <v>-0.59999999999999998</v>
      </c>
      <c r="F40" s="8"/>
      <c r="G40" s="26">
        <v>1.3999999999999999</v>
      </c>
      <c r="H40" s="8"/>
      <c r="I40" s="26">
        <v>4.4000000000000004</v>
      </c>
      <c r="J40" s="8"/>
      <c r="K40" s="26">
        <v>1.8</v>
      </c>
      <c r="L40" s="8"/>
      <c r="M40" s="26">
        <v>0.29999999999999999</v>
      </c>
      <c r="N40" s="8"/>
      <c r="O40" s="26">
        <v>-4.9000000000000004</v>
      </c>
      <c r="P40" s="8"/>
      <c r="Q40" s="26">
        <v>-9</v>
      </c>
      <c r="R40" s="8"/>
      <c r="S40" s="26">
        <v>-3.2999999999999998</v>
      </c>
      <c r="T40" s="8"/>
      <c r="U40" s="26">
        <v>-2.7999999999999998</v>
      </c>
      <c r="V40" s="8"/>
      <c r="W40" s="26">
        <v>2.7000000000000002</v>
      </c>
      <c r="X40" s="8"/>
      <c r="Y40" s="26">
        <v>4.9000000000000004</v>
      </c>
      <c r="Z40" s="8"/>
      <c r="AA40" s="26">
        <v>1.5</v>
      </c>
      <c r="AB40" s="8"/>
      <c r="AC40" s="8"/>
    </row>
    <row r="41" ht="12" customHeight="1">
      <c r="A41" s="8" t="s">
        <v>143</v>
      </c>
      <c r="B41" s="8" t="s">
        <v>813</v>
      </c>
      <c r="C41" s="26">
        <v>4.4000000000000004</v>
      </c>
      <c r="D41" s="8"/>
      <c r="E41" s="26">
        <v>-4</v>
      </c>
      <c r="F41" s="8"/>
      <c r="G41" s="26">
        <v>-9.5999999999999996</v>
      </c>
      <c r="H41" s="8"/>
      <c r="I41" s="26">
        <v>4</v>
      </c>
      <c r="J41" s="8"/>
      <c r="K41" s="26">
        <v>9</v>
      </c>
      <c r="L41" s="8"/>
      <c r="M41" s="26">
        <v>9.4000000000000004</v>
      </c>
      <c r="N41" s="8"/>
      <c r="O41" s="26">
        <v>12.6</v>
      </c>
      <c r="P41" s="8"/>
      <c r="Q41" s="26">
        <v>-3.6000000000000001</v>
      </c>
      <c r="R41" s="8"/>
      <c r="S41" s="26">
        <v>-4.7000000000000002</v>
      </c>
      <c r="T41" s="8"/>
      <c r="U41" s="26">
        <v>0</v>
      </c>
      <c r="V41" s="8"/>
      <c r="W41" s="26">
        <v>-3.8999999999999999</v>
      </c>
      <c r="X41" s="8"/>
      <c r="Y41" s="26">
        <v>0.59999999999999998</v>
      </c>
      <c r="Z41" s="8"/>
      <c r="AA41" s="26">
        <v>3.2999999999999998</v>
      </c>
      <c r="AB41" s="8"/>
      <c r="AC41" s="8"/>
    </row>
    <row r="42" ht="12" customHeight="1">
      <c r="A42" s="8" t="s">
        <v>145</v>
      </c>
      <c r="B42" s="8" t="s">
        <v>814</v>
      </c>
      <c r="C42" s="26">
        <v>2.3999999999999999</v>
      </c>
      <c r="D42" s="8"/>
      <c r="E42" s="26">
        <v>-8.3000000000000007</v>
      </c>
      <c r="F42" s="8"/>
      <c r="G42" s="26">
        <v>-15</v>
      </c>
      <c r="H42" s="8"/>
      <c r="I42" s="26">
        <v>3.7999999999999998</v>
      </c>
      <c r="J42" s="8"/>
      <c r="K42" s="26">
        <v>11.800000000000001</v>
      </c>
      <c r="L42" s="8"/>
      <c r="M42" s="26">
        <v>12</v>
      </c>
      <c r="N42" s="8"/>
      <c r="O42" s="26">
        <v>14.6</v>
      </c>
      <c r="P42" s="8"/>
      <c r="Q42" s="26">
        <v>-7.7999999999999998</v>
      </c>
      <c r="R42" s="8"/>
      <c r="S42" s="26">
        <v>-9</v>
      </c>
      <c r="T42" s="8"/>
      <c r="U42" s="26">
        <v>-2.5</v>
      </c>
      <c r="V42" s="8"/>
      <c r="W42" s="26">
        <v>-7.7999999999999998</v>
      </c>
      <c r="X42" s="8"/>
      <c r="Y42" s="26">
        <v>-1.6000000000000001</v>
      </c>
      <c r="Z42" s="8"/>
      <c r="AA42" s="26">
        <v>2.2000000000000002</v>
      </c>
      <c r="AB42" s="8"/>
      <c r="AC42" s="8"/>
    </row>
    <row r="43" ht="12" customHeight="1">
      <c r="A43" s="8" t="s">
        <v>147</v>
      </c>
      <c r="B43" s="8" t="s">
        <v>815</v>
      </c>
      <c r="C43" s="26">
        <v>18.399999999999999</v>
      </c>
      <c r="D43" s="8"/>
      <c r="E43" s="26">
        <v>23.100000000000001</v>
      </c>
      <c r="F43" s="8"/>
      <c r="G43" s="26">
        <v>18.800000000000001</v>
      </c>
      <c r="H43" s="8"/>
      <c r="I43" s="26">
        <v>5.0999999999999996</v>
      </c>
      <c r="J43" s="8"/>
      <c r="K43" s="26">
        <v>-9.5999999999999996</v>
      </c>
      <c r="L43" s="8"/>
      <c r="M43" s="26">
        <v>-7.9000000000000004</v>
      </c>
      <c r="N43" s="8"/>
      <c r="O43" s="26">
        <v>-4.9000000000000004</v>
      </c>
      <c r="P43" s="8"/>
      <c r="Q43" s="26">
        <v>-7.5</v>
      </c>
      <c r="R43" s="8"/>
      <c r="S43" s="26">
        <v>1.3999999999999999</v>
      </c>
      <c r="T43" s="8"/>
      <c r="U43" s="26">
        <v>2.8999999999999999</v>
      </c>
      <c r="V43" s="8"/>
      <c r="W43" s="26">
        <v>3</v>
      </c>
      <c r="X43" s="8"/>
      <c r="Y43" s="26">
        <v>2</v>
      </c>
      <c r="Z43" s="8"/>
      <c r="AA43" s="26">
        <v>0</v>
      </c>
      <c r="AB43" s="8"/>
      <c r="AC43" s="8"/>
    </row>
    <row r="44" ht="12" customHeight="1">
      <c r="A44" s="11" t="s">
        <v>149</v>
      </c>
      <c r="B44" s="8" t="s">
        <v>816</v>
      </c>
      <c r="C44" s="26">
        <v>1.3</v>
      </c>
      <c r="D44" s="8"/>
      <c r="E44" s="26">
        <v>1.5</v>
      </c>
      <c r="F44" s="8"/>
      <c r="G44" s="26">
        <v>2.7000000000000002</v>
      </c>
      <c r="H44" s="8"/>
      <c r="I44" s="26">
        <v>2.5</v>
      </c>
      <c r="J44" s="8"/>
      <c r="K44" s="26">
        <v>4</v>
      </c>
      <c r="L44" s="8"/>
      <c r="M44" s="26">
        <v>4.2999999999999998</v>
      </c>
      <c r="N44" s="8"/>
      <c r="O44" s="26">
        <v>4.5</v>
      </c>
      <c r="P44" s="8"/>
      <c r="Q44" s="26">
        <v>3.6000000000000001</v>
      </c>
      <c r="R44" s="8"/>
      <c r="S44" s="26">
        <v>4.2999999999999998</v>
      </c>
      <c r="T44" s="8"/>
      <c r="U44" s="26">
        <v>4.2000000000000002</v>
      </c>
      <c r="V44" s="8"/>
      <c r="W44" s="26">
        <v>3.8999999999999999</v>
      </c>
      <c r="X44" s="8"/>
      <c r="Y44" s="26">
        <v>3.7999999999999998</v>
      </c>
      <c r="Z44" s="8"/>
      <c r="AA44" s="26">
        <v>5.4000000000000004</v>
      </c>
      <c r="AB44" s="8"/>
      <c r="AC44" s="8"/>
    </row>
    <row r="45" ht="12" customHeight="1">
      <c r="A45" s="8" t="s">
        <v>151</v>
      </c>
      <c r="B45" s="8" t="s">
        <v>817</v>
      </c>
      <c r="C45" s="26">
        <v>11.6</v>
      </c>
      <c r="D45" s="8"/>
      <c r="E45" s="26">
        <v>11.4</v>
      </c>
      <c r="F45" s="8"/>
      <c r="G45" s="26">
        <v>8</v>
      </c>
      <c r="H45" s="8"/>
      <c r="I45" s="26">
        <v>7.7000000000000002</v>
      </c>
      <c r="J45" s="8"/>
      <c r="K45" s="26">
        <v>7.5</v>
      </c>
      <c r="L45" s="8"/>
      <c r="M45" s="26">
        <v>5</v>
      </c>
      <c r="N45" s="8"/>
      <c r="O45" s="26">
        <v>5.2000000000000002</v>
      </c>
      <c r="P45" s="8"/>
      <c r="Q45" s="26">
        <v>1.1000000000000001</v>
      </c>
      <c r="R45" s="8"/>
      <c r="S45" s="26">
        <v>0</v>
      </c>
      <c r="T45" s="8"/>
      <c r="U45" s="26">
        <v>1.1000000000000001</v>
      </c>
      <c r="V45" s="8"/>
      <c r="W45" s="26">
        <v>2.7999999999999998</v>
      </c>
      <c r="X45" s="8"/>
      <c r="Y45" s="26">
        <v>8</v>
      </c>
      <c r="Z45" s="8"/>
      <c r="AA45" s="26">
        <v>8.4000000000000004</v>
      </c>
      <c r="AB45" s="8"/>
      <c r="AC45" s="8"/>
    </row>
    <row r="46" ht="12" customHeight="1">
      <c r="A46" s="8" t="s">
        <v>153</v>
      </c>
      <c r="B46" s="8" t="s">
        <v>818</v>
      </c>
      <c r="C46" s="26">
        <v>-15.4</v>
      </c>
      <c r="D46" s="8"/>
      <c r="E46" s="26">
        <v>-10.4</v>
      </c>
      <c r="F46" s="8"/>
      <c r="G46" s="26">
        <v>-24.899999999999999</v>
      </c>
      <c r="H46" s="8"/>
      <c r="I46" s="26">
        <v>-14.5</v>
      </c>
      <c r="J46" s="8"/>
      <c r="K46" s="26">
        <v>-0.69999999999999996</v>
      </c>
      <c r="L46" s="8"/>
      <c r="M46" s="26">
        <v>-4.9000000000000004</v>
      </c>
      <c r="N46" s="8"/>
      <c r="O46" s="26">
        <v>14</v>
      </c>
      <c r="P46" s="8"/>
      <c r="Q46" s="26">
        <v>3.2999999999999998</v>
      </c>
      <c r="R46" s="8"/>
      <c r="S46" s="26">
        <v>-10.800000000000001</v>
      </c>
      <c r="T46" s="8"/>
      <c r="U46" s="26">
        <v>-12.9</v>
      </c>
      <c r="V46" s="8"/>
      <c r="W46" s="26">
        <v>-25.300000000000001</v>
      </c>
      <c r="X46" s="8"/>
      <c r="Y46" s="26">
        <v>-15.300000000000001</v>
      </c>
      <c r="Z46" s="8"/>
      <c r="AA46" s="26">
        <v>-5.5999999999999996</v>
      </c>
      <c r="AB46" s="8"/>
      <c r="AC46" s="8"/>
    </row>
    <row r="47" ht="12" customHeight="1">
      <c r="A47" s="8" t="s">
        <v>155</v>
      </c>
      <c r="B47" s="8" t="s">
        <v>819</v>
      </c>
      <c r="C47" s="26">
        <v>1.8999999999999999</v>
      </c>
      <c r="D47" s="8"/>
      <c r="E47" s="26">
        <v>1.8999999999999999</v>
      </c>
      <c r="F47" s="8"/>
      <c r="G47" s="26">
        <v>3.7999999999999998</v>
      </c>
      <c r="H47" s="8"/>
      <c r="I47" s="26">
        <v>3</v>
      </c>
      <c r="J47" s="8"/>
      <c r="K47" s="26">
        <v>4.0999999999999996</v>
      </c>
      <c r="L47" s="8"/>
      <c r="M47" s="26">
        <v>4.5999999999999996</v>
      </c>
      <c r="N47" s="8"/>
      <c r="O47" s="26">
        <v>4.2999999999999998</v>
      </c>
      <c r="P47" s="8"/>
      <c r="Q47" s="26">
        <v>3.7999999999999998</v>
      </c>
      <c r="R47" s="8"/>
      <c r="S47" s="26">
        <v>4.7999999999999998</v>
      </c>
      <c r="T47" s="8"/>
      <c r="U47" s="26">
        <v>5.7999999999999998</v>
      </c>
      <c r="V47" s="8"/>
      <c r="W47" s="26">
        <v>6.7000000000000002</v>
      </c>
      <c r="X47" s="8"/>
      <c r="Y47" s="26">
        <v>6.5</v>
      </c>
      <c r="Z47" s="8"/>
      <c r="AA47" s="26">
        <v>7</v>
      </c>
      <c r="AB47" s="8"/>
      <c r="AC47" s="8"/>
    </row>
    <row r="48" ht="12" customHeight="1">
      <c r="A48" s="11" t="s">
        <v>157</v>
      </c>
      <c r="B48" s="8" t="s">
        <v>820</v>
      </c>
      <c r="C48" s="26">
        <v>4.7000000000000002</v>
      </c>
      <c r="D48" s="8"/>
      <c r="E48" s="26">
        <v>6.2000000000000002</v>
      </c>
      <c r="F48" s="8"/>
      <c r="G48" s="26">
        <v>6.2000000000000002</v>
      </c>
      <c r="H48" s="8"/>
      <c r="I48" s="26">
        <v>6.2000000000000002</v>
      </c>
      <c r="J48" s="8"/>
      <c r="K48" s="26">
        <v>5.2000000000000002</v>
      </c>
      <c r="L48" s="8"/>
      <c r="M48" s="26">
        <v>5.9000000000000004</v>
      </c>
      <c r="N48" s="8"/>
      <c r="O48" s="26">
        <v>4</v>
      </c>
      <c r="P48" s="8"/>
      <c r="Q48" s="26">
        <v>2.6000000000000001</v>
      </c>
      <c r="R48" s="8"/>
      <c r="S48" s="26">
        <v>2.2999999999999998</v>
      </c>
      <c r="T48" s="8"/>
      <c r="U48" s="26">
        <v>0.29999999999999999</v>
      </c>
      <c r="V48" s="8"/>
      <c r="W48" s="26">
        <v>2.2000000000000002</v>
      </c>
      <c r="X48" s="8"/>
      <c r="Y48" s="26">
        <v>3</v>
      </c>
      <c r="Z48" s="8"/>
      <c r="AA48" s="26">
        <v>2.6000000000000001</v>
      </c>
      <c r="AB48" s="8"/>
      <c r="AC48" s="8"/>
    </row>
    <row r="49" ht="12" customHeight="1">
      <c r="A49" s="8" t="s">
        <v>159</v>
      </c>
      <c r="B49" s="8" t="s">
        <v>821</v>
      </c>
      <c r="C49" s="26">
        <v>-7</v>
      </c>
      <c r="D49" s="8"/>
      <c r="E49" s="26">
        <v>-4.4000000000000004</v>
      </c>
      <c r="F49" s="8"/>
      <c r="G49" s="26">
        <v>-8.5999999999999996</v>
      </c>
      <c r="H49" s="8"/>
      <c r="I49" s="26">
        <v>-10.199999999999999</v>
      </c>
      <c r="J49" s="8"/>
      <c r="K49" s="26">
        <v>-9.5</v>
      </c>
      <c r="L49" s="8"/>
      <c r="M49" s="26">
        <v>-13.300000000000001</v>
      </c>
      <c r="N49" s="8"/>
      <c r="O49" s="26">
        <v>-8.1999999999999993</v>
      </c>
      <c r="P49" s="8"/>
      <c r="Q49" s="26">
        <v>-7.5999999999999996</v>
      </c>
      <c r="R49" s="8"/>
      <c r="S49" s="26">
        <v>-7.7999999999999998</v>
      </c>
      <c r="T49" s="8"/>
      <c r="U49" s="26">
        <v>-4.7000000000000002</v>
      </c>
      <c r="V49" s="8"/>
      <c r="W49" s="26">
        <v>-6.5999999999999996</v>
      </c>
      <c r="X49" s="8"/>
      <c r="Y49" s="26">
        <v>-8.8000000000000007</v>
      </c>
      <c r="Z49" s="8"/>
      <c r="AA49" s="26">
        <v>-9</v>
      </c>
      <c r="AB49" s="8"/>
      <c r="AC49" s="8"/>
    </row>
    <row r="50" ht="12" customHeight="1">
      <c r="A50" s="8" t="s">
        <v>161</v>
      </c>
      <c r="B50" s="8" t="s">
        <v>822</v>
      </c>
      <c r="C50" s="26">
        <v>7.7000000000000002</v>
      </c>
      <c r="D50" s="8"/>
      <c r="E50" s="26">
        <v>7</v>
      </c>
      <c r="F50" s="8"/>
      <c r="G50" s="26">
        <v>3</v>
      </c>
      <c r="H50" s="8"/>
      <c r="I50" s="26">
        <v>1.7</v>
      </c>
      <c r="J50" s="8"/>
      <c r="K50" s="26">
        <v>-3</v>
      </c>
      <c r="L50" s="8"/>
      <c r="M50" s="26">
        <v>0.80000000000000004</v>
      </c>
      <c r="N50" s="8"/>
      <c r="O50" s="26">
        <v>1.6000000000000001</v>
      </c>
      <c r="P50" s="8"/>
      <c r="Q50" s="26">
        <v>-3</v>
      </c>
      <c r="R50" s="8"/>
      <c r="S50" s="26">
        <v>-1.2</v>
      </c>
      <c r="T50" s="8"/>
      <c r="U50" s="26">
        <v>-4.2999999999999998</v>
      </c>
      <c r="V50" s="8"/>
      <c r="W50" s="26">
        <v>-2.7000000000000002</v>
      </c>
      <c r="X50" s="8"/>
      <c r="Y50" s="26">
        <v>1.8999999999999999</v>
      </c>
      <c r="Z50" s="8"/>
      <c r="AA50" s="26">
        <v>3</v>
      </c>
      <c r="AB50" s="8"/>
      <c r="AC50" s="8"/>
    </row>
    <row r="51" ht="12" customHeight="1">
      <c r="A51" s="8" t="s">
        <v>163</v>
      </c>
      <c r="B51" s="8" t="s">
        <v>823</v>
      </c>
      <c r="C51" s="26">
        <v>7.2999999999999998</v>
      </c>
      <c r="D51" s="8"/>
      <c r="E51" s="26">
        <v>7.7000000000000002</v>
      </c>
      <c r="F51" s="8"/>
      <c r="G51" s="26">
        <v>10.4</v>
      </c>
      <c r="H51" s="8"/>
      <c r="I51" s="26">
        <v>8.1999999999999993</v>
      </c>
      <c r="J51" s="8"/>
      <c r="K51" s="26">
        <v>6.7999999999999998</v>
      </c>
      <c r="L51" s="8"/>
      <c r="M51" s="26">
        <v>6.0999999999999996</v>
      </c>
      <c r="N51" s="8"/>
      <c r="O51" s="26">
        <v>0.69999999999999996</v>
      </c>
      <c r="P51" s="8"/>
      <c r="Q51" s="26">
        <v>0.90000000000000002</v>
      </c>
      <c r="R51" s="8"/>
      <c r="S51" s="26">
        <v>1.1000000000000001</v>
      </c>
      <c r="T51" s="8"/>
      <c r="U51" s="26">
        <v>-0.69999999999999996</v>
      </c>
      <c r="V51" s="8"/>
      <c r="W51" s="26">
        <v>-1.8999999999999999</v>
      </c>
      <c r="X51" s="8"/>
      <c r="Y51" s="26">
        <v>-1.2</v>
      </c>
      <c r="Z51" s="8"/>
      <c r="AA51" s="26">
        <v>-1.2</v>
      </c>
      <c r="AB51" s="8"/>
      <c r="AC51" s="8"/>
    </row>
    <row r="52" ht="12" customHeight="1">
      <c r="A52" s="8" t="s">
        <v>165</v>
      </c>
      <c r="B52" s="8" t="s">
        <v>824</v>
      </c>
      <c r="C52" s="26">
        <v>1.8</v>
      </c>
      <c r="D52" s="8"/>
      <c r="E52" s="26">
        <v>3</v>
      </c>
      <c r="F52" s="8"/>
      <c r="G52" s="26">
        <v>3</v>
      </c>
      <c r="H52" s="8"/>
      <c r="I52" s="26">
        <v>5.9000000000000004</v>
      </c>
      <c r="J52" s="8"/>
      <c r="K52" s="26">
        <v>6.2000000000000002</v>
      </c>
      <c r="L52" s="8"/>
      <c r="M52" s="26">
        <v>7.9000000000000004</v>
      </c>
      <c r="N52" s="8"/>
      <c r="O52" s="26">
        <v>8.9000000000000004</v>
      </c>
      <c r="P52" s="8"/>
      <c r="Q52" s="26">
        <v>7.2999999999999998</v>
      </c>
      <c r="R52" s="8"/>
      <c r="S52" s="26">
        <v>5.5</v>
      </c>
      <c r="T52" s="8"/>
      <c r="U52" s="26">
        <v>2.7999999999999998</v>
      </c>
      <c r="V52" s="8"/>
      <c r="W52" s="26">
        <v>7.2000000000000002</v>
      </c>
      <c r="X52" s="8"/>
      <c r="Y52" s="26">
        <v>8</v>
      </c>
      <c r="Z52" s="8"/>
      <c r="AA52" s="26">
        <v>7</v>
      </c>
      <c r="AB52" s="8"/>
      <c r="AC52" s="8"/>
    </row>
    <row r="53" ht="12" customHeight="1">
      <c r="A53" s="8" t="s">
        <v>167</v>
      </c>
      <c r="B53" s="8" t="s">
        <v>825</v>
      </c>
      <c r="C53" s="26">
        <v>6.4000000000000004</v>
      </c>
      <c r="D53" s="8"/>
      <c r="E53" s="26">
        <v>8.9000000000000004</v>
      </c>
      <c r="F53" s="8"/>
      <c r="G53" s="26">
        <v>7.5999999999999996</v>
      </c>
      <c r="H53" s="8"/>
      <c r="I53" s="26">
        <v>9.3000000000000007</v>
      </c>
      <c r="J53" s="8"/>
      <c r="K53" s="26">
        <v>6.2999999999999998</v>
      </c>
      <c r="L53" s="8"/>
      <c r="M53" s="26">
        <v>6</v>
      </c>
      <c r="N53" s="8"/>
      <c r="O53" s="26">
        <v>5.0999999999999996</v>
      </c>
      <c r="P53" s="8"/>
      <c r="Q53" s="26">
        <v>2.8999999999999999</v>
      </c>
      <c r="R53" s="8"/>
      <c r="S53" s="26">
        <v>3.7999999999999998</v>
      </c>
      <c r="T53" s="8"/>
      <c r="U53" s="26">
        <v>3.2999999999999998</v>
      </c>
      <c r="V53" s="8"/>
      <c r="W53" s="26">
        <v>1.8</v>
      </c>
      <c r="X53" s="8"/>
      <c r="Y53" s="26">
        <v>3.2000000000000002</v>
      </c>
      <c r="Z53" s="8"/>
      <c r="AA53" s="26">
        <v>3</v>
      </c>
      <c r="AB53" s="8"/>
      <c r="AC53" s="8"/>
    </row>
    <row r="54" ht="12" customHeight="1">
      <c r="A54" s="8" t="s">
        <v>169</v>
      </c>
      <c r="B54" s="8" t="s">
        <v>826</v>
      </c>
      <c r="C54" s="26">
        <v>15.300000000000001</v>
      </c>
      <c r="D54" s="8"/>
      <c r="E54" s="26">
        <v>17.399999999999999</v>
      </c>
      <c r="F54" s="8"/>
      <c r="G54" s="26">
        <v>13.1</v>
      </c>
      <c r="H54" s="8"/>
      <c r="I54" s="26">
        <v>8.9000000000000004</v>
      </c>
      <c r="J54" s="8"/>
      <c r="K54" s="26">
        <v>6.7000000000000002</v>
      </c>
      <c r="L54" s="8"/>
      <c r="M54" s="26">
        <v>8.6999999999999993</v>
      </c>
      <c r="N54" s="8"/>
      <c r="O54" s="26">
        <v>3.8999999999999999</v>
      </c>
      <c r="P54" s="8"/>
      <c r="Q54" s="26">
        <v>-0.40000000000000002</v>
      </c>
      <c r="R54" s="8"/>
      <c r="S54" s="26">
        <v>0.69999999999999996</v>
      </c>
      <c r="T54" s="8"/>
      <c r="U54" s="26">
        <v>-3.8999999999999999</v>
      </c>
      <c r="V54" s="8"/>
      <c r="W54" s="26">
        <v>4.2999999999999998</v>
      </c>
      <c r="X54" s="8"/>
      <c r="Y54" s="26">
        <v>6.5</v>
      </c>
      <c r="Z54" s="8"/>
      <c r="AA54" s="26">
        <v>5.7000000000000002</v>
      </c>
      <c r="AB54" s="8"/>
      <c r="AC54" s="8"/>
    </row>
    <row r="55" ht="12" customHeight="1">
      <c r="A55" s="11" t="s">
        <v>171</v>
      </c>
      <c r="B55" s="8" t="s">
        <v>827</v>
      </c>
      <c r="C55" s="26">
        <v>2.6000000000000001</v>
      </c>
      <c r="D55" s="8"/>
      <c r="E55" s="26">
        <v>4.2999999999999998</v>
      </c>
      <c r="F55" s="8"/>
      <c r="G55" s="26">
        <v>4.2999999999999998</v>
      </c>
      <c r="H55" s="8"/>
      <c r="I55" s="26">
        <v>4.0999999999999996</v>
      </c>
      <c r="J55" s="8"/>
      <c r="K55" s="26">
        <v>4.0999999999999996</v>
      </c>
      <c r="L55" s="8"/>
      <c r="M55" s="26">
        <v>4.2999999999999998</v>
      </c>
      <c r="N55" s="8"/>
      <c r="O55" s="26">
        <v>4.2999999999999998</v>
      </c>
      <c r="P55" s="8"/>
      <c r="Q55" s="26">
        <v>-3.8999999999999999</v>
      </c>
      <c r="R55" s="8"/>
      <c r="S55" s="26">
        <v>-3.8999999999999999</v>
      </c>
      <c r="T55" s="8"/>
      <c r="U55" s="26">
        <v>2.3999999999999999</v>
      </c>
      <c r="V55" s="8"/>
      <c r="W55" s="26">
        <v>2.3999999999999999</v>
      </c>
      <c r="X55" s="8"/>
      <c r="Y55" s="26">
        <v>10.5</v>
      </c>
      <c r="Z55" s="8"/>
      <c r="AA55" s="26">
        <v>10.5</v>
      </c>
      <c r="AB55" s="8"/>
      <c r="AC55" s="8"/>
    </row>
    <row r="56" ht="12" customHeight="1">
      <c r="A56" s="8" t="s">
        <v>173</v>
      </c>
      <c r="B56" s="8" t="s">
        <v>828</v>
      </c>
      <c r="C56" s="26">
        <v>4</v>
      </c>
      <c r="D56" s="8"/>
      <c r="E56" s="26">
        <v>4</v>
      </c>
      <c r="F56" s="8"/>
      <c r="G56" s="26">
        <v>4</v>
      </c>
      <c r="H56" s="8"/>
      <c r="I56" s="26">
        <v>3.5</v>
      </c>
      <c r="J56" s="8"/>
      <c r="K56" s="26">
        <v>3.5</v>
      </c>
      <c r="L56" s="8"/>
      <c r="M56" s="26">
        <v>3.5</v>
      </c>
      <c r="N56" s="8"/>
      <c r="O56" s="26">
        <v>3.5</v>
      </c>
      <c r="P56" s="8"/>
      <c r="Q56" s="26">
        <v>-21.699999999999999</v>
      </c>
      <c r="R56" s="8"/>
      <c r="S56" s="26">
        <v>-21.699999999999999</v>
      </c>
      <c r="T56" s="8"/>
      <c r="U56" s="26">
        <v>-21.699999999999999</v>
      </c>
      <c r="V56" s="8"/>
      <c r="W56" s="26">
        <v>-21.699999999999999</v>
      </c>
      <c r="X56" s="8"/>
      <c r="Y56" s="26">
        <v>2.3999999999999999</v>
      </c>
      <c r="Z56" s="8"/>
      <c r="AA56" s="26">
        <v>2.3999999999999999</v>
      </c>
      <c r="AB56" s="8"/>
      <c r="AC56" s="8"/>
    </row>
    <row r="57" ht="12" customHeight="1">
      <c r="A57" s="8" t="s">
        <v>175</v>
      </c>
      <c r="B57" s="8" t="s">
        <v>829</v>
      </c>
      <c r="C57" s="26">
        <v>2.7000000000000002</v>
      </c>
      <c r="D57" s="8"/>
      <c r="E57" s="26">
        <v>2.2000000000000002</v>
      </c>
      <c r="F57" s="8"/>
      <c r="G57" s="26">
        <v>2.2000000000000002</v>
      </c>
      <c r="H57" s="8"/>
      <c r="I57" s="26">
        <v>2.2000000000000002</v>
      </c>
      <c r="J57" s="8"/>
      <c r="K57" s="26">
        <v>2.2000000000000002</v>
      </c>
      <c r="L57" s="8"/>
      <c r="M57" s="26">
        <v>3.5</v>
      </c>
      <c r="N57" s="8"/>
      <c r="O57" s="26">
        <v>3.5</v>
      </c>
      <c r="P57" s="8"/>
      <c r="Q57" s="26">
        <v>3.5</v>
      </c>
      <c r="R57" s="8"/>
      <c r="S57" s="26">
        <v>3.5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  <c r="AC57" s="8"/>
    </row>
    <row r="58" ht="12" customHeight="1">
      <c r="A58" s="8" t="s">
        <v>177</v>
      </c>
      <c r="B58" s="8" t="s">
        <v>830</v>
      </c>
      <c r="C58" s="26">
        <v>1.3999999999999999</v>
      </c>
      <c r="D58" s="8"/>
      <c r="E58" s="26">
        <v>6</v>
      </c>
      <c r="F58" s="8"/>
      <c r="G58" s="26">
        <v>6</v>
      </c>
      <c r="H58" s="8"/>
      <c r="I58" s="26">
        <v>6</v>
      </c>
      <c r="J58" s="8"/>
      <c r="K58" s="26">
        <v>6</v>
      </c>
      <c r="L58" s="8"/>
      <c r="M58" s="26">
        <v>5.2000000000000002</v>
      </c>
      <c r="N58" s="8"/>
      <c r="O58" s="26">
        <v>5.2000000000000002</v>
      </c>
      <c r="P58" s="8"/>
      <c r="Q58" s="26">
        <v>5.2000000000000002</v>
      </c>
      <c r="R58" s="8"/>
      <c r="S58" s="26">
        <v>5.2000000000000002</v>
      </c>
      <c r="T58" s="8"/>
      <c r="U58" s="26">
        <v>22.699999999999999</v>
      </c>
      <c r="V58" s="8"/>
      <c r="W58" s="26">
        <v>22.699999999999999</v>
      </c>
      <c r="X58" s="8"/>
      <c r="Y58" s="26">
        <v>22.699999999999999</v>
      </c>
      <c r="Z58" s="8"/>
      <c r="AA58" s="26">
        <v>22.699999999999999</v>
      </c>
      <c r="AB58" s="8"/>
      <c r="AC58" s="8"/>
    </row>
    <row r="59" ht="12" customHeight="1">
      <c r="A59" s="8" t="s">
        <v>179</v>
      </c>
      <c r="B59" s="8" t="s">
        <v>831</v>
      </c>
      <c r="C59" s="26">
        <v>0.90000000000000002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4.7000000000000002</v>
      </c>
      <c r="N59" s="8"/>
      <c r="O59" s="26">
        <v>4.7000000000000002</v>
      </c>
      <c r="P59" s="8"/>
      <c r="Q59" s="26">
        <v>4.7000000000000002</v>
      </c>
      <c r="R59" s="8"/>
      <c r="S59" s="26">
        <v>4.7000000000000002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832</v>
      </c>
      <c r="C60" s="26">
        <v>4.5999999999999996</v>
      </c>
      <c r="D60" s="8"/>
      <c r="E60" s="26">
        <v>5.9000000000000004</v>
      </c>
      <c r="F60" s="8"/>
      <c r="G60" s="26">
        <v>8.5</v>
      </c>
      <c r="H60" s="8"/>
      <c r="I60" s="26">
        <v>10.5</v>
      </c>
      <c r="J60" s="8"/>
      <c r="K60" s="26">
        <v>11.300000000000001</v>
      </c>
      <c r="L60" s="8"/>
      <c r="M60" s="26">
        <v>12.300000000000001</v>
      </c>
      <c r="N60" s="8"/>
      <c r="O60" s="26">
        <v>11.9</v>
      </c>
      <c r="P60" s="8"/>
      <c r="Q60" s="26">
        <v>10.800000000000001</v>
      </c>
      <c r="R60" s="8"/>
      <c r="S60" s="26">
        <v>9.9000000000000004</v>
      </c>
      <c r="T60" s="8"/>
      <c r="U60" s="26">
        <v>7.7000000000000002</v>
      </c>
      <c r="V60" s="8"/>
      <c r="W60" s="26">
        <v>5.9000000000000004</v>
      </c>
      <c r="X60" s="8"/>
      <c r="Y60" s="26">
        <v>4.5</v>
      </c>
      <c r="Z60" s="8"/>
      <c r="AA60" s="26">
        <v>3.2000000000000002</v>
      </c>
      <c r="AB60" s="8"/>
      <c r="AC60" s="8"/>
    </row>
    <row r="61" ht="12" customHeight="1">
      <c r="A61" s="8" t="s">
        <v>183</v>
      </c>
      <c r="B61" s="8" t="s">
        <v>833</v>
      </c>
      <c r="C61" s="26">
        <v>7.5999999999999996</v>
      </c>
      <c r="D61" s="8"/>
      <c r="E61" s="26">
        <v>7.9000000000000004</v>
      </c>
      <c r="F61" s="8"/>
      <c r="G61" s="26">
        <v>8.4000000000000004</v>
      </c>
      <c r="H61" s="8"/>
      <c r="I61" s="26">
        <v>6.4000000000000004</v>
      </c>
      <c r="J61" s="8"/>
      <c r="K61" s="26">
        <v>2.5</v>
      </c>
      <c r="L61" s="8"/>
      <c r="M61" s="26">
        <v>0.5</v>
      </c>
      <c r="N61" s="8"/>
      <c r="O61" s="26">
        <v>-1.6000000000000001</v>
      </c>
      <c r="P61" s="8"/>
      <c r="Q61" s="26">
        <v>-1.2</v>
      </c>
      <c r="R61" s="8"/>
      <c r="S61" s="26">
        <v>-0.10000000000000001</v>
      </c>
      <c r="T61" s="8"/>
      <c r="U61" s="26">
        <v>0.29999999999999999</v>
      </c>
      <c r="V61" s="8"/>
      <c r="W61" s="26">
        <v>1.3</v>
      </c>
      <c r="X61" s="8"/>
      <c r="Y61" s="26">
        <v>1.7</v>
      </c>
      <c r="Z61" s="8"/>
      <c r="AA61" s="26">
        <v>1.7</v>
      </c>
      <c r="AB61" s="8"/>
      <c r="AC61" s="8"/>
    </row>
    <row r="62" ht="12" customHeight="1">
      <c r="A62" s="8" t="s">
        <v>185</v>
      </c>
      <c r="B62" s="8" t="s">
        <v>834</v>
      </c>
      <c r="C62" s="26">
        <v>8.5999999999999996</v>
      </c>
      <c r="D62" s="8"/>
      <c r="E62" s="26">
        <v>6.7000000000000002</v>
      </c>
      <c r="F62" s="8"/>
      <c r="G62" s="26">
        <v>6.5</v>
      </c>
      <c r="H62" s="8"/>
      <c r="I62" s="26">
        <v>5.5999999999999996</v>
      </c>
      <c r="J62" s="8"/>
      <c r="K62" s="26">
        <v>4.2999999999999998</v>
      </c>
      <c r="L62" s="8"/>
      <c r="M62" s="26">
        <v>5.7000000000000002</v>
      </c>
      <c r="N62" s="8"/>
      <c r="O62" s="26">
        <v>8.9000000000000004</v>
      </c>
      <c r="P62" s="8"/>
      <c r="Q62" s="26">
        <v>9.1999999999999993</v>
      </c>
      <c r="R62" s="8"/>
      <c r="S62" s="26">
        <v>11.300000000000001</v>
      </c>
      <c r="T62" s="8"/>
      <c r="U62" s="26">
        <v>10.9</v>
      </c>
      <c r="V62" s="8"/>
      <c r="W62" s="26">
        <v>8.9000000000000004</v>
      </c>
      <c r="X62" s="8"/>
      <c r="Y62" s="26">
        <v>7.9000000000000004</v>
      </c>
      <c r="Z62" s="8"/>
      <c r="AA62" s="26">
        <v>6.4000000000000004</v>
      </c>
      <c r="AB62" s="8"/>
      <c r="AC62" s="8"/>
    </row>
    <row r="63" ht="12" customHeight="1">
      <c r="A63" s="8" t="s">
        <v>187</v>
      </c>
      <c r="B63" s="8" t="s">
        <v>835</v>
      </c>
      <c r="C63" s="26">
        <v>3.3999999999999999</v>
      </c>
      <c r="D63" s="8"/>
      <c r="E63" s="26">
        <v>5.2999999999999998</v>
      </c>
      <c r="F63" s="8"/>
      <c r="G63" s="26">
        <v>9.4000000000000004</v>
      </c>
      <c r="H63" s="8"/>
      <c r="I63" s="26">
        <v>13.800000000000001</v>
      </c>
      <c r="J63" s="8"/>
      <c r="K63" s="26">
        <v>16.800000000000001</v>
      </c>
      <c r="L63" s="8"/>
      <c r="M63" s="26">
        <v>19.399999999999999</v>
      </c>
      <c r="N63" s="8"/>
      <c r="O63" s="26">
        <v>19.300000000000001</v>
      </c>
      <c r="P63" s="8"/>
      <c r="Q63" s="26">
        <v>17.399999999999999</v>
      </c>
      <c r="R63" s="8"/>
      <c r="S63" s="26">
        <v>15.1</v>
      </c>
      <c r="T63" s="8"/>
      <c r="U63" s="26">
        <v>11.4</v>
      </c>
      <c r="V63" s="8"/>
      <c r="W63" s="26">
        <v>8.3000000000000007</v>
      </c>
      <c r="X63" s="8"/>
      <c r="Y63" s="26">
        <v>6.0999999999999996</v>
      </c>
      <c r="Z63" s="8"/>
      <c r="AA63" s="26">
        <v>4</v>
      </c>
      <c r="AB63" s="8"/>
      <c r="AC63" s="8"/>
    </row>
    <row r="64" ht="12" customHeight="1">
      <c r="A64" s="8" t="s">
        <v>189</v>
      </c>
      <c r="B64" s="8" t="s">
        <v>836</v>
      </c>
      <c r="C64" s="26">
        <v>-6</v>
      </c>
      <c r="D64" s="8"/>
      <c r="E64" s="26">
        <v>-7.7000000000000002</v>
      </c>
      <c r="F64" s="8"/>
      <c r="G64" s="26">
        <v>2.1000000000000001</v>
      </c>
      <c r="H64" s="8"/>
      <c r="I64" s="26">
        <v>-3.7999999999999998</v>
      </c>
      <c r="J64" s="8"/>
      <c r="K64" s="26">
        <v>-1.7</v>
      </c>
      <c r="L64" s="8"/>
      <c r="M64" s="26">
        <v>0</v>
      </c>
      <c r="N64" s="8"/>
      <c r="O64" s="26">
        <v>0</v>
      </c>
      <c r="P64" s="8"/>
      <c r="Q64" s="26">
        <v>-2.7999999999999998</v>
      </c>
      <c r="R64" s="8"/>
      <c r="S64" s="26">
        <v>-5</v>
      </c>
      <c r="T64" s="8"/>
      <c r="U64" s="26">
        <v>-5</v>
      </c>
      <c r="V64" s="8"/>
      <c r="W64" s="26">
        <v>-5.5999999999999996</v>
      </c>
      <c r="X64" s="8"/>
      <c r="Y64" s="26">
        <v>-2.8999999999999999</v>
      </c>
      <c r="Z64" s="8"/>
      <c r="AA64" s="26">
        <v>-0.59999999999999998</v>
      </c>
      <c r="AB64" s="8"/>
      <c r="AC64" s="8"/>
    </row>
    <row r="65" ht="12" customHeight="1">
      <c r="A65" s="8" t="s">
        <v>191</v>
      </c>
      <c r="B65" s="8" t="s">
        <v>837</v>
      </c>
      <c r="C65" s="26">
        <v>6.5999999999999996</v>
      </c>
      <c r="D65" s="8"/>
      <c r="E65" s="26">
        <v>5.7999999999999998</v>
      </c>
      <c r="F65" s="8"/>
      <c r="G65" s="26">
        <v>3.8999999999999999</v>
      </c>
      <c r="H65" s="8"/>
      <c r="I65" s="26">
        <v>4.5</v>
      </c>
      <c r="J65" s="8"/>
      <c r="K65" s="26">
        <v>5</v>
      </c>
      <c r="L65" s="8"/>
      <c r="M65" s="26">
        <v>4.5999999999999996</v>
      </c>
      <c r="N65" s="8"/>
      <c r="O65" s="26">
        <v>4.7000000000000002</v>
      </c>
      <c r="P65" s="8"/>
      <c r="Q65" s="26">
        <v>3.2999999999999998</v>
      </c>
      <c r="R65" s="8"/>
      <c r="S65" s="26">
        <v>3.2999999999999998</v>
      </c>
      <c r="T65" s="8"/>
      <c r="U65" s="26">
        <v>3.3999999999999999</v>
      </c>
      <c r="V65" s="8"/>
      <c r="W65" s="26">
        <v>3.1000000000000001</v>
      </c>
      <c r="X65" s="8"/>
      <c r="Y65" s="26">
        <v>1.3999999999999999</v>
      </c>
      <c r="Z65" s="8"/>
      <c r="AA65" s="26">
        <v>0.69999999999999996</v>
      </c>
      <c r="AB65" s="8"/>
      <c r="AC65" s="8"/>
    </row>
    <row r="66" ht="12" customHeight="1">
      <c r="A66" s="11" t="s">
        <v>193</v>
      </c>
      <c r="B66" s="8" t="s">
        <v>838</v>
      </c>
      <c r="C66" s="26">
        <v>44.5</v>
      </c>
      <c r="D66" s="8"/>
      <c r="E66" s="26">
        <v>37.899999999999999</v>
      </c>
      <c r="F66" s="8"/>
      <c r="G66" s="26">
        <v>29.699999999999999</v>
      </c>
      <c r="H66" s="8"/>
      <c r="I66" s="26">
        <v>27.899999999999999</v>
      </c>
      <c r="J66" s="8"/>
      <c r="K66" s="26">
        <v>31.300000000000001</v>
      </c>
      <c r="L66" s="8"/>
      <c r="M66" s="26">
        <v>28.199999999999999</v>
      </c>
      <c r="N66" s="8"/>
      <c r="O66" s="26">
        <v>26.300000000000001</v>
      </c>
      <c r="P66" s="8"/>
      <c r="Q66" s="26">
        <v>18</v>
      </c>
      <c r="R66" s="8"/>
      <c r="S66" s="26">
        <v>7.2000000000000002</v>
      </c>
      <c r="T66" s="8"/>
      <c r="U66" s="26">
        <v>0.80000000000000004</v>
      </c>
      <c r="V66" s="8"/>
      <c r="W66" s="26">
        <v>-7.2000000000000002</v>
      </c>
      <c r="X66" s="8"/>
      <c r="Y66" s="26">
        <v>-13.699999999999999</v>
      </c>
      <c r="Z66" s="8"/>
      <c r="AA66" s="26">
        <v>-16.5</v>
      </c>
      <c r="AB66" s="8"/>
      <c r="AC66" s="8"/>
    </row>
    <row r="67" ht="12" customHeight="1">
      <c r="A67" s="8" t="s">
        <v>195</v>
      </c>
      <c r="B67" s="8" t="s">
        <v>839</v>
      </c>
      <c r="C67" s="26">
        <v>44.5</v>
      </c>
      <c r="D67" s="8"/>
      <c r="E67" s="26">
        <v>37.899999999999999</v>
      </c>
      <c r="F67" s="8"/>
      <c r="G67" s="26">
        <v>29.699999999999999</v>
      </c>
      <c r="H67" s="8"/>
      <c r="I67" s="26">
        <v>27.899999999999999</v>
      </c>
      <c r="J67" s="8"/>
      <c r="K67" s="26">
        <v>31.300000000000001</v>
      </c>
      <c r="L67" s="8"/>
      <c r="M67" s="26">
        <v>28.199999999999999</v>
      </c>
      <c r="N67" s="8"/>
      <c r="O67" s="26">
        <v>26.300000000000001</v>
      </c>
      <c r="P67" s="8"/>
      <c r="Q67" s="26">
        <v>18</v>
      </c>
      <c r="R67" s="8"/>
      <c r="S67" s="26">
        <v>7.2000000000000002</v>
      </c>
      <c r="T67" s="8"/>
      <c r="U67" s="26">
        <v>0.80000000000000004</v>
      </c>
      <c r="V67" s="8"/>
      <c r="W67" s="26">
        <v>-7.2000000000000002</v>
      </c>
      <c r="X67" s="8"/>
      <c r="Y67" s="26">
        <v>-13.699999999999999</v>
      </c>
      <c r="Z67" s="8"/>
      <c r="AA67" s="26">
        <v>-16.5</v>
      </c>
      <c r="AB67" s="8"/>
      <c r="AC67" s="8"/>
    </row>
    <row r="68" ht="12" customHeight="1">
      <c r="A68" s="13" t="s">
        <v>69</v>
      </c>
      <c r="B68" s="10" t="s">
        <v>60</v>
      </c>
      <c r="C68" s="27">
        <v>7.5999999999999996</v>
      </c>
      <c r="D68" s="10"/>
      <c r="E68" s="27">
        <v>7.0999999999999996</v>
      </c>
      <c r="F68" s="10"/>
      <c r="G68" s="27">
        <v>6.9000000000000004</v>
      </c>
      <c r="H68" s="10"/>
      <c r="I68" s="27">
        <v>7.2000000000000002</v>
      </c>
      <c r="J68" s="10"/>
      <c r="K68" s="27">
        <v>6.7999999999999998</v>
      </c>
      <c r="L68" s="10"/>
      <c r="M68" s="27">
        <v>6</v>
      </c>
      <c r="N68" s="10"/>
      <c r="O68" s="27">
        <v>5.2000000000000002</v>
      </c>
      <c r="P68" s="10"/>
      <c r="Q68" s="27">
        <v>4</v>
      </c>
      <c r="R68" s="10"/>
      <c r="S68" s="27">
        <v>3.3999999999999999</v>
      </c>
      <c r="T68" s="10"/>
      <c r="U68" s="27">
        <v>3.5</v>
      </c>
      <c r="V68" s="10"/>
      <c r="W68" s="27">
        <v>3.2999999999999998</v>
      </c>
      <c r="X68" s="10"/>
      <c r="Y68" s="27">
        <v>3</v>
      </c>
      <c r="Z68" s="10"/>
      <c r="AA68" s="27">
        <v>2.8999999999999999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842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843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844</v>
      </c>
      <c r="C8" s="19">
        <v>1240</v>
      </c>
      <c r="D8" s="19"/>
      <c r="E8" s="19">
        <v>1288</v>
      </c>
      <c r="F8" s="19"/>
      <c r="G8" s="19">
        <v>1314</v>
      </c>
      <c r="H8" s="19"/>
      <c r="I8" s="19">
        <v>1323</v>
      </c>
      <c r="J8" s="19"/>
      <c r="K8" s="19">
        <v>1310</v>
      </c>
      <c r="L8" s="19"/>
      <c r="M8" s="19">
        <v>1314</v>
      </c>
      <c r="N8" s="19"/>
      <c r="O8" s="19">
        <v>1313</v>
      </c>
      <c r="P8" s="19"/>
      <c r="Q8" s="19">
        <v>1330</v>
      </c>
      <c r="R8" s="19"/>
      <c r="S8" s="19">
        <v>1324</v>
      </c>
      <c r="T8" s="19"/>
      <c r="U8" s="19">
        <v>1348</v>
      </c>
      <c r="V8" s="19"/>
      <c r="W8" s="19">
        <v>1370</v>
      </c>
      <c r="X8" s="19"/>
      <c r="Y8" s="19">
        <v>1395</v>
      </c>
      <c r="Z8" s="19"/>
      <c r="AA8" s="19">
        <v>1382</v>
      </c>
      <c r="AB8" s="18"/>
      <c r="AC8" s="18"/>
      <c r="AE8" s="18"/>
      <c r="AG8" s="18"/>
    </row>
    <row r="9" ht="12" customHeight="1">
      <c r="A9" s="8" t="s">
        <v>79</v>
      </c>
      <c r="B9" s="8" t="s">
        <v>845</v>
      </c>
      <c r="C9" s="24">
        <v>1411</v>
      </c>
      <c r="D9" s="8"/>
      <c r="E9" s="24">
        <v>1539</v>
      </c>
      <c r="F9" s="8"/>
      <c r="G9" s="24">
        <v>1523</v>
      </c>
      <c r="H9" s="8"/>
      <c r="I9" s="24">
        <v>1531</v>
      </c>
      <c r="J9" s="8"/>
      <c r="K9" s="24">
        <v>1459</v>
      </c>
      <c r="L9" s="8"/>
      <c r="M9" s="24">
        <v>1423</v>
      </c>
      <c r="N9" s="8"/>
      <c r="O9" s="24">
        <v>1317</v>
      </c>
      <c r="P9" s="8"/>
      <c r="Q9" s="24">
        <v>1377</v>
      </c>
      <c r="R9" s="8"/>
      <c r="S9" s="24">
        <v>1332</v>
      </c>
      <c r="T9" s="8"/>
      <c r="U9" s="24">
        <v>1352</v>
      </c>
      <c r="V9" s="8"/>
      <c r="W9" s="24">
        <v>1392</v>
      </c>
      <c r="X9" s="8"/>
      <c r="Y9" s="24">
        <v>1509</v>
      </c>
      <c r="Z9" s="8"/>
      <c r="AA9" s="24">
        <v>1384</v>
      </c>
      <c r="AB9" s="8"/>
      <c r="AC9" s="8"/>
      <c r="AE9" s="8"/>
      <c r="AG9" s="8"/>
    </row>
    <row r="10" ht="12" customHeight="1">
      <c r="A10" s="8" t="s">
        <v>81</v>
      </c>
      <c r="B10" s="8" t="s">
        <v>846</v>
      </c>
      <c r="C10" s="24">
        <v>1218</v>
      </c>
      <c r="D10" s="8"/>
      <c r="E10" s="24">
        <v>1238</v>
      </c>
      <c r="F10" s="8"/>
      <c r="G10" s="24">
        <v>1259</v>
      </c>
      <c r="H10" s="8"/>
      <c r="I10" s="24">
        <v>1262</v>
      </c>
      <c r="J10" s="8"/>
      <c r="K10" s="24">
        <v>1249</v>
      </c>
      <c r="L10" s="8"/>
      <c r="M10" s="24">
        <v>1244</v>
      </c>
      <c r="N10" s="8"/>
      <c r="O10" s="24">
        <v>1248</v>
      </c>
      <c r="P10" s="8"/>
      <c r="Q10" s="24">
        <v>1261</v>
      </c>
      <c r="R10" s="8"/>
      <c r="S10" s="24">
        <v>1269</v>
      </c>
      <c r="T10" s="8"/>
      <c r="U10" s="24">
        <v>1288</v>
      </c>
      <c r="V10" s="8"/>
      <c r="W10" s="24">
        <v>1305</v>
      </c>
      <c r="X10" s="8"/>
      <c r="Y10" s="24">
        <v>1351</v>
      </c>
      <c r="Z10" s="8"/>
      <c r="AA10" s="24">
        <v>1361</v>
      </c>
      <c r="AB10" s="8"/>
      <c r="AC10" s="8"/>
      <c r="AE10" s="8"/>
      <c r="AG10" s="8"/>
    </row>
    <row r="11" ht="12" customHeight="1">
      <c r="A11" s="8" t="s">
        <v>83</v>
      </c>
      <c r="B11" s="8" t="s">
        <v>847</v>
      </c>
      <c r="C11" s="24">
        <v>1163</v>
      </c>
      <c r="D11" s="8"/>
      <c r="E11" s="24">
        <v>1213</v>
      </c>
      <c r="F11" s="8"/>
      <c r="G11" s="24">
        <v>1246</v>
      </c>
      <c r="H11" s="8"/>
      <c r="I11" s="24">
        <v>1249</v>
      </c>
      <c r="J11" s="8"/>
      <c r="K11" s="24">
        <v>1239</v>
      </c>
      <c r="L11" s="8"/>
      <c r="M11" s="24">
        <v>1254</v>
      </c>
      <c r="N11" s="8"/>
      <c r="O11" s="24">
        <v>1268</v>
      </c>
      <c r="P11" s="8"/>
      <c r="Q11" s="24">
        <v>1278</v>
      </c>
      <c r="R11" s="8"/>
      <c r="S11" s="24">
        <v>1272</v>
      </c>
      <c r="T11" s="8"/>
      <c r="U11" s="24">
        <v>1309</v>
      </c>
      <c r="V11" s="8"/>
      <c r="W11" s="24">
        <v>1329</v>
      </c>
      <c r="X11" s="8"/>
      <c r="Y11" s="24">
        <v>1334</v>
      </c>
      <c r="Z11" s="8"/>
      <c r="AA11" s="24">
        <v>1329</v>
      </c>
      <c r="AB11" s="8"/>
      <c r="AC11" s="8"/>
      <c r="AE11" s="8"/>
      <c r="AG11" s="8"/>
    </row>
    <row r="12" ht="12" customHeight="1">
      <c r="A12" s="8" t="s">
        <v>85</v>
      </c>
      <c r="B12" s="8" t="s">
        <v>848</v>
      </c>
      <c r="C12" s="24">
        <v>1132</v>
      </c>
      <c r="D12" s="8"/>
      <c r="E12" s="24">
        <v>1159</v>
      </c>
      <c r="F12" s="8"/>
      <c r="G12" s="24">
        <v>1189</v>
      </c>
      <c r="H12" s="8"/>
      <c r="I12" s="24">
        <v>1200</v>
      </c>
      <c r="J12" s="8"/>
      <c r="K12" s="24">
        <v>1199</v>
      </c>
      <c r="L12" s="8"/>
      <c r="M12" s="24">
        <v>1211</v>
      </c>
      <c r="N12" s="8"/>
      <c r="O12" s="24">
        <v>1239</v>
      </c>
      <c r="P12" s="8"/>
      <c r="Q12" s="24">
        <v>1249</v>
      </c>
      <c r="R12" s="8"/>
      <c r="S12" s="24">
        <v>1249</v>
      </c>
      <c r="T12" s="8"/>
      <c r="U12" s="24">
        <v>1278</v>
      </c>
      <c r="V12" s="8"/>
      <c r="W12" s="24">
        <v>1311</v>
      </c>
      <c r="X12" s="8"/>
      <c r="Y12" s="24">
        <v>1301</v>
      </c>
      <c r="Z12" s="8"/>
      <c r="AA12" s="24">
        <v>1308</v>
      </c>
      <c r="AB12" s="8"/>
      <c r="AC12" s="8"/>
      <c r="AE12" s="8"/>
      <c r="AG12" s="8"/>
    </row>
    <row r="13" ht="12" customHeight="1">
      <c r="A13" s="8" t="s">
        <v>87</v>
      </c>
      <c r="B13" s="8" t="s">
        <v>849</v>
      </c>
      <c r="C13" s="24">
        <v>1342</v>
      </c>
      <c r="D13" s="8"/>
      <c r="E13" s="24">
        <v>1368</v>
      </c>
      <c r="F13" s="8"/>
      <c r="G13" s="24">
        <v>1408</v>
      </c>
      <c r="H13" s="8"/>
      <c r="I13" s="24">
        <v>1431</v>
      </c>
      <c r="J13" s="8"/>
      <c r="K13" s="24">
        <v>1443</v>
      </c>
      <c r="L13" s="8"/>
      <c r="M13" s="24">
        <v>1456</v>
      </c>
      <c r="N13" s="8"/>
      <c r="O13" s="24">
        <v>1475</v>
      </c>
      <c r="P13" s="8"/>
      <c r="Q13" s="24">
        <v>1482</v>
      </c>
      <c r="R13" s="8"/>
      <c r="S13" s="24">
        <v>1488</v>
      </c>
      <c r="T13" s="8"/>
      <c r="U13" s="24">
        <v>1492</v>
      </c>
      <c r="V13" s="8"/>
      <c r="W13" s="24">
        <v>1506</v>
      </c>
      <c r="X13" s="8"/>
      <c r="Y13" s="24">
        <v>1517</v>
      </c>
      <c r="Z13" s="8"/>
      <c r="AA13" s="24">
        <v>1524</v>
      </c>
      <c r="AB13" s="8"/>
      <c r="AC13" s="8"/>
      <c r="AE13" s="8"/>
      <c r="AG13" s="8"/>
    </row>
    <row r="14" ht="12" customHeight="1">
      <c r="A14" s="11" t="s">
        <v>89</v>
      </c>
      <c r="B14" s="8" t="s">
        <v>850</v>
      </c>
      <c r="C14" s="24">
        <v>1414</v>
      </c>
      <c r="D14" s="8"/>
      <c r="E14" s="24">
        <v>1479</v>
      </c>
      <c r="F14" s="8"/>
      <c r="G14" s="24">
        <v>1494</v>
      </c>
      <c r="H14" s="8"/>
      <c r="I14" s="24">
        <v>1512</v>
      </c>
      <c r="J14" s="8"/>
      <c r="K14" s="24">
        <v>1534</v>
      </c>
      <c r="L14" s="8"/>
      <c r="M14" s="24">
        <v>1593</v>
      </c>
      <c r="N14" s="8"/>
      <c r="O14" s="24">
        <v>1605</v>
      </c>
      <c r="P14" s="8"/>
      <c r="Q14" s="24">
        <v>1613</v>
      </c>
      <c r="R14" s="8"/>
      <c r="S14" s="24">
        <v>1614</v>
      </c>
      <c r="T14" s="8"/>
      <c r="U14" s="24">
        <v>1648</v>
      </c>
      <c r="V14" s="8"/>
      <c r="W14" s="24">
        <v>1647</v>
      </c>
      <c r="X14" s="8"/>
      <c r="Y14" s="24">
        <v>1652</v>
      </c>
      <c r="Z14" s="8"/>
      <c r="AA14" s="24">
        <v>1655</v>
      </c>
      <c r="AB14" s="8"/>
      <c r="AC14" s="8"/>
      <c r="AE14" s="8"/>
      <c r="AG14" s="8"/>
    </row>
    <row r="15" ht="12" customHeight="1">
      <c r="A15" s="8" t="s">
        <v>91</v>
      </c>
      <c r="B15" s="8" t="s">
        <v>851</v>
      </c>
      <c r="C15" s="24">
        <v>1134</v>
      </c>
      <c r="D15" s="8"/>
      <c r="E15" s="24">
        <v>1152</v>
      </c>
      <c r="F15" s="8"/>
      <c r="G15" s="24">
        <v>1174</v>
      </c>
      <c r="H15" s="8"/>
      <c r="I15" s="24">
        <v>1196</v>
      </c>
      <c r="J15" s="8"/>
      <c r="K15" s="24">
        <v>1195</v>
      </c>
      <c r="L15" s="8"/>
      <c r="M15" s="24">
        <v>1208</v>
      </c>
      <c r="N15" s="8"/>
      <c r="O15" s="24">
        <v>1227</v>
      </c>
      <c r="P15" s="8"/>
      <c r="Q15" s="24">
        <v>1234</v>
      </c>
      <c r="R15" s="8"/>
      <c r="S15" s="24">
        <v>1227</v>
      </c>
      <c r="T15" s="8"/>
      <c r="U15" s="24">
        <v>1238</v>
      </c>
      <c r="V15" s="8"/>
      <c r="W15" s="24">
        <v>1233</v>
      </c>
      <c r="X15" s="8"/>
      <c r="Y15" s="24">
        <v>1241</v>
      </c>
      <c r="Z15" s="8"/>
      <c r="AA15" s="24">
        <v>1231</v>
      </c>
      <c r="AB15" s="8"/>
      <c r="AC15" s="8"/>
      <c r="AE15" s="8"/>
      <c r="AG15" s="8"/>
    </row>
    <row r="16" ht="12" customHeight="1">
      <c r="A16" s="8" t="s">
        <v>93</v>
      </c>
      <c r="B16" s="8" t="s">
        <v>852</v>
      </c>
      <c r="C16" s="24">
        <v>1956</v>
      </c>
      <c r="D16" s="8"/>
      <c r="E16" s="24">
        <v>2104</v>
      </c>
      <c r="F16" s="8"/>
      <c r="G16" s="24">
        <v>2106</v>
      </c>
      <c r="H16" s="8"/>
      <c r="I16" s="24">
        <v>2119</v>
      </c>
      <c r="J16" s="8"/>
      <c r="K16" s="24">
        <v>2182</v>
      </c>
      <c r="L16" s="8"/>
      <c r="M16" s="24">
        <v>2325</v>
      </c>
      <c r="N16" s="8"/>
      <c r="O16" s="24">
        <v>2325</v>
      </c>
      <c r="P16" s="8"/>
      <c r="Q16" s="24">
        <v>2333</v>
      </c>
      <c r="R16" s="8"/>
      <c r="S16" s="24">
        <v>2350</v>
      </c>
      <c r="T16" s="8"/>
      <c r="U16" s="24">
        <v>2442</v>
      </c>
      <c r="V16" s="8"/>
      <c r="W16" s="24">
        <v>2448</v>
      </c>
      <c r="X16" s="8"/>
      <c r="Y16" s="24">
        <v>2447</v>
      </c>
      <c r="Z16" s="8"/>
      <c r="AA16" s="24">
        <v>2485</v>
      </c>
      <c r="AB16" s="8"/>
      <c r="AC16" s="8"/>
      <c r="AE16" s="8"/>
      <c r="AG16" s="8"/>
    </row>
    <row r="17" ht="12" customHeight="1">
      <c r="A17" s="11" t="s">
        <v>95</v>
      </c>
      <c r="B17" s="8" t="s">
        <v>853</v>
      </c>
      <c r="C17" s="24">
        <v>1053</v>
      </c>
      <c r="D17" s="8"/>
      <c r="E17" s="24">
        <v>1051</v>
      </c>
      <c r="F17" s="8"/>
      <c r="G17" s="24">
        <v>1083</v>
      </c>
      <c r="H17" s="8"/>
      <c r="I17" s="24">
        <v>1083</v>
      </c>
      <c r="J17" s="8"/>
      <c r="K17" s="24">
        <v>1090</v>
      </c>
      <c r="L17" s="8"/>
      <c r="M17" s="24">
        <v>1090</v>
      </c>
      <c r="N17" s="8"/>
      <c r="O17" s="24">
        <v>1090</v>
      </c>
      <c r="P17" s="8"/>
      <c r="Q17" s="24">
        <v>1088</v>
      </c>
      <c r="R17" s="8"/>
      <c r="S17" s="24">
        <v>1079</v>
      </c>
      <c r="T17" s="8"/>
      <c r="U17" s="24">
        <v>1080</v>
      </c>
      <c r="V17" s="8"/>
      <c r="W17" s="24">
        <v>1081</v>
      </c>
      <c r="X17" s="8"/>
      <c r="Y17" s="24">
        <v>1087</v>
      </c>
      <c r="Z17" s="8"/>
      <c r="AA17" s="24">
        <v>1096</v>
      </c>
      <c r="AB17" s="8"/>
      <c r="AC17" s="8"/>
      <c r="AE17" s="8"/>
      <c r="AG17" s="8"/>
    </row>
    <row r="18" ht="12" customHeight="1">
      <c r="A18" s="8" t="s">
        <v>97</v>
      </c>
      <c r="B18" s="8" t="s">
        <v>854</v>
      </c>
      <c r="C18" s="24">
        <v>1058</v>
      </c>
      <c r="D18" s="8"/>
      <c r="E18" s="24">
        <v>1054</v>
      </c>
      <c r="F18" s="8"/>
      <c r="G18" s="24">
        <v>1090</v>
      </c>
      <c r="H18" s="8"/>
      <c r="I18" s="24">
        <v>1091</v>
      </c>
      <c r="J18" s="8"/>
      <c r="K18" s="24">
        <v>1100</v>
      </c>
      <c r="L18" s="8"/>
      <c r="M18" s="24">
        <v>1100</v>
      </c>
      <c r="N18" s="8"/>
      <c r="O18" s="24">
        <v>1097</v>
      </c>
      <c r="P18" s="8"/>
      <c r="Q18" s="24">
        <v>1097</v>
      </c>
      <c r="R18" s="8"/>
      <c r="S18" s="24">
        <v>1086</v>
      </c>
      <c r="T18" s="8"/>
      <c r="U18" s="24">
        <v>1083</v>
      </c>
      <c r="V18" s="8"/>
      <c r="W18" s="24">
        <v>1090</v>
      </c>
      <c r="X18" s="8"/>
      <c r="Y18" s="24">
        <v>1093</v>
      </c>
      <c r="Z18" s="8"/>
      <c r="AA18" s="24">
        <v>1106</v>
      </c>
      <c r="AB18" s="8"/>
      <c r="AC18" s="8"/>
      <c r="AE18" s="8"/>
      <c r="AG18" s="8"/>
    </row>
    <row r="19" ht="12" customHeight="1">
      <c r="A19" s="8" t="s">
        <v>99</v>
      </c>
      <c r="B19" s="8" t="s">
        <v>855</v>
      </c>
      <c r="C19" s="24">
        <v>1026</v>
      </c>
      <c r="D19" s="8"/>
      <c r="E19" s="24">
        <v>1036</v>
      </c>
      <c r="F19" s="8"/>
      <c r="G19" s="24">
        <v>1051</v>
      </c>
      <c r="H19" s="8"/>
      <c r="I19" s="24">
        <v>1040</v>
      </c>
      <c r="J19" s="8"/>
      <c r="K19" s="24">
        <v>1039</v>
      </c>
      <c r="L19" s="8"/>
      <c r="M19" s="24">
        <v>1038</v>
      </c>
      <c r="N19" s="8"/>
      <c r="O19" s="24">
        <v>1052</v>
      </c>
      <c r="P19" s="8"/>
      <c r="Q19" s="24">
        <v>1047</v>
      </c>
      <c r="R19" s="8"/>
      <c r="S19" s="24">
        <v>1042</v>
      </c>
      <c r="T19" s="8"/>
      <c r="U19" s="24">
        <v>1062</v>
      </c>
      <c r="V19" s="8"/>
      <c r="W19" s="24">
        <v>1034</v>
      </c>
      <c r="X19" s="8"/>
      <c r="Y19" s="24">
        <v>1052</v>
      </c>
      <c r="Z19" s="8"/>
      <c r="AA19" s="24">
        <v>1048</v>
      </c>
      <c r="AB19" s="8"/>
      <c r="AC19" s="8"/>
      <c r="AE19" s="8"/>
      <c r="AG19" s="8"/>
    </row>
    <row r="20" ht="12" customHeight="1">
      <c r="A20" s="11" t="s">
        <v>101</v>
      </c>
      <c r="B20" s="8" t="s">
        <v>856</v>
      </c>
      <c r="C20" s="24">
        <v>1294</v>
      </c>
      <c r="D20" s="8"/>
      <c r="E20" s="24">
        <v>1308</v>
      </c>
      <c r="F20" s="8"/>
      <c r="G20" s="24">
        <v>1327</v>
      </c>
      <c r="H20" s="8"/>
      <c r="I20" s="24">
        <v>1357</v>
      </c>
      <c r="J20" s="8"/>
      <c r="K20" s="24">
        <v>1371</v>
      </c>
      <c r="L20" s="8"/>
      <c r="M20" s="24">
        <v>1382</v>
      </c>
      <c r="N20" s="8"/>
      <c r="O20" s="24">
        <v>1400</v>
      </c>
      <c r="P20" s="8"/>
      <c r="Q20" s="24">
        <v>1442</v>
      </c>
      <c r="R20" s="8"/>
      <c r="S20" s="24">
        <v>1451</v>
      </c>
      <c r="T20" s="8"/>
      <c r="U20" s="24">
        <v>1463</v>
      </c>
      <c r="V20" s="8"/>
      <c r="W20" s="24">
        <v>1481</v>
      </c>
      <c r="X20" s="8"/>
      <c r="Y20" s="24">
        <v>1511</v>
      </c>
      <c r="Z20" s="8"/>
      <c r="AA20" s="24">
        <v>1516</v>
      </c>
      <c r="AB20" s="8"/>
      <c r="AC20" s="8"/>
      <c r="AE20" s="8"/>
      <c r="AG20" s="8"/>
    </row>
    <row r="21" ht="12" customHeight="1">
      <c r="A21" s="8" t="s">
        <v>103</v>
      </c>
      <c r="B21" s="8" t="s">
        <v>857</v>
      </c>
      <c r="C21" s="24">
        <v>1289</v>
      </c>
      <c r="D21" s="8"/>
      <c r="E21" s="24">
        <v>1305</v>
      </c>
      <c r="F21" s="8"/>
      <c r="G21" s="24">
        <v>1323</v>
      </c>
      <c r="H21" s="8"/>
      <c r="I21" s="24">
        <v>1340</v>
      </c>
      <c r="J21" s="8"/>
      <c r="K21" s="24">
        <v>1356</v>
      </c>
      <c r="L21" s="8"/>
      <c r="M21" s="24">
        <v>1373</v>
      </c>
      <c r="N21" s="8"/>
      <c r="O21" s="24">
        <v>1390</v>
      </c>
      <c r="P21" s="8"/>
      <c r="Q21" s="24">
        <v>1404</v>
      </c>
      <c r="R21" s="8"/>
      <c r="S21" s="24">
        <v>1416</v>
      </c>
      <c r="T21" s="8"/>
      <c r="U21" s="24">
        <v>1426</v>
      </c>
      <c r="V21" s="8"/>
      <c r="W21" s="24">
        <v>1438</v>
      </c>
      <c r="X21" s="8"/>
      <c r="Y21" s="24">
        <v>1442</v>
      </c>
      <c r="Z21" s="8"/>
      <c r="AA21" s="24">
        <v>1444</v>
      </c>
      <c r="AB21" s="8"/>
      <c r="AC21" s="8"/>
      <c r="AE21" s="8"/>
      <c r="AG21" s="8"/>
    </row>
    <row r="22" ht="12" customHeight="1">
      <c r="A22" s="8" t="s">
        <v>105</v>
      </c>
      <c r="B22" s="8" t="s">
        <v>858</v>
      </c>
      <c r="C22" s="24">
        <v>1289</v>
      </c>
      <c r="D22" s="8"/>
      <c r="E22" s="24">
        <v>1305</v>
      </c>
      <c r="F22" s="8"/>
      <c r="G22" s="24">
        <v>1323</v>
      </c>
      <c r="H22" s="8"/>
      <c r="I22" s="24">
        <v>1340</v>
      </c>
      <c r="J22" s="8"/>
      <c r="K22" s="24">
        <v>1356</v>
      </c>
      <c r="L22" s="8"/>
      <c r="M22" s="24">
        <v>1373</v>
      </c>
      <c r="N22" s="8"/>
      <c r="O22" s="24">
        <v>1390</v>
      </c>
      <c r="P22" s="8"/>
      <c r="Q22" s="24">
        <v>1404</v>
      </c>
      <c r="R22" s="8"/>
      <c r="S22" s="24">
        <v>1416</v>
      </c>
      <c r="T22" s="8"/>
      <c r="U22" s="24">
        <v>1426</v>
      </c>
      <c r="V22" s="8"/>
      <c r="W22" s="24">
        <v>1438</v>
      </c>
      <c r="X22" s="8"/>
      <c r="Y22" s="24">
        <v>1442</v>
      </c>
      <c r="Z22" s="8"/>
      <c r="AA22" s="24">
        <v>1444</v>
      </c>
      <c r="AB22" s="8"/>
      <c r="AC22" s="8"/>
      <c r="AE22" s="8"/>
      <c r="AG22" s="8"/>
    </row>
    <row r="23" ht="12" customHeight="1">
      <c r="A23" s="8" t="s">
        <v>107</v>
      </c>
      <c r="B23" s="8" t="s">
        <v>859</v>
      </c>
      <c r="C23" s="24">
        <v>1357</v>
      </c>
      <c r="D23" s="8"/>
      <c r="E23" s="24">
        <v>1354</v>
      </c>
      <c r="F23" s="8"/>
      <c r="G23" s="24">
        <v>1383</v>
      </c>
      <c r="H23" s="8"/>
      <c r="I23" s="24">
        <v>1394</v>
      </c>
      <c r="J23" s="8"/>
      <c r="K23" s="24">
        <v>1398</v>
      </c>
      <c r="L23" s="8"/>
      <c r="M23" s="24">
        <v>1400</v>
      </c>
      <c r="N23" s="8"/>
      <c r="O23" s="24">
        <v>1420</v>
      </c>
      <c r="P23" s="8"/>
      <c r="Q23" s="24">
        <v>1437</v>
      </c>
      <c r="R23" s="8"/>
      <c r="S23" s="24">
        <v>1432</v>
      </c>
      <c r="T23" s="8"/>
      <c r="U23" s="24">
        <v>1438</v>
      </c>
      <c r="V23" s="8"/>
      <c r="W23" s="24">
        <v>1442</v>
      </c>
      <c r="X23" s="8"/>
      <c r="Y23" s="24">
        <v>1452</v>
      </c>
      <c r="Z23" s="8"/>
      <c r="AA23" s="24">
        <v>1462</v>
      </c>
      <c r="AB23" s="8"/>
      <c r="AC23" s="8"/>
      <c r="AE23" s="8"/>
      <c r="AG23" s="8"/>
    </row>
    <row r="24" ht="12" customHeight="1">
      <c r="A24" s="8" t="s">
        <v>109</v>
      </c>
      <c r="B24" s="8" t="s">
        <v>860</v>
      </c>
      <c r="C24" s="24">
        <v>1510</v>
      </c>
      <c r="D24" s="8"/>
      <c r="E24" s="24">
        <v>1510</v>
      </c>
      <c r="F24" s="8"/>
      <c r="G24" s="24">
        <v>1511</v>
      </c>
      <c r="H24" s="8"/>
      <c r="I24" s="24">
        <v>1655</v>
      </c>
      <c r="J24" s="8"/>
      <c r="K24" s="24">
        <v>1656</v>
      </c>
      <c r="L24" s="8"/>
      <c r="M24" s="24">
        <v>1656</v>
      </c>
      <c r="N24" s="8"/>
      <c r="O24" s="24">
        <v>1657</v>
      </c>
      <c r="P24" s="8"/>
      <c r="Q24" s="24">
        <v>1855</v>
      </c>
      <c r="R24" s="8"/>
      <c r="S24" s="24">
        <v>1856</v>
      </c>
      <c r="T24" s="8"/>
      <c r="U24" s="24">
        <v>1856</v>
      </c>
      <c r="V24" s="8"/>
      <c r="W24" s="24">
        <v>1856</v>
      </c>
      <c r="X24" s="8"/>
      <c r="Y24" s="24">
        <v>2009</v>
      </c>
      <c r="Z24" s="8"/>
      <c r="AA24" s="24">
        <v>2009</v>
      </c>
      <c r="AB24" s="8"/>
      <c r="AC24" s="8"/>
      <c r="AE24" s="8"/>
      <c r="AG24" s="8"/>
    </row>
    <row r="25" ht="12" customHeight="1">
      <c r="A25" s="8" t="s">
        <v>111</v>
      </c>
      <c r="B25" s="8" t="s">
        <v>861</v>
      </c>
      <c r="C25" s="24">
        <v>1540</v>
      </c>
      <c r="D25" s="8"/>
      <c r="E25" s="24">
        <v>1540</v>
      </c>
      <c r="F25" s="8"/>
      <c r="G25" s="24">
        <v>1540</v>
      </c>
      <c r="H25" s="8"/>
      <c r="I25" s="24">
        <v>1690</v>
      </c>
      <c r="J25" s="8"/>
      <c r="K25" s="24">
        <v>1690</v>
      </c>
      <c r="L25" s="8"/>
      <c r="M25" s="24">
        <v>1690</v>
      </c>
      <c r="N25" s="8"/>
      <c r="O25" s="24">
        <v>1690</v>
      </c>
      <c r="P25" s="8"/>
      <c r="Q25" s="24">
        <v>1897</v>
      </c>
      <c r="R25" s="8"/>
      <c r="S25" s="24">
        <v>1897</v>
      </c>
      <c r="T25" s="8"/>
      <c r="U25" s="24">
        <v>1897</v>
      </c>
      <c r="V25" s="8"/>
      <c r="W25" s="24">
        <v>1897</v>
      </c>
      <c r="X25" s="8"/>
      <c r="Y25" s="24">
        <v>2064</v>
      </c>
      <c r="Z25" s="8"/>
      <c r="AA25" s="24">
        <v>2064</v>
      </c>
      <c r="AB25" s="8"/>
      <c r="AC25" s="8"/>
      <c r="AE25" s="8"/>
      <c r="AG25" s="8"/>
    </row>
    <row r="26" ht="12" customHeight="1">
      <c r="A26" s="8" t="s">
        <v>113</v>
      </c>
      <c r="B26" s="8" t="s">
        <v>862</v>
      </c>
      <c r="C26" s="24">
        <v>1116</v>
      </c>
      <c r="D26" s="8"/>
      <c r="E26" s="24">
        <v>1141</v>
      </c>
      <c r="F26" s="8"/>
      <c r="G26" s="24">
        <v>1172</v>
      </c>
      <c r="H26" s="8"/>
      <c r="I26" s="24">
        <v>1158</v>
      </c>
      <c r="J26" s="8"/>
      <c r="K26" s="24">
        <v>1179</v>
      </c>
      <c r="L26" s="8"/>
      <c r="M26" s="24">
        <v>1183</v>
      </c>
      <c r="N26" s="8"/>
      <c r="O26" s="24">
        <v>1216</v>
      </c>
      <c r="P26" s="8"/>
      <c r="Q26" s="24">
        <v>1226</v>
      </c>
      <c r="R26" s="8"/>
      <c r="S26" s="24">
        <v>1236</v>
      </c>
      <c r="T26" s="8"/>
      <c r="U26" s="24">
        <v>1265</v>
      </c>
      <c r="V26" s="8"/>
      <c r="W26" s="24">
        <v>1326</v>
      </c>
      <c r="X26" s="8"/>
      <c r="Y26" s="24">
        <v>1365</v>
      </c>
      <c r="Z26" s="8"/>
      <c r="AA26" s="24">
        <v>1387</v>
      </c>
      <c r="AB26" s="8"/>
      <c r="AC26" s="8"/>
      <c r="AE26" s="8"/>
      <c r="AG26" s="8"/>
    </row>
    <row r="27" ht="12" customHeight="1">
      <c r="A27" s="8" t="s">
        <v>115</v>
      </c>
      <c r="B27" s="8" t="s">
        <v>863</v>
      </c>
      <c r="C27" s="24">
        <v>1100</v>
      </c>
      <c r="D27" s="8"/>
      <c r="E27" s="24">
        <v>1125</v>
      </c>
      <c r="F27" s="8"/>
      <c r="G27" s="24">
        <v>1154</v>
      </c>
      <c r="H27" s="8"/>
      <c r="I27" s="24">
        <v>1134</v>
      </c>
      <c r="J27" s="8"/>
      <c r="K27" s="24">
        <v>1154</v>
      </c>
      <c r="L27" s="8"/>
      <c r="M27" s="24">
        <v>1159</v>
      </c>
      <c r="N27" s="8"/>
      <c r="O27" s="24">
        <v>1193</v>
      </c>
      <c r="P27" s="8"/>
      <c r="Q27" s="24">
        <v>1200</v>
      </c>
      <c r="R27" s="8"/>
      <c r="S27" s="24">
        <v>1206</v>
      </c>
      <c r="T27" s="8"/>
      <c r="U27" s="24">
        <v>1232</v>
      </c>
      <c r="V27" s="8"/>
      <c r="W27" s="24">
        <v>1294</v>
      </c>
      <c r="X27" s="8"/>
      <c r="Y27" s="24">
        <v>1335</v>
      </c>
      <c r="Z27" s="8"/>
      <c r="AA27" s="24">
        <v>1352</v>
      </c>
      <c r="AB27" s="8"/>
      <c r="AC27" s="8"/>
      <c r="AE27" s="8"/>
      <c r="AG27" s="8"/>
    </row>
    <row r="28" ht="12" customHeight="1">
      <c r="A28" s="11" t="s">
        <v>117</v>
      </c>
      <c r="B28" s="8" t="s">
        <v>864</v>
      </c>
      <c r="C28" s="24">
        <v>1178</v>
      </c>
      <c r="D28" s="8"/>
      <c r="E28" s="24">
        <v>1168</v>
      </c>
      <c r="F28" s="8"/>
      <c r="G28" s="24">
        <v>1201</v>
      </c>
      <c r="H28" s="8"/>
      <c r="I28" s="24">
        <v>1185</v>
      </c>
      <c r="J28" s="8"/>
      <c r="K28" s="24">
        <v>1189</v>
      </c>
      <c r="L28" s="8"/>
      <c r="M28" s="24">
        <v>1172</v>
      </c>
      <c r="N28" s="8"/>
      <c r="O28" s="24">
        <v>1173</v>
      </c>
      <c r="P28" s="8"/>
      <c r="Q28" s="24">
        <v>1178</v>
      </c>
      <c r="R28" s="8"/>
      <c r="S28" s="24">
        <v>1173</v>
      </c>
      <c r="T28" s="8"/>
      <c r="U28" s="24">
        <v>1167</v>
      </c>
      <c r="V28" s="8"/>
      <c r="W28" s="24">
        <v>1170</v>
      </c>
      <c r="X28" s="8"/>
      <c r="Y28" s="24">
        <v>1158</v>
      </c>
      <c r="Z28" s="8"/>
      <c r="AA28" s="24">
        <v>1165</v>
      </c>
      <c r="AB28" s="8"/>
      <c r="AC28" s="8"/>
      <c r="AE28" s="8"/>
      <c r="AG28" s="8"/>
    </row>
    <row r="29" ht="12" customHeight="1">
      <c r="A29" s="8" t="s">
        <v>119</v>
      </c>
      <c r="B29" s="8" t="s">
        <v>865</v>
      </c>
      <c r="C29" s="24">
        <v>1257</v>
      </c>
      <c r="D29" s="8"/>
      <c r="E29" s="24">
        <v>1212</v>
      </c>
      <c r="F29" s="8"/>
      <c r="G29" s="24">
        <v>1247</v>
      </c>
      <c r="H29" s="8"/>
      <c r="I29" s="24">
        <v>1229</v>
      </c>
      <c r="J29" s="8"/>
      <c r="K29" s="24">
        <v>1226</v>
      </c>
      <c r="L29" s="8"/>
      <c r="M29" s="24">
        <v>1179</v>
      </c>
      <c r="N29" s="8"/>
      <c r="O29" s="24">
        <v>1176</v>
      </c>
      <c r="P29" s="8"/>
      <c r="Q29" s="24">
        <v>1215</v>
      </c>
      <c r="R29" s="8"/>
      <c r="S29" s="24">
        <v>1212</v>
      </c>
      <c r="T29" s="8"/>
      <c r="U29" s="24">
        <v>1200</v>
      </c>
      <c r="V29" s="8"/>
      <c r="W29" s="24">
        <v>1183</v>
      </c>
      <c r="X29" s="8"/>
      <c r="Y29" s="24">
        <v>1154</v>
      </c>
      <c r="Z29" s="8"/>
      <c r="AA29" s="24">
        <v>1205</v>
      </c>
      <c r="AB29" s="8"/>
      <c r="AC29" s="8"/>
      <c r="AE29" s="8"/>
      <c r="AG29" s="8"/>
    </row>
    <row r="30" ht="12" customHeight="1">
      <c r="A30" s="8" t="s">
        <v>121</v>
      </c>
      <c r="B30" s="8" t="s">
        <v>866</v>
      </c>
      <c r="C30" s="24">
        <v>1104</v>
      </c>
      <c r="D30" s="8"/>
      <c r="E30" s="24">
        <v>1120</v>
      </c>
      <c r="F30" s="8"/>
      <c r="G30" s="24">
        <v>1121</v>
      </c>
      <c r="H30" s="8"/>
      <c r="I30" s="24">
        <v>1085</v>
      </c>
      <c r="J30" s="8"/>
      <c r="K30" s="24">
        <v>1169</v>
      </c>
      <c r="L30" s="8"/>
      <c r="M30" s="24">
        <v>1127</v>
      </c>
      <c r="N30" s="8"/>
      <c r="O30" s="24">
        <v>1241</v>
      </c>
      <c r="P30" s="8"/>
      <c r="Q30" s="24">
        <v>1180</v>
      </c>
      <c r="R30" s="8"/>
      <c r="S30" s="24">
        <v>1094</v>
      </c>
      <c r="T30" s="8"/>
      <c r="U30" s="24">
        <v>1141</v>
      </c>
      <c r="V30" s="8"/>
      <c r="W30" s="24">
        <v>1184</v>
      </c>
      <c r="X30" s="8"/>
      <c r="Y30" s="24">
        <v>1171</v>
      </c>
      <c r="Z30" s="8"/>
      <c r="AA30" s="24">
        <v>1147</v>
      </c>
      <c r="AB30" s="8"/>
      <c r="AC30" s="8"/>
      <c r="AE30" s="8"/>
      <c r="AG30" s="8"/>
    </row>
    <row r="31" ht="12" customHeight="1">
      <c r="A31" s="8" t="s">
        <v>123</v>
      </c>
      <c r="B31" s="8" t="s">
        <v>867</v>
      </c>
      <c r="C31" s="24">
        <v>1110</v>
      </c>
      <c r="D31" s="8"/>
      <c r="E31" s="24">
        <v>1098</v>
      </c>
      <c r="F31" s="8"/>
      <c r="G31" s="24">
        <v>1138</v>
      </c>
      <c r="H31" s="8"/>
      <c r="I31" s="24">
        <v>1117</v>
      </c>
      <c r="J31" s="8"/>
      <c r="K31" s="24">
        <v>1107</v>
      </c>
      <c r="L31" s="8"/>
      <c r="M31" s="24">
        <v>1087</v>
      </c>
      <c r="N31" s="8"/>
      <c r="O31" s="24">
        <v>1083</v>
      </c>
      <c r="P31" s="8"/>
      <c r="Q31" s="24">
        <v>1065</v>
      </c>
      <c r="R31" s="8"/>
      <c r="S31" s="24">
        <v>1079</v>
      </c>
      <c r="T31" s="8"/>
      <c r="U31" s="24">
        <v>1062</v>
      </c>
      <c r="V31" s="8"/>
      <c r="W31" s="24">
        <v>1069</v>
      </c>
      <c r="X31" s="8"/>
      <c r="Y31" s="24">
        <v>1063</v>
      </c>
      <c r="Z31" s="8"/>
      <c r="AA31" s="24">
        <v>1063</v>
      </c>
      <c r="AB31" s="8"/>
      <c r="AC31" s="8"/>
      <c r="AE31" s="8"/>
      <c r="AG31" s="8"/>
    </row>
    <row r="32" ht="12" customHeight="1">
      <c r="A32" s="8" t="s">
        <v>125</v>
      </c>
      <c r="B32" s="8" t="s">
        <v>868</v>
      </c>
      <c r="C32" s="24">
        <v>1127</v>
      </c>
      <c r="D32" s="8"/>
      <c r="E32" s="24">
        <v>1086</v>
      </c>
      <c r="F32" s="8"/>
      <c r="G32" s="24">
        <v>1115</v>
      </c>
      <c r="H32" s="8"/>
      <c r="I32" s="24">
        <v>1099</v>
      </c>
      <c r="J32" s="8"/>
      <c r="K32" s="24">
        <v>1157</v>
      </c>
      <c r="L32" s="8"/>
      <c r="M32" s="24">
        <v>1194</v>
      </c>
      <c r="N32" s="8"/>
      <c r="O32" s="24">
        <v>1173</v>
      </c>
      <c r="P32" s="8"/>
      <c r="Q32" s="24">
        <v>1133</v>
      </c>
      <c r="R32" s="8"/>
      <c r="S32" s="24">
        <v>1167</v>
      </c>
      <c r="T32" s="8"/>
      <c r="U32" s="24">
        <v>1188</v>
      </c>
      <c r="V32" s="8"/>
      <c r="W32" s="24">
        <v>1172</v>
      </c>
      <c r="X32" s="8"/>
      <c r="Y32" s="24">
        <v>1161</v>
      </c>
      <c r="Z32" s="8"/>
      <c r="AA32" s="24">
        <v>1134</v>
      </c>
      <c r="AB32" s="8"/>
      <c r="AC32" s="8"/>
      <c r="AE32" s="8"/>
      <c r="AG32" s="8"/>
    </row>
    <row r="33" ht="12" customHeight="1">
      <c r="A33" s="8" t="s">
        <v>127</v>
      </c>
      <c r="B33" s="8" t="s">
        <v>869</v>
      </c>
      <c r="C33" s="24">
        <v>1131</v>
      </c>
      <c r="D33" s="8"/>
      <c r="E33" s="24">
        <v>1137</v>
      </c>
      <c r="F33" s="8"/>
      <c r="G33" s="24">
        <v>1180</v>
      </c>
      <c r="H33" s="8"/>
      <c r="I33" s="24">
        <v>1182</v>
      </c>
      <c r="J33" s="8"/>
      <c r="K33" s="24">
        <v>1179</v>
      </c>
      <c r="L33" s="8"/>
      <c r="M33" s="24">
        <v>1188</v>
      </c>
      <c r="N33" s="8"/>
      <c r="O33" s="24">
        <v>1155</v>
      </c>
      <c r="P33" s="8"/>
      <c r="Q33" s="24">
        <v>1150</v>
      </c>
      <c r="R33" s="8"/>
      <c r="S33" s="24">
        <v>1148</v>
      </c>
      <c r="T33" s="8"/>
      <c r="U33" s="24">
        <v>1137</v>
      </c>
      <c r="V33" s="8"/>
      <c r="W33" s="24">
        <v>1139</v>
      </c>
      <c r="X33" s="8"/>
      <c r="Y33" s="24">
        <v>1137</v>
      </c>
      <c r="Z33" s="8"/>
      <c r="AA33" s="24">
        <v>1114</v>
      </c>
      <c r="AB33" s="8"/>
      <c r="AC33" s="8"/>
      <c r="AE33" s="8"/>
      <c r="AG33" s="8"/>
    </row>
    <row r="34" ht="12" customHeight="1">
      <c r="A34" s="8" t="s">
        <v>129</v>
      </c>
      <c r="B34" s="8" t="s">
        <v>870</v>
      </c>
      <c r="C34" s="24">
        <v>1199</v>
      </c>
      <c r="D34" s="8"/>
      <c r="E34" s="24">
        <v>1225</v>
      </c>
      <c r="F34" s="8"/>
      <c r="G34" s="24">
        <v>1251</v>
      </c>
      <c r="H34" s="8"/>
      <c r="I34" s="24">
        <v>1243</v>
      </c>
      <c r="J34" s="8"/>
      <c r="K34" s="24">
        <v>1236</v>
      </c>
      <c r="L34" s="8"/>
      <c r="M34" s="24">
        <v>1242</v>
      </c>
      <c r="N34" s="8"/>
      <c r="O34" s="24">
        <v>1243</v>
      </c>
      <c r="P34" s="8"/>
      <c r="Q34" s="24">
        <v>1262</v>
      </c>
      <c r="R34" s="8"/>
      <c r="S34" s="24">
        <v>1250</v>
      </c>
      <c r="T34" s="8"/>
      <c r="U34" s="24">
        <v>1237</v>
      </c>
      <c r="V34" s="8"/>
      <c r="W34" s="24">
        <v>1256</v>
      </c>
      <c r="X34" s="8"/>
      <c r="Y34" s="24">
        <v>1251</v>
      </c>
      <c r="Z34" s="8"/>
      <c r="AA34" s="24">
        <v>1248</v>
      </c>
      <c r="AB34" s="8"/>
      <c r="AC34" s="8"/>
      <c r="AE34" s="8"/>
      <c r="AG34" s="8"/>
    </row>
    <row r="35" ht="12" customHeight="1">
      <c r="A35" s="11" t="s">
        <v>131</v>
      </c>
      <c r="B35" s="8" t="s">
        <v>871</v>
      </c>
      <c r="C35" s="24">
        <v>1156</v>
      </c>
      <c r="D35" s="8"/>
      <c r="E35" s="24">
        <v>1161</v>
      </c>
      <c r="F35" s="8"/>
      <c r="G35" s="24">
        <v>1176</v>
      </c>
      <c r="H35" s="8"/>
      <c r="I35" s="24">
        <v>1145</v>
      </c>
      <c r="J35" s="8"/>
      <c r="K35" s="24">
        <v>1162</v>
      </c>
      <c r="L35" s="8"/>
      <c r="M35" s="24">
        <v>1180</v>
      </c>
      <c r="N35" s="8"/>
      <c r="O35" s="24">
        <v>1183</v>
      </c>
      <c r="P35" s="8"/>
      <c r="Q35" s="24">
        <v>1242</v>
      </c>
      <c r="R35" s="8"/>
      <c r="S35" s="24">
        <v>1235</v>
      </c>
      <c r="T35" s="8"/>
      <c r="U35" s="24">
        <v>1240</v>
      </c>
      <c r="V35" s="8"/>
      <c r="W35" s="24">
        <v>1240</v>
      </c>
      <c r="X35" s="8"/>
      <c r="Y35" s="24">
        <v>1243</v>
      </c>
      <c r="Z35" s="8"/>
      <c r="AA35" s="24">
        <v>1241</v>
      </c>
      <c r="AB35" s="8"/>
      <c r="AC35" s="8"/>
      <c r="AE35" s="8"/>
      <c r="AG35" s="8"/>
    </row>
    <row r="36" ht="12" customHeight="1">
      <c r="A36" s="8" t="s">
        <v>133</v>
      </c>
      <c r="B36" s="8" t="s">
        <v>872</v>
      </c>
      <c r="C36" s="24">
        <v>1039</v>
      </c>
      <c r="D36" s="8"/>
      <c r="E36" s="24">
        <v>1041</v>
      </c>
      <c r="F36" s="8"/>
      <c r="G36" s="24">
        <v>1055</v>
      </c>
      <c r="H36" s="8"/>
      <c r="I36" s="24">
        <v>964</v>
      </c>
      <c r="J36" s="8"/>
      <c r="K36" s="24">
        <v>967</v>
      </c>
      <c r="L36" s="8"/>
      <c r="M36" s="24">
        <v>962</v>
      </c>
      <c r="N36" s="8"/>
      <c r="O36" s="24">
        <v>965</v>
      </c>
      <c r="P36" s="8"/>
      <c r="Q36" s="24">
        <v>1077</v>
      </c>
      <c r="R36" s="8"/>
      <c r="S36" s="24">
        <v>1040</v>
      </c>
      <c r="T36" s="8"/>
      <c r="U36" s="24">
        <v>1043</v>
      </c>
      <c r="V36" s="8"/>
      <c r="W36" s="24">
        <v>1038</v>
      </c>
      <c r="X36" s="8"/>
      <c r="Y36" s="24">
        <v>1020</v>
      </c>
      <c r="Z36" s="8"/>
      <c r="AA36" s="24">
        <v>1004</v>
      </c>
      <c r="AB36" s="8"/>
      <c r="AC36" s="8"/>
      <c r="AE36" s="8"/>
      <c r="AG36" s="8"/>
    </row>
    <row r="37" ht="12" customHeight="1">
      <c r="A37" s="8" t="s">
        <v>135</v>
      </c>
      <c r="B37" s="8" t="s">
        <v>873</v>
      </c>
      <c r="C37" s="24">
        <v>1226</v>
      </c>
      <c r="D37" s="8"/>
      <c r="E37" s="24">
        <v>1233</v>
      </c>
      <c r="F37" s="8"/>
      <c r="G37" s="24">
        <v>1249</v>
      </c>
      <c r="H37" s="8"/>
      <c r="I37" s="24">
        <v>1265</v>
      </c>
      <c r="J37" s="8"/>
      <c r="K37" s="24">
        <v>1292</v>
      </c>
      <c r="L37" s="8"/>
      <c r="M37" s="24">
        <v>1328</v>
      </c>
      <c r="N37" s="8"/>
      <c r="O37" s="24">
        <v>1331</v>
      </c>
      <c r="P37" s="8"/>
      <c r="Q37" s="24">
        <v>1346</v>
      </c>
      <c r="R37" s="8"/>
      <c r="S37" s="24">
        <v>1364</v>
      </c>
      <c r="T37" s="8"/>
      <c r="U37" s="24">
        <v>1369</v>
      </c>
      <c r="V37" s="8"/>
      <c r="W37" s="24">
        <v>1375</v>
      </c>
      <c r="X37" s="8"/>
      <c r="Y37" s="24">
        <v>1398</v>
      </c>
      <c r="Z37" s="8"/>
      <c r="AA37" s="24">
        <v>1410</v>
      </c>
      <c r="AB37" s="8"/>
      <c r="AC37" s="8"/>
      <c r="AE37" s="8"/>
      <c r="AG37" s="8"/>
    </row>
    <row r="38" ht="12" customHeight="1">
      <c r="A38" s="8" t="s">
        <v>137</v>
      </c>
      <c r="B38" s="8" t="s">
        <v>874</v>
      </c>
      <c r="C38" s="24">
        <v>1389</v>
      </c>
      <c r="D38" s="8"/>
      <c r="E38" s="24">
        <v>1413</v>
      </c>
      <c r="F38" s="8"/>
      <c r="G38" s="24">
        <v>1449</v>
      </c>
      <c r="H38" s="8"/>
      <c r="I38" s="24">
        <v>1505</v>
      </c>
      <c r="J38" s="8"/>
      <c r="K38" s="24">
        <v>1574</v>
      </c>
      <c r="L38" s="8"/>
      <c r="M38" s="24">
        <v>1606</v>
      </c>
      <c r="N38" s="8"/>
      <c r="O38" s="24">
        <v>1619</v>
      </c>
      <c r="P38" s="8"/>
      <c r="Q38" s="24">
        <v>1731</v>
      </c>
      <c r="R38" s="8"/>
      <c r="S38" s="24">
        <v>1751</v>
      </c>
      <c r="T38" s="8"/>
      <c r="U38" s="24">
        <v>1752</v>
      </c>
      <c r="V38" s="8"/>
      <c r="W38" s="24">
        <v>1767</v>
      </c>
      <c r="X38" s="8"/>
      <c r="Y38" s="24">
        <v>1793</v>
      </c>
      <c r="Z38" s="8"/>
      <c r="AA38" s="24">
        <v>1812</v>
      </c>
      <c r="AB38" s="8"/>
      <c r="AC38" s="8"/>
      <c r="AE38" s="8"/>
      <c r="AG38" s="8"/>
    </row>
    <row r="39" ht="12" customHeight="1">
      <c r="A39" s="11" t="s">
        <v>139</v>
      </c>
      <c r="B39" s="8" t="s">
        <v>875</v>
      </c>
      <c r="C39" s="24">
        <v>1173</v>
      </c>
      <c r="D39" s="8"/>
      <c r="E39" s="24">
        <v>1152</v>
      </c>
      <c r="F39" s="8"/>
      <c r="G39" s="24">
        <v>1132</v>
      </c>
      <c r="H39" s="8"/>
      <c r="I39" s="24">
        <v>1231</v>
      </c>
      <c r="J39" s="8"/>
      <c r="K39" s="24">
        <v>1230</v>
      </c>
      <c r="L39" s="8"/>
      <c r="M39" s="24">
        <v>1204</v>
      </c>
      <c r="N39" s="8"/>
      <c r="O39" s="24">
        <v>1203</v>
      </c>
      <c r="P39" s="8"/>
      <c r="Q39" s="24">
        <v>1170</v>
      </c>
      <c r="R39" s="8"/>
      <c r="S39" s="24">
        <v>1180</v>
      </c>
      <c r="T39" s="8"/>
      <c r="U39" s="24">
        <v>1199</v>
      </c>
      <c r="V39" s="8"/>
      <c r="W39" s="24">
        <v>1181</v>
      </c>
      <c r="X39" s="8"/>
      <c r="Y39" s="24">
        <v>1187</v>
      </c>
      <c r="Z39" s="8"/>
      <c r="AA39" s="24">
        <v>1212</v>
      </c>
      <c r="AB39" s="8"/>
      <c r="AC39" s="8"/>
      <c r="AE39" s="8"/>
      <c r="AG39" s="8"/>
    </row>
    <row r="40" ht="12" customHeight="1">
      <c r="A40" s="8" t="s">
        <v>141</v>
      </c>
      <c r="B40" s="8" t="s">
        <v>876</v>
      </c>
      <c r="C40" s="24">
        <v>1089</v>
      </c>
      <c r="D40" s="8"/>
      <c r="E40" s="24">
        <v>1099</v>
      </c>
      <c r="F40" s="8"/>
      <c r="G40" s="24">
        <v>1113</v>
      </c>
      <c r="H40" s="8"/>
      <c r="I40" s="24">
        <v>1140</v>
      </c>
      <c r="J40" s="8"/>
      <c r="K40" s="24">
        <v>1115</v>
      </c>
      <c r="L40" s="8"/>
      <c r="M40" s="24">
        <v>1103</v>
      </c>
      <c r="N40" s="8"/>
      <c r="O40" s="24">
        <v>1069</v>
      </c>
      <c r="P40" s="8"/>
      <c r="Q40" s="24">
        <v>1047</v>
      </c>
      <c r="R40" s="8"/>
      <c r="S40" s="24">
        <v>1072</v>
      </c>
      <c r="T40" s="8"/>
      <c r="U40" s="24">
        <v>1075</v>
      </c>
      <c r="V40" s="8"/>
      <c r="W40" s="24">
        <v>1090</v>
      </c>
      <c r="X40" s="8"/>
      <c r="Y40" s="24">
        <v>1088</v>
      </c>
      <c r="Z40" s="8"/>
      <c r="AA40" s="24">
        <v>1088</v>
      </c>
      <c r="AB40" s="8"/>
      <c r="AC40" s="8"/>
      <c r="AE40" s="8"/>
      <c r="AG40" s="8"/>
    </row>
    <row r="41" ht="12" customHeight="1">
      <c r="A41" s="8" t="s">
        <v>143</v>
      </c>
      <c r="B41" s="8" t="s">
        <v>877</v>
      </c>
      <c r="C41" s="24">
        <v>1153</v>
      </c>
      <c r="D41" s="8"/>
      <c r="E41" s="24">
        <v>1127</v>
      </c>
      <c r="F41" s="8"/>
      <c r="G41" s="24">
        <v>1112</v>
      </c>
      <c r="H41" s="8"/>
      <c r="I41" s="24">
        <v>1249</v>
      </c>
      <c r="J41" s="8"/>
      <c r="K41" s="24">
        <v>1256</v>
      </c>
      <c r="L41" s="8"/>
      <c r="M41" s="24">
        <v>1236</v>
      </c>
      <c r="N41" s="8"/>
      <c r="O41" s="24">
        <v>1256</v>
      </c>
      <c r="P41" s="8"/>
      <c r="Q41" s="24">
        <v>1200</v>
      </c>
      <c r="R41" s="8"/>
      <c r="S41" s="24">
        <v>1188</v>
      </c>
      <c r="T41" s="8"/>
      <c r="U41" s="24">
        <v>1225</v>
      </c>
      <c r="V41" s="8"/>
      <c r="W41" s="24">
        <v>1204</v>
      </c>
      <c r="X41" s="8"/>
      <c r="Y41" s="24">
        <v>1208</v>
      </c>
      <c r="Z41" s="8"/>
      <c r="AA41" s="24">
        <v>1229</v>
      </c>
      <c r="AB41" s="8"/>
      <c r="AC41" s="8"/>
      <c r="AE41" s="8"/>
      <c r="AG41" s="8"/>
    </row>
    <row r="42" ht="12" customHeight="1">
      <c r="A42" s="8" t="s">
        <v>145</v>
      </c>
      <c r="B42" s="8" t="s">
        <v>878</v>
      </c>
      <c r="C42" s="24">
        <v>1200</v>
      </c>
      <c r="D42" s="8"/>
      <c r="E42" s="24">
        <v>1169</v>
      </c>
      <c r="F42" s="8"/>
      <c r="G42" s="24">
        <v>1152</v>
      </c>
      <c r="H42" s="8"/>
      <c r="I42" s="24">
        <v>1342</v>
      </c>
      <c r="J42" s="8"/>
      <c r="K42" s="24">
        <v>1342</v>
      </c>
      <c r="L42" s="8"/>
      <c r="M42" s="24">
        <v>1311</v>
      </c>
      <c r="N42" s="8"/>
      <c r="O42" s="24">
        <v>1321</v>
      </c>
      <c r="P42" s="8"/>
      <c r="Q42" s="24">
        <v>1238</v>
      </c>
      <c r="R42" s="8"/>
      <c r="S42" s="24">
        <v>1220</v>
      </c>
      <c r="T42" s="8"/>
      <c r="U42" s="24">
        <v>1277</v>
      </c>
      <c r="V42" s="8"/>
      <c r="W42" s="24">
        <v>1216</v>
      </c>
      <c r="X42" s="8"/>
      <c r="Y42" s="24">
        <v>1217</v>
      </c>
      <c r="Z42" s="8"/>
      <c r="AA42" s="24">
        <v>1248</v>
      </c>
      <c r="AB42" s="8"/>
      <c r="AC42" s="8"/>
      <c r="AE42" s="8"/>
      <c r="AG42" s="8"/>
    </row>
    <row r="43" ht="12" customHeight="1">
      <c r="A43" s="8" t="s">
        <v>147</v>
      </c>
      <c r="B43" s="8" t="s">
        <v>879</v>
      </c>
      <c r="C43" s="24">
        <v>1368</v>
      </c>
      <c r="D43" s="8"/>
      <c r="E43" s="24">
        <v>1312</v>
      </c>
      <c r="F43" s="8"/>
      <c r="G43" s="24">
        <v>1232</v>
      </c>
      <c r="H43" s="8"/>
      <c r="I43" s="24">
        <v>1296</v>
      </c>
      <c r="J43" s="8"/>
      <c r="K43" s="24">
        <v>1300</v>
      </c>
      <c r="L43" s="8"/>
      <c r="M43" s="24">
        <v>1232</v>
      </c>
      <c r="N43" s="8"/>
      <c r="O43" s="24">
        <v>1199</v>
      </c>
      <c r="P43" s="8"/>
      <c r="Q43" s="24">
        <v>1238</v>
      </c>
      <c r="R43" s="8"/>
      <c r="S43" s="24">
        <v>1303</v>
      </c>
      <c r="T43" s="8"/>
      <c r="U43" s="24">
        <v>1267</v>
      </c>
      <c r="V43" s="8"/>
      <c r="W43" s="24">
        <v>1229</v>
      </c>
      <c r="X43" s="8"/>
      <c r="Y43" s="24">
        <v>1248</v>
      </c>
      <c r="Z43" s="8"/>
      <c r="AA43" s="24">
        <v>1315</v>
      </c>
      <c r="AB43" s="8"/>
      <c r="AC43" s="8"/>
      <c r="AE43" s="8"/>
      <c r="AG43" s="8"/>
    </row>
    <row r="44" ht="12" customHeight="1">
      <c r="A44" s="11" t="s">
        <v>149</v>
      </c>
      <c r="B44" s="8" t="s">
        <v>880</v>
      </c>
      <c r="C44" s="24">
        <v>815</v>
      </c>
      <c r="D44" s="8"/>
      <c r="E44" s="24">
        <v>818</v>
      </c>
      <c r="F44" s="8"/>
      <c r="G44" s="24">
        <v>820</v>
      </c>
      <c r="H44" s="8"/>
      <c r="I44" s="24">
        <v>831</v>
      </c>
      <c r="J44" s="8"/>
      <c r="K44" s="24">
        <v>846</v>
      </c>
      <c r="L44" s="8"/>
      <c r="M44" s="24">
        <v>850</v>
      </c>
      <c r="N44" s="8"/>
      <c r="O44" s="24">
        <v>856</v>
      </c>
      <c r="P44" s="8"/>
      <c r="Q44" s="24">
        <v>862</v>
      </c>
      <c r="R44" s="8"/>
      <c r="S44" s="24">
        <v>879</v>
      </c>
      <c r="T44" s="8"/>
      <c r="U44" s="24">
        <v>883</v>
      </c>
      <c r="V44" s="8"/>
      <c r="W44" s="24">
        <v>883</v>
      </c>
      <c r="X44" s="8"/>
      <c r="Y44" s="24">
        <v>888</v>
      </c>
      <c r="Z44" s="8"/>
      <c r="AA44" s="24">
        <v>923</v>
      </c>
      <c r="AB44" s="8"/>
      <c r="AC44" s="8"/>
      <c r="AE44" s="8"/>
      <c r="AG44" s="8"/>
    </row>
    <row r="45" ht="12" customHeight="1">
      <c r="A45" s="8" t="s">
        <v>151</v>
      </c>
      <c r="B45" s="8" t="s">
        <v>881</v>
      </c>
      <c r="C45" s="24">
        <v>1404</v>
      </c>
      <c r="D45" s="8"/>
      <c r="E45" s="24">
        <v>1416</v>
      </c>
      <c r="F45" s="8"/>
      <c r="G45" s="24">
        <v>1402</v>
      </c>
      <c r="H45" s="8"/>
      <c r="I45" s="24">
        <v>1504</v>
      </c>
      <c r="J45" s="8"/>
      <c r="K45" s="24">
        <v>1522</v>
      </c>
      <c r="L45" s="8"/>
      <c r="M45" s="24">
        <v>1497</v>
      </c>
      <c r="N45" s="8"/>
      <c r="O45" s="24">
        <v>1492</v>
      </c>
      <c r="P45" s="8"/>
      <c r="Q45" s="24">
        <v>1529</v>
      </c>
      <c r="R45" s="8"/>
      <c r="S45" s="24">
        <v>1530</v>
      </c>
      <c r="T45" s="8"/>
      <c r="U45" s="24">
        <v>1524</v>
      </c>
      <c r="V45" s="8"/>
      <c r="W45" s="24">
        <v>1538</v>
      </c>
      <c r="X45" s="8"/>
      <c r="Y45" s="24">
        <v>1654</v>
      </c>
      <c r="Z45" s="8"/>
      <c r="AA45" s="24">
        <v>1658</v>
      </c>
      <c r="AB45" s="8"/>
      <c r="AC45" s="8"/>
      <c r="AE45" s="8"/>
      <c r="AG45" s="8"/>
    </row>
    <row r="46" ht="12" customHeight="1">
      <c r="A46" s="8" t="s">
        <v>153</v>
      </c>
      <c r="B46" s="8" t="s">
        <v>882</v>
      </c>
      <c r="C46" s="24">
        <v>295</v>
      </c>
      <c r="D46" s="8"/>
      <c r="E46" s="24">
        <v>300</v>
      </c>
      <c r="F46" s="8"/>
      <c r="G46" s="24">
        <v>270</v>
      </c>
      <c r="H46" s="8"/>
      <c r="I46" s="24">
        <v>253</v>
      </c>
      <c r="J46" s="8"/>
      <c r="K46" s="24">
        <v>293</v>
      </c>
      <c r="L46" s="8"/>
      <c r="M46" s="24">
        <v>285</v>
      </c>
      <c r="N46" s="8"/>
      <c r="O46" s="24">
        <v>308</v>
      </c>
      <c r="P46" s="8"/>
      <c r="Q46" s="24">
        <v>262</v>
      </c>
      <c r="R46" s="8"/>
      <c r="S46" s="24">
        <v>261</v>
      </c>
      <c r="T46" s="8"/>
      <c r="U46" s="24">
        <v>248</v>
      </c>
      <c r="V46" s="8"/>
      <c r="W46" s="24">
        <v>230</v>
      </c>
      <c r="X46" s="8"/>
      <c r="Y46" s="24">
        <v>222</v>
      </c>
      <c r="Z46" s="8"/>
      <c r="AA46" s="24">
        <v>247</v>
      </c>
      <c r="AB46" s="8"/>
      <c r="AC46" s="8"/>
      <c r="AE46" s="8"/>
      <c r="AG46" s="8"/>
    </row>
    <row r="47" ht="12" customHeight="1">
      <c r="A47" s="8" t="s">
        <v>155</v>
      </c>
      <c r="B47" s="8" t="s">
        <v>883</v>
      </c>
      <c r="C47" s="24">
        <v>862</v>
      </c>
      <c r="D47" s="8"/>
      <c r="E47" s="24">
        <v>864</v>
      </c>
      <c r="F47" s="8"/>
      <c r="G47" s="24">
        <v>872</v>
      </c>
      <c r="H47" s="8"/>
      <c r="I47" s="24">
        <v>886</v>
      </c>
      <c r="J47" s="8"/>
      <c r="K47" s="24">
        <v>896</v>
      </c>
      <c r="L47" s="8"/>
      <c r="M47" s="24">
        <v>902</v>
      </c>
      <c r="N47" s="8"/>
      <c r="O47" s="24">
        <v>906</v>
      </c>
      <c r="P47" s="8"/>
      <c r="Q47" s="24">
        <v>919</v>
      </c>
      <c r="R47" s="8"/>
      <c r="S47" s="24">
        <v>939</v>
      </c>
      <c r="T47" s="8"/>
      <c r="U47" s="24">
        <v>955</v>
      </c>
      <c r="V47" s="8"/>
      <c r="W47" s="24">
        <v>968</v>
      </c>
      <c r="X47" s="8"/>
      <c r="Y47" s="24">
        <v>978</v>
      </c>
      <c r="Z47" s="8"/>
      <c r="AA47" s="24">
        <v>1005</v>
      </c>
      <c r="AB47" s="8"/>
      <c r="AC47" s="8"/>
      <c r="AE47" s="8"/>
      <c r="AG47" s="8"/>
    </row>
    <row r="48" ht="12" customHeight="1">
      <c r="A48" s="11" t="s">
        <v>157</v>
      </c>
      <c r="B48" s="8" t="s">
        <v>884</v>
      </c>
      <c r="C48" s="24">
        <v>1132</v>
      </c>
      <c r="D48" s="8"/>
      <c r="E48" s="24">
        <v>1146</v>
      </c>
      <c r="F48" s="8"/>
      <c r="G48" s="24">
        <v>1156</v>
      </c>
      <c r="H48" s="8"/>
      <c r="I48" s="24">
        <v>1167</v>
      </c>
      <c r="J48" s="8"/>
      <c r="K48" s="24">
        <v>1189</v>
      </c>
      <c r="L48" s="8"/>
      <c r="M48" s="24">
        <v>1205</v>
      </c>
      <c r="N48" s="8"/>
      <c r="O48" s="24">
        <v>1186</v>
      </c>
      <c r="P48" s="8"/>
      <c r="Q48" s="24">
        <v>1190</v>
      </c>
      <c r="R48" s="8"/>
      <c r="S48" s="24">
        <v>1214</v>
      </c>
      <c r="T48" s="8"/>
      <c r="U48" s="24">
        <v>1207</v>
      </c>
      <c r="V48" s="8"/>
      <c r="W48" s="24">
        <v>1210</v>
      </c>
      <c r="X48" s="8"/>
      <c r="Y48" s="24">
        <v>1221</v>
      </c>
      <c r="Z48" s="8"/>
      <c r="AA48" s="24">
        <v>1240</v>
      </c>
      <c r="AB48" s="8"/>
      <c r="AC48" s="8"/>
      <c r="AE48" s="8"/>
      <c r="AG48" s="8"/>
    </row>
    <row r="49" ht="12" customHeight="1">
      <c r="A49" s="8" t="s">
        <v>159</v>
      </c>
      <c r="B49" s="8" t="s">
        <v>885</v>
      </c>
      <c r="C49" s="24">
        <v>467</v>
      </c>
      <c r="D49" s="8"/>
      <c r="E49" s="24">
        <v>452</v>
      </c>
      <c r="F49" s="8"/>
      <c r="G49" s="24">
        <v>406</v>
      </c>
      <c r="H49" s="8"/>
      <c r="I49" s="24">
        <v>414</v>
      </c>
      <c r="J49" s="8"/>
      <c r="K49" s="24">
        <v>439</v>
      </c>
      <c r="L49" s="8"/>
      <c r="M49" s="24">
        <v>410</v>
      </c>
      <c r="N49" s="8"/>
      <c r="O49" s="24">
        <v>388</v>
      </c>
      <c r="P49" s="8"/>
      <c r="Q49" s="24">
        <v>398</v>
      </c>
      <c r="R49" s="8"/>
      <c r="S49" s="24">
        <v>415</v>
      </c>
      <c r="T49" s="8"/>
      <c r="U49" s="24">
        <v>389</v>
      </c>
      <c r="V49" s="8"/>
      <c r="W49" s="24">
        <v>344</v>
      </c>
      <c r="X49" s="8"/>
      <c r="Y49" s="24">
        <v>351</v>
      </c>
      <c r="Z49" s="8"/>
      <c r="AA49" s="24">
        <v>379</v>
      </c>
      <c r="AB49" s="8"/>
      <c r="AC49" s="8"/>
      <c r="AE49" s="8"/>
      <c r="AG49" s="8"/>
    </row>
    <row r="50" ht="12" customHeight="1">
      <c r="A50" s="8" t="s">
        <v>161</v>
      </c>
      <c r="B50" s="8" t="s">
        <v>886</v>
      </c>
      <c r="C50" s="24">
        <v>1298</v>
      </c>
      <c r="D50" s="8"/>
      <c r="E50" s="24">
        <v>1319</v>
      </c>
      <c r="F50" s="8"/>
      <c r="G50" s="24">
        <v>1318</v>
      </c>
      <c r="H50" s="8"/>
      <c r="I50" s="24">
        <v>1329</v>
      </c>
      <c r="J50" s="8"/>
      <c r="K50" s="24">
        <v>1321</v>
      </c>
      <c r="L50" s="8"/>
      <c r="M50" s="24">
        <v>1342</v>
      </c>
      <c r="N50" s="8"/>
      <c r="O50" s="24">
        <v>1345</v>
      </c>
      <c r="P50" s="8"/>
      <c r="Q50" s="24">
        <v>1318</v>
      </c>
      <c r="R50" s="8"/>
      <c r="S50" s="24">
        <v>1329</v>
      </c>
      <c r="T50" s="8"/>
      <c r="U50" s="24">
        <v>1340</v>
      </c>
      <c r="V50" s="8"/>
      <c r="W50" s="24">
        <v>1363</v>
      </c>
      <c r="X50" s="8"/>
      <c r="Y50" s="24">
        <v>1358</v>
      </c>
      <c r="Z50" s="8"/>
      <c r="AA50" s="24">
        <v>1369</v>
      </c>
      <c r="AB50" s="8"/>
      <c r="AC50" s="8"/>
      <c r="AE50" s="8"/>
      <c r="AG50" s="8"/>
    </row>
    <row r="51" ht="12" customHeight="1">
      <c r="A51" s="8" t="s">
        <v>163</v>
      </c>
      <c r="B51" s="8" t="s">
        <v>887</v>
      </c>
      <c r="C51" s="24">
        <v>1252</v>
      </c>
      <c r="D51" s="8"/>
      <c r="E51" s="24">
        <v>1273</v>
      </c>
      <c r="F51" s="8"/>
      <c r="G51" s="24">
        <v>1320</v>
      </c>
      <c r="H51" s="8"/>
      <c r="I51" s="24">
        <v>1320</v>
      </c>
      <c r="J51" s="8"/>
      <c r="K51" s="24">
        <v>1327</v>
      </c>
      <c r="L51" s="8"/>
      <c r="M51" s="24">
        <v>1337</v>
      </c>
      <c r="N51" s="8"/>
      <c r="O51" s="24">
        <v>1307</v>
      </c>
      <c r="P51" s="8"/>
      <c r="Q51" s="24">
        <v>1332</v>
      </c>
      <c r="R51" s="8"/>
      <c r="S51" s="24">
        <v>1357</v>
      </c>
      <c r="T51" s="8"/>
      <c r="U51" s="24">
        <v>1343</v>
      </c>
      <c r="V51" s="8"/>
      <c r="W51" s="24">
        <v>1316</v>
      </c>
      <c r="X51" s="8"/>
      <c r="Y51" s="24">
        <v>1332</v>
      </c>
      <c r="Z51" s="8"/>
      <c r="AA51" s="24">
        <v>1341</v>
      </c>
      <c r="AB51" s="8"/>
      <c r="AC51" s="8"/>
      <c r="AE51" s="8"/>
      <c r="AG51" s="8"/>
    </row>
    <row r="52" ht="12" customHeight="1">
      <c r="A52" s="8" t="s">
        <v>165</v>
      </c>
      <c r="B52" s="8" t="s">
        <v>888</v>
      </c>
      <c r="C52" s="24">
        <v>1106</v>
      </c>
      <c r="D52" s="8"/>
      <c r="E52" s="24">
        <v>1120</v>
      </c>
      <c r="F52" s="8"/>
      <c r="G52" s="24">
        <v>1140</v>
      </c>
      <c r="H52" s="8"/>
      <c r="I52" s="24">
        <v>1154</v>
      </c>
      <c r="J52" s="8"/>
      <c r="K52" s="24">
        <v>1181</v>
      </c>
      <c r="L52" s="8"/>
      <c r="M52" s="24">
        <v>1204</v>
      </c>
      <c r="N52" s="8"/>
      <c r="O52" s="24">
        <v>1235</v>
      </c>
      <c r="P52" s="8"/>
      <c r="Q52" s="24">
        <v>1235</v>
      </c>
      <c r="R52" s="8"/>
      <c r="S52" s="24">
        <v>1246</v>
      </c>
      <c r="T52" s="8"/>
      <c r="U52" s="24">
        <v>1251</v>
      </c>
      <c r="V52" s="8"/>
      <c r="W52" s="24">
        <v>1322</v>
      </c>
      <c r="X52" s="8"/>
      <c r="Y52" s="24">
        <v>1328</v>
      </c>
      <c r="Z52" s="8"/>
      <c r="AA52" s="24">
        <v>1330</v>
      </c>
      <c r="AB52" s="8"/>
      <c r="AC52" s="8"/>
      <c r="AE52" s="8"/>
      <c r="AG52" s="8"/>
    </row>
    <row r="53" ht="12" customHeight="1">
      <c r="A53" s="8" t="s">
        <v>167</v>
      </c>
      <c r="B53" s="8" t="s">
        <v>889</v>
      </c>
      <c r="C53" s="24">
        <v>1414</v>
      </c>
      <c r="D53" s="8"/>
      <c r="E53" s="24">
        <v>1432</v>
      </c>
      <c r="F53" s="8"/>
      <c r="G53" s="24">
        <v>1468</v>
      </c>
      <c r="H53" s="8"/>
      <c r="I53" s="24">
        <v>1491</v>
      </c>
      <c r="J53" s="8"/>
      <c r="K53" s="24">
        <v>1506</v>
      </c>
      <c r="L53" s="8"/>
      <c r="M53" s="24">
        <v>1506</v>
      </c>
      <c r="N53" s="8"/>
      <c r="O53" s="24">
        <v>1521</v>
      </c>
      <c r="P53" s="8"/>
      <c r="Q53" s="24">
        <v>1514</v>
      </c>
      <c r="R53" s="8"/>
      <c r="S53" s="24">
        <v>1541</v>
      </c>
      <c r="T53" s="8"/>
      <c r="U53" s="24">
        <v>1531</v>
      </c>
      <c r="V53" s="8"/>
      <c r="W53" s="24">
        <v>1536</v>
      </c>
      <c r="X53" s="8"/>
      <c r="Y53" s="24">
        <v>1571</v>
      </c>
      <c r="Z53" s="8"/>
      <c r="AA53" s="24">
        <v>1589</v>
      </c>
      <c r="AB53" s="8"/>
      <c r="AC53" s="8"/>
      <c r="AE53" s="8"/>
      <c r="AG53" s="8"/>
    </row>
    <row r="54" ht="12" customHeight="1">
      <c r="A54" s="8" t="s">
        <v>169</v>
      </c>
      <c r="B54" s="8" t="s">
        <v>890</v>
      </c>
      <c r="C54" s="24">
        <v>1659</v>
      </c>
      <c r="D54" s="8"/>
      <c r="E54" s="24">
        <v>1723</v>
      </c>
      <c r="F54" s="8"/>
      <c r="G54" s="24">
        <v>1687</v>
      </c>
      <c r="H54" s="8"/>
      <c r="I54" s="24">
        <v>1719</v>
      </c>
      <c r="J54" s="8"/>
      <c r="K54" s="24">
        <v>1762</v>
      </c>
      <c r="L54" s="8"/>
      <c r="M54" s="24">
        <v>1877</v>
      </c>
      <c r="N54" s="8"/>
      <c r="O54" s="24">
        <v>1747</v>
      </c>
      <c r="P54" s="8"/>
      <c r="Q54" s="24">
        <v>1708</v>
      </c>
      <c r="R54" s="8"/>
      <c r="S54" s="24">
        <v>1767</v>
      </c>
      <c r="T54" s="8"/>
      <c r="U54" s="24">
        <v>1804</v>
      </c>
      <c r="V54" s="8"/>
      <c r="W54" s="24">
        <v>1814</v>
      </c>
      <c r="X54" s="8"/>
      <c r="Y54" s="24">
        <v>1822</v>
      </c>
      <c r="Z54" s="8"/>
      <c r="AA54" s="24">
        <v>1887</v>
      </c>
      <c r="AB54" s="8"/>
      <c r="AC54" s="8"/>
      <c r="AE54" s="8"/>
      <c r="AG54" s="8"/>
    </row>
    <row r="55" ht="12" customHeight="1">
      <c r="A55" s="11" t="s">
        <v>171</v>
      </c>
      <c r="B55" s="8" t="s">
        <v>891</v>
      </c>
      <c r="C55" s="24">
        <v>1081</v>
      </c>
      <c r="D55" s="8"/>
      <c r="E55" s="24">
        <v>1103</v>
      </c>
      <c r="F55" s="8"/>
      <c r="G55" s="24">
        <v>1103</v>
      </c>
      <c r="H55" s="8"/>
      <c r="I55" s="24">
        <v>1118</v>
      </c>
      <c r="J55" s="8"/>
      <c r="K55" s="24">
        <v>1118</v>
      </c>
      <c r="L55" s="8"/>
      <c r="M55" s="24">
        <v>1147</v>
      </c>
      <c r="N55" s="8"/>
      <c r="O55" s="24">
        <v>1147</v>
      </c>
      <c r="P55" s="8"/>
      <c r="Q55" s="24">
        <v>1058</v>
      </c>
      <c r="R55" s="8"/>
      <c r="S55" s="24">
        <v>1058</v>
      </c>
      <c r="T55" s="8"/>
      <c r="U55" s="24">
        <v>1169</v>
      </c>
      <c r="V55" s="8"/>
      <c r="W55" s="24">
        <v>1169</v>
      </c>
      <c r="X55" s="8"/>
      <c r="Y55" s="24">
        <v>1176</v>
      </c>
      <c r="Z55" s="8"/>
      <c r="AA55" s="24">
        <v>1176</v>
      </c>
      <c r="AB55" s="8"/>
      <c r="AC55" s="8"/>
      <c r="AE55" s="8"/>
      <c r="AG55" s="8"/>
    </row>
    <row r="56" ht="12" customHeight="1">
      <c r="A56" s="8" t="s">
        <v>173</v>
      </c>
      <c r="B56" s="8" t="s">
        <v>892</v>
      </c>
      <c r="C56" s="24">
        <v>1211</v>
      </c>
      <c r="D56" s="8"/>
      <c r="E56" s="24">
        <v>1211</v>
      </c>
      <c r="F56" s="8"/>
      <c r="G56" s="24">
        <v>1211</v>
      </c>
      <c r="H56" s="8"/>
      <c r="I56" s="24">
        <v>1253</v>
      </c>
      <c r="J56" s="8"/>
      <c r="K56" s="24">
        <v>1253</v>
      </c>
      <c r="L56" s="8"/>
      <c r="M56" s="24">
        <v>1253</v>
      </c>
      <c r="N56" s="8"/>
      <c r="O56" s="24">
        <v>1253</v>
      </c>
      <c r="P56" s="8"/>
      <c r="Q56" s="24">
        <v>1014</v>
      </c>
      <c r="R56" s="8"/>
      <c r="S56" s="24">
        <v>1014</v>
      </c>
      <c r="T56" s="8"/>
      <c r="U56" s="24">
        <v>1014</v>
      </c>
      <c r="V56" s="8"/>
      <c r="W56" s="24">
        <v>1014</v>
      </c>
      <c r="X56" s="8"/>
      <c r="Y56" s="24">
        <v>1039</v>
      </c>
      <c r="Z56" s="8"/>
      <c r="AA56" s="24">
        <v>1039</v>
      </c>
      <c r="AB56" s="8"/>
      <c r="AC56" s="8"/>
      <c r="AE56" s="8"/>
      <c r="AG56" s="8"/>
    </row>
    <row r="57" ht="12" customHeight="1">
      <c r="A57" s="8" t="s">
        <v>175</v>
      </c>
      <c r="B57" s="8" t="s">
        <v>893</v>
      </c>
      <c r="C57" s="24">
        <v>1172</v>
      </c>
      <c r="D57" s="8"/>
      <c r="E57" s="24">
        <v>1193</v>
      </c>
      <c r="F57" s="8"/>
      <c r="G57" s="24">
        <v>1193</v>
      </c>
      <c r="H57" s="8"/>
      <c r="I57" s="24">
        <v>1193</v>
      </c>
      <c r="J57" s="8"/>
      <c r="K57" s="24">
        <v>1193</v>
      </c>
      <c r="L57" s="8"/>
      <c r="M57" s="24">
        <v>1234</v>
      </c>
      <c r="N57" s="8"/>
      <c r="O57" s="24">
        <v>1234</v>
      </c>
      <c r="P57" s="8"/>
      <c r="Q57" s="24">
        <v>1234</v>
      </c>
      <c r="R57" s="8"/>
      <c r="S57" s="24">
        <v>1234</v>
      </c>
      <c r="T57" s="8"/>
      <c r="U57" s="24">
        <v>1284</v>
      </c>
      <c r="V57" s="8"/>
      <c r="W57" s="24">
        <v>1284</v>
      </c>
      <c r="X57" s="8"/>
      <c r="Y57" s="24">
        <v>1284</v>
      </c>
      <c r="Z57" s="8"/>
      <c r="AA57" s="24">
        <v>1284</v>
      </c>
      <c r="AB57" s="8"/>
      <c r="AC57" s="8"/>
      <c r="AE57" s="8"/>
      <c r="AG57" s="8"/>
    </row>
    <row r="58" ht="12" customHeight="1">
      <c r="A58" s="8" t="s">
        <v>177</v>
      </c>
      <c r="B58" s="8" t="s">
        <v>894</v>
      </c>
      <c r="C58" s="24">
        <v>991</v>
      </c>
      <c r="D58" s="8"/>
      <c r="E58" s="24">
        <v>1042</v>
      </c>
      <c r="F58" s="8"/>
      <c r="G58" s="24">
        <v>1042</v>
      </c>
      <c r="H58" s="8"/>
      <c r="I58" s="24">
        <v>1042</v>
      </c>
      <c r="J58" s="8"/>
      <c r="K58" s="24">
        <v>1042</v>
      </c>
      <c r="L58" s="8"/>
      <c r="M58" s="24">
        <v>1102</v>
      </c>
      <c r="N58" s="8"/>
      <c r="O58" s="24">
        <v>1102</v>
      </c>
      <c r="P58" s="8"/>
      <c r="Q58" s="24">
        <v>1102</v>
      </c>
      <c r="R58" s="8"/>
      <c r="S58" s="24">
        <v>1102</v>
      </c>
      <c r="T58" s="8"/>
      <c r="U58" s="24">
        <v>1351</v>
      </c>
      <c r="V58" s="8"/>
      <c r="W58" s="24">
        <v>1351</v>
      </c>
      <c r="X58" s="8"/>
      <c r="Y58" s="24">
        <v>1351</v>
      </c>
      <c r="Z58" s="8"/>
      <c r="AA58" s="24">
        <v>1351</v>
      </c>
      <c r="AB58" s="8"/>
      <c r="AC58" s="8"/>
      <c r="AE58" s="8"/>
      <c r="AG58" s="8"/>
    </row>
    <row r="59" ht="12" customHeight="1">
      <c r="A59" s="8" t="s">
        <v>179</v>
      </c>
      <c r="B59" s="8" t="s">
        <v>895</v>
      </c>
      <c r="C59" s="24">
        <v>1093</v>
      </c>
      <c r="D59" s="8"/>
      <c r="E59" s="24">
        <v>1154</v>
      </c>
      <c r="F59" s="8"/>
      <c r="G59" s="24">
        <v>1154</v>
      </c>
      <c r="H59" s="8"/>
      <c r="I59" s="24">
        <v>1154</v>
      </c>
      <c r="J59" s="8"/>
      <c r="K59" s="24">
        <v>1154</v>
      </c>
      <c r="L59" s="8"/>
      <c r="M59" s="24">
        <v>1207</v>
      </c>
      <c r="N59" s="8"/>
      <c r="O59" s="24">
        <v>1207</v>
      </c>
      <c r="P59" s="8"/>
      <c r="Q59" s="24">
        <v>1207</v>
      </c>
      <c r="R59" s="8"/>
      <c r="S59" s="24">
        <v>1207</v>
      </c>
      <c r="T59" s="8"/>
      <c r="U59" s="24">
        <v>1268</v>
      </c>
      <c r="V59" s="8"/>
      <c r="W59" s="24">
        <v>1268</v>
      </c>
      <c r="X59" s="8"/>
      <c r="Y59" s="24">
        <v>1268</v>
      </c>
      <c r="Z59" s="8"/>
      <c r="AA59" s="24">
        <v>1268</v>
      </c>
      <c r="AB59" s="8"/>
      <c r="AC59" s="8"/>
      <c r="AE59" s="8"/>
      <c r="AG59" s="8"/>
    </row>
    <row r="60" ht="12" customHeight="1">
      <c r="A60" s="11" t="s">
        <v>181</v>
      </c>
      <c r="B60" s="8" t="s">
        <v>896</v>
      </c>
      <c r="C60" s="24">
        <v>1288</v>
      </c>
      <c r="D60" s="8"/>
      <c r="E60" s="24">
        <v>1312</v>
      </c>
      <c r="F60" s="8"/>
      <c r="G60" s="24">
        <v>1346</v>
      </c>
      <c r="H60" s="8"/>
      <c r="I60" s="24">
        <v>1375</v>
      </c>
      <c r="J60" s="8"/>
      <c r="K60" s="24">
        <v>1403</v>
      </c>
      <c r="L60" s="8"/>
      <c r="M60" s="24">
        <v>1439</v>
      </c>
      <c r="N60" s="8"/>
      <c r="O60" s="24">
        <v>1474</v>
      </c>
      <c r="P60" s="8"/>
      <c r="Q60" s="24">
        <v>1495</v>
      </c>
      <c r="R60" s="8"/>
      <c r="S60" s="24">
        <v>1515</v>
      </c>
      <c r="T60" s="8"/>
      <c r="U60" s="24">
        <v>1530</v>
      </c>
      <c r="V60" s="8"/>
      <c r="W60" s="24">
        <v>1547</v>
      </c>
      <c r="X60" s="8"/>
      <c r="Y60" s="24">
        <v>1554</v>
      </c>
      <c r="Z60" s="8"/>
      <c r="AA60" s="24">
        <v>1559</v>
      </c>
      <c r="AB60" s="8"/>
      <c r="AC60" s="8"/>
      <c r="AE60" s="8"/>
      <c r="AG60" s="8"/>
    </row>
    <row r="61" ht="12" customHeight="1">
      <c r="A61" s="8" t="s">
        <v>183</v>
      </c>
      <c r="B61" s="8" t="s">
        <v>897</v>
      </c>
      <c r="C61" s="24">
        <v>1132</v>
      </c>
      <c r="D61" s="8"/>
      <c r="E61" s="24">
        <v>1156</v>
      </c>
      <c r="F61" s="8"/>
      <c r="G61" s="24">
        <v>1182</v>
      </c>
      <c r="H61" s="8"/>
      <c r="I61" s="24">
        <v>1174</v>
      </c>
      <c r="J61" s="8"/>
      <c r="K61" s="24">
        <v>1163</v>
      </c>
      <c r="L61" s="8"/>
      <c r="M61" s="24">
        <v>1167</v>
      </c>
      <c r="N61" s="8"/>
      <c r="O61" s="24">
        <v>1165</v>
      </c>
      <c r="P61" s="8"/>
      <c r="Q61" s="24">
        <v>1160</v>
      </c>
      <c r="R61" s="8"/>
      <c r="S61" s="24">
        <v>1160</v>
      </c>
      <c r="T61" s="8"/>
      <c r="U61" s="24">
        <v>1165</v>
      </c>
      <c r="V61" s="8"/>
      <c r="W61" s="24">
        <v>1176</v>
      </c>
      <c r="X61" s="8"/>
      <c r="Y61" s="24">
        <v>1179</v>
      </c>
      <c r="Z61" s="8"/>
      <c r="AA61" s="24">
        <v>1178</v>
      </c>
      <c r="AB61" s="8"/>
      <c r="AC61" s="8"/>
      <c r="AE61" s="8"/>
      <c r="AG61" s="8"/>
    </row>
    <row r="62" ht="12" customHeight="1">
      <c r="A62" s="8" t="s">
        <v>185</v>
      </c>
      <c r="B62" s="8" t="s">
        <v>898</v>
      </c>
      <c r="C62" s="24">
        <v>1235</v>
      </c>
      <c r="D62" s="8"/>
      <c r="E62" s="24">
        <v>1231</v>
      </c>
      <c r="F62" s="8"/>
      <c r="G62" s="24">
        <v>1211</v>
      </c>
      <c r="H62" s="8"/>
      <c r="I62" s="24">
        <v>1218</v>
      </c>
      <c r="J62" s="8"/>
      <c r="K62" s="24">
        <v>1242</v>
      </c>
      <c r="L62" s="8"/>
      <c r="M62" s="24">
        <v>1247</v>
      </c>
      <c r="N62" s="8"/>
      <c r="O62" s="24">
        <v>1272</v>
      </c>
      <c r="P62" s="8"/>
      <c r="Q62" s="24">
        <v>1291</v>
      </c>
      <c r="R62" s="8"/>
      <c r="S62" s="24">
        <v>1308</v>
      </c>
      <c r="T62" s="8"/>
      <c r="U62" s="24">
        <v>1313</v>
      </c>
      <c r="V62" s="8"/>
      <c r="W62" s="24">
        <v>1352</v>
      </c>
      <c r="X62" s="8"/>
      <c r="Y62" s="24">
        <v>1367</v>
      </c>
      <c r="Z62" s="8"/>
      <c r="AA62" s="24">
        <v>1417</v>
      </c>
      <c r="AB62" s="8"/>
      <c r="AC62" s="8"/>
      <c r="AE62" s="8"/>
      <c r="AG62" s="8"/>
    </row>
    <row r="63" ht="12" customHeight="1">
      <c r="A63" s="8" t="s">
        <v>187</v>
      </c>
      <c r="B63" s="8" t="s">
        <v>899</v>
      </c>
      <c r="C63" s="24">
        <v>1354</v>
      </c>
      <c r="D63" s="8"/>
      <c r="E63" s="24">
        <v>1385</v>
      </c>
      <c r="F63" s="8"/>
      <c r="G63" s="24">
        <v>1437</v>
      </c>
      <c r="H63" s="8"/>
      <c r="I63" s="24">
        <v>1495</v>
      </c>
      <c r="J63" s="8"/>
      <c r="K63" s="24">
        <v>1556</v>
      </c>
      <c r="L63" s="8"/>
      <c r="M63" s="24">
        <v>1624</v>
      </c>
      <c r="N63" s="8"/>
      <c r="O63" s="24">
        <v>1686</v>
      </c>
      <c r="P63" s="8"/>
      <c r="Q63" s="24">
        <v>1732</v>
      </c>
      <c r="R63" s="8"/>
      <c r="S63" s="24">
        <v>1770</v>
      </c>
      <c r="T63" s="8"/>
      <c r="U63" s="24">
        <v>1794</v>
      </c>
      <c r="V63" s="8"/>
      <c r="W63" s="24">
        <v>1813</v>
      </c>
      <c r="X63" s="8"/>
      <c r="Y63" s="24">
        <v>1824</v>
      </c>
      <c r="Z63" s="8"/>
      <c r="AA63" s="24">
        <v>1830</v>
      </c>
      <c r="AB63" s="8"/>
      <c r="AC63" s="8"/>
      <c r="AE63" s="8"/>
      <c r="AG63" s="8"/>
    </row>
    <row r="64" ht="12" customHeight="1">
      <c r="A64" s="8" t="s">
        <v>189</v>
      </c>
      <c r="B64" s="8" t="s">
        <v>900</v>
      </c>
      <c r="C64" s="24">
        <v>714</v>
      </c>
      <c r="D64" s="8"/>
      <c r="E64" s="24">
        <v>705</v>
      </c>
      <c r="F64" s="8"/>
      <c r="G64" s="24">
        <v>705</v>
      </c>
      <c r="H64" s="8"/>
      <c r="I64" s="24">
        <v>705</v>
      </c>
      <c r="J64" s="8"/>
      <c r="K64" s="24">
        <v>705</v>
      </c>
      <c r="L64" s="8"/>
      <c r="M64" s="24">
        <v>705</v>
      </c>
      <c r="N64" s="8"/>
      <c r="O64" s="24">
        <v>705</v>
      </c>
      <c r="P64" s="8"/>
      <c r="Q64" s="24">
        <v>686</v>
      </c>
      <c r="R64" s="8"/>
      <c r="S64" s="24">
        <v>676</v>
      </c>
      <c r="T64" s="8"/>
      <c r="U64" s="24">
        <v>676</v>
      </c>
      <c r="V64" s="8"/>
      <c r="W64" s="24">
        <v>671</v>
      </c>
      <c r="X64" s="8"/>
      <c r="Y64" s="24">
        <v>671</v>
      </c>
      <c r="Z64" s="8"/>
      <c r="AA64" s="24">
        <v>671</v>
      </c>
      <c r="AB64" s="8"/>
      <c r="AC64" s="8"/>
      <c r="AE64" s="8"/>
      <c r="AG64" s="8"/>
    </row>
    <row r="65" ht="12" customHeight="1">
      <c r="A65" s="8" t="s">
        <v>191</v>
      </c>
      <c r="B65" s="8" t="s">
        <v>901</v>
      </c>
      <c r="C65" s="24">
        <v>1335</v>
      </c>
      <c r="D65" s="8"/>
      <c r="E65" s="24">
        <v>1347</v>
      </c>
      <c r="F65" s="8"/>
      <c r="G65" s="24">
        <v>1359</v>
      </c>
      <c r="H65" s="8"/>
      <c r="I65" s="24">
        <v>1376</v>
      </c>
      <c r="J65" s="8"/>
      <c r="K65" s="24">
        <v>1385</v>
      </c>
      <c r="L65" s="8"/>
      <c r="M65" s="24">
        <v>1394</v>
      </c>
      <c r="N65" s="8"/>
      <c r="O65" s="24">
        <v>1416</v>
      </c>
      <c r="P65" s="8"/>
      <c r="Q65" s="24">
        <v>1421</v>
      </c>
      <c r="R65" s="8"/>
      <c r="S65" s="24">
        <v>1431</v>
      </c>
      <c r="T65" s="8"/>
      <c r="U65" s="24">
        <v>1439</v>
      </c>
      <c r="V65" s="8"/>
      <c r="W65" s="24">
        <v>1458</v>
      </c>
      <c r="X65" s="8"/>
      <c r="Y65" s="24">
        <v>1453</v>
      </c>
      <c r="Z65" s="8"/>
      <c r="AA65" s="24">
        <v>1454</v>
      </c>
      <c r="AB65" s="8"/>
      <c r="AC65" s="8"/>
      <c r="AE65" s="8"/>
      <c r="AG65" s="8"/>
    </row>
    <row r="66" ht="12" customHeight="1">
      <c r="A66" s="11" t="s">
        <v>193</v>
      </c>
      <c r="B66" s="8" t="s">
        <v>902</v>
      </c>
      <c r="C66" s="24">
        <v>1458</v>
      </c>
      <c r="D66" s="8"/>
      <c r="E66" s="24">
        <v>1558</v>
      </c>
      <c r="F66" s="8"/>
      <c r="G66" s="24">
        <v>1610</v>
      </c>
      <c r="H66" s="8"/>
      <c r="I66" s="24">
        <v>1744</v>
      </c>
      <c r="J66" s="8"/>
      <c r="K66" s="24">
        <v>1913</v>
      </c>
      <c r="L66" s="8"/>
      <c r="M66" s="24">
        <v>1999</v>
      </c>
      <c r="N66" s="8"/>
      <c r="O66" s="24">
        <v>2041</v>
      </c>
      <c r="P66" s="8"/>
      <c r="Q66" s="24">
        <v>2061</v>
      </c>
      <c r="R66" s="8"/>
      <c r="S66" s="24">
        <v>2049</v>
      </c>
      <c r="T66" s="8"/>
      <c r="U66" s="24">
        <v>2009</v>
      </c>
      <c r="V66" s="8"/>
      <c r="W66" s="24">
        <v>1885</v>
      </c>
      <c r="X66" s="8"/>
      <c r="Y66" s="24">
        <v>1768</v>
      </c>
      <c r="Z66" s="8"/>
      <c r="AA66" s="24">
        <v>1697</v>
      </c>
      <c r="AB66" s="8"/>
      <c r="AC66" s="8"/>
      <c r="AE66" s="8"/>
      <c r="AG66" s="8"/>
    </row>
    <row r="67" ht="12" customHeight="1">
      <c r="A67" s="8" t="s">
        <v>195</v>
      </c>
      <c r="B67" s="8" t="s">
        <v>903</v>
      </c>
      <c r="C67" s="24">
        <v>1458</v>
      </c>
      <c r="D67" s="8"/>
      <c r="E67" s="24">
        <v>1558</v>
      </c>
      <c r="F67" s="8"/>
      <c r="G67" s="24">
        <v>1610</v>
      </c>
      <c r="H67" s="8"/>
      <c r="I67" s="24">
        <v>1744</v>
      </c>
      <c r="J67" s="8"/>
      <c r="K67" s="24">
        <v>1913</v>
      </c>
      <c r="L67" s="8"/>
      <c r="M67" s="24">
        <v>1999</v>
      </c>
      <c r="N67" s="8"/>
      <c r="O67" s="24">
        <v>2041</v>
      </c>
      <c r="P67" s="8"/>
      <c r="Q67" s="24">
        <v>2061</v>
      </c>
      <c r="R67" s="8"/>
      <c r="S67" s="24">
        <v>2049</v>
      </c>
      <c r="T67" s="8"/>
      <c r="U67" s="24">
        <v>2009</v>
      </c>
      <c r="V67" s="8"/>
      <c r="W67" s="24">
        <v>1885</v>
      </c>
      <c r="X67" s="8"/>
      <c r="Y67" s="24">
        <v>1768</v>
      </c>
      <c r="Z67" s="8"/>
      <c r="AA67" s="24">
        <v>1697</v>
      </c>
      <c r="AB67" s="8"/>
      <c r="AC67" s="8"/>
      <c r="AE67" s="8"/>
      <c r="AG67" s="8"/>
    </row>
    <row r="68" ht="12" customHeight="1">
      <c r="A68" s="13" t="s">
        <v>69</v>
      </c>
      <c r="B68" s="10" t="s">
        <v>62</v>
      </c>
      <c r="C68" s="25">
        <v>1229</v>
      </c>
      <c r="D68" s="10"/>
      <c r="E68" s="25">
        <v>1251</v>
      </c>
      <c r="F68" s="10"/>
      <c r="G68" s="25">
        <v>1267</v>
      </c>
      <c r="H68" s="10"/>
      <c r="I68" s="25">
        <v>1300</v>
      </c>
      <c r="J68" s="10"/>
      <c r="K68" s="25">
        <v>1316</v>
      </c>
      <c r="L68" s="10"/>
      <c r="M68" s="25">
        <v>1328</v>
      </c>
      <c r="N68" s="10"/>
      <c r="O68" s="25">
        <v>1335</v>
      </c>
      <c r="P68" s="10"/>
      <c r="Q68" s="25">
        <v>1348</v>
      </c>
      <c r="R68" s="10"/>
      <c r="S68" s="25">
        <v>1353</v>
      </c>
      <c r="T68" s="10"/>
      <c r="U68" s="25">
        <v>1366</v>
      </c>
      <c r="V68" s="10"/>
      <c r="W68" s="25">
        <v>1368</v>
      </c>
      <c r="X68" s="10"/>
      <c r="Y68" s="25">
        <v>1377</v>
      </c>
      <c r="Z68" s="10"/>
      <c r="AA68" s="25">
        <v>1380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904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843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844</v>
      </c>
      <c r="C8" s="22">
        <v>2.1000000000000001</v>
      </c>
      <c r="D8" s="22"/>
      <c r="E8" s="22">
        <v>3.8999999999999999</v>
      </c>
      <c r="F8" s="22"/>
      <c r="G8" s="22">
        <v>2</v>
      </c>
      <c r="H8" s="22"/>
      <c r="I8" s="22">
        <v>0.69999999999999996</v>
      </c>
      <c r="J8" s="22"/>
      <c r="K8" s="22">
        <v>-1</v>
      </c>
      <c r="L8" s="22"/>
      <c r="M8" s="22">
        <v>0.29999999999999999</v>
      </c>
      <c r="N8" s="22"/>
      <c r="O8" s="22">
        <v>-0.10000000000000001</v>
      </c>
      <c r="P8" s="22"/>
      <c r="Q8" s="22">
        <v>1.3</v>
      </c>
      <c r="R8" s="22"/>
      <c r="S8" s="22">
        <v>-0.5</v>
      </c>
      <c r="T8" s="22"/>
      <c r="U8" s="22">
        <v>1.8</v>
      </c>
      <c r="V8" s="22"/>
      <c r="W8" s="22">
        <v>1.6000000000000001</v>
      </c>
      <c r="X8" s="22"/>
      <c r="Y8" s="22">
        <v>1.8</v>
      </c>
      <c r="Z8" s="22"/>
      <c r="AA8" s="22">
        <v>-0.90000000000000002</v>
      </c>
      <c r="AB8" s="18"/>
      <c r="AC8" s="18"/>
    </row>
    <row r="9" ht="12" customHeight="1">
      <c r="A9" s="8" t="s">
        <v>79</v>
      </c>
      <c r="B9" s="8" t="s">
        <v>845</v>
      </c>
      <c r="C9" s="26">
        <v>-2.8999999999999999</v>
      </c>
      <c r="D9" s="8"/>
      <c r="E9" s="26">
        <v>9.0999999999999996</v>
      </c>
      <c r="F9" s="8"/>
      <c r="G9" s="26">
        <v>-1</v>
      </c>
      <c r="H9" s="8"/>
      <c r="I9" s="26">
        <v>0.5</v>
      </c>
      <c r="J9" s="8"/>
      <c r="K9" s="26">
        <v>-4.7000000000000002</v>
      </c>
      <c r="L9" s="8"/>
      <c r="M9" s="26">
        <v>-2.5</v>
      </c>
      <c r="N9" s="8"/>
      <c r="O9" s="26">
        <v>-7.4000000000000004</v>
      </c>
      <c r="P9" s="8"/>
      <c r="Q9" s="26">
        <v>4.5999999999999996</v>
      </c>
      <c r="R9" s="8"/>
      <c r="S9" s="26">
        <v>-3.2999999999999998</v>
      </c>
      <c r="T9" s="8"/>
      <c r="U9" s="26">
        <v>1.5</v>
      </c>
      <c r="V9" s="8"/>
      <c r="W9" s="26">
        <v>3</v>
      </c>
      <c r="X9" s="8"/>
      <c r="Y9" s="26">
        <v>8.4000000000000004</v>
      </c>
      <c r="Z9" s="8"/>
      <c r="AA9" s="26">
        <v>-8.3000000000000007</v>
      </c>
      <c r="AB9" s="8"/>
      <c r="AC9" s="8"/>
    </row>
    <row r="10" ht="12" customHeight="1">
      <c r="A10" s="8" t="s">
        <v>81</v>
      </c>
      <c r="B10" s="8" t="s">
        <v>846</v>
      </c>
      <c r="C10" s="26">
        <v>4.0999999999999996</v>
      </c>
      <c r="D10" s="8"/>
      <c r="E10" s="26">
        <v>1.6000000000000001</v>
      </c>
      <c r="F10" s="8"/>
      <c r="G10" s="26">
        <v>1.7</v>
      </c>
      <c r="H10" s="8"/>
      <c r="I10" s="26">
        <v>0.20000000000000001</v>
      </c>
      <c r="J10" s="8"/>
      <c r="K10" s="26">
        <v>-1</v>
      </c>
      <c r="L10" s="8"/>
      <c r="M10" s="26">
        <v>-0.40000000000000002</v>
      </c>
      <c r="N10" s="8"/>
      <c r="O10" s="26">
        <v>0.29999999999999999</v>
      </c>
      <c r="P10" s="8"/>
      <c r="Q10" s="26">
        <v>1</v>
      </c>
      <c r="R10" s="8"/>
      <c r="S10" s="26">
        <v>0.59999999999999998</v>
      </c>
      <c r="T10" s="8"/>
      <c r="U10" s="26">
        <v>1.5</v>
      </c>
      <c r="V10" s="8"/>
      <c r="W10" s="26">
        <v>1.3</v>
      </c>
      <c r="X10" s="8"/>
      <c r="Y10" s="26">
        <v>3.5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847</v>
      </c>
      <c r="C11" s="26">
        <v>3.2999999999999998</v>
      </c>
      <c r="D11" s="8"/>
      <c r="E11" s="26">
        <v>4.2999999999999998</v>
      </c>
      <c r="F11" s="8"/>
      <c r="G11" s="26">
        <v>2.7000000000000002</v>
      </c>
      <c r="H11" s="8"/>
      <c r="I11" s="26">
        <v>0.20000000000000001</v>
      </c>
      <c r="J11" s="8"/>
      <c r="K11" s="26">
        <v>-0.80000000000000004</v>
      </c>
      <c r="L11" s="8"/>
      <c r="M11" s="26">
        <v>1.2</v>
      </c>
      <c r="N11" s="8"/>
      <c r="O11" s="26">
        <v>1.1000000000000001</v>
      </c>
      <c r="P11" s="8"/>
      <c r="Q11" s="26">
        <v>0.80000000000000004</v>
      </c>
      <c r="R11" s="8"/>
      <c r="S11" s="26">
        <v>-0.5</v>
      </c>
      <c r="T11" s="8"/>
      <c r="U11" s="26">
        <v>2.8999999999999999</v>
      </c>
      <c r="V11" s="8"/>
      <c r="W11" s="26">
        <v>1.5</v>
      </c>
      <c r="X11" s="8"/>
      <c r="Y11" s="26">
        <v>0.40000000000000002</v>
      </c>
      <c r="Z11" s="8"/>
      <c r="AA11" s="26">
        <v>-0.40000000000000002</v>
      </c>
      <c r="AB11" s="8"/>
      <c r="AC11" s="8"/>
    </row>
    <row r="12" ht="12" customHeight="1">
      <c r="A12" s="8" t="s">
        <v>85</v>
      </c>
      <c r="B12" s="8" t="s">
        <v>848</v>
      </c>
      <c r="C12" s="26">
        <v>3</v>
      </c>
      <c r="D12" s="8"/>
      <c r="E12" s="26">
        <v>2.3999999999999999</v>
      </c>
      <c r="F12" s="8"/>
      <c r="G12" s="26">
        <v>2.6000000000000001</v>
      </c>
      <c r="H12" s="8"/>
      <c r="I12" s="26">
        <v>0.90000000000000002</v>
      </c>
      <c r="J12" s="8"/>
      <c r="K12" s="26">
        <v>-0.10000000000000001</v>
      </c>
      <c r="L12" s="8"/>
      <c r="M12" s="26">
        <v>1</v>
      </c>
      <c r="N12" s="8"/>
      <c r="O12" s="26">
        <v>2.2999999999999998</v>
      </c>
      <c r="P12" s="8"/>
      <c r="Q12" s="26">
        <v>0.80000000000000004</v>
      </c>
      <c r="R12" s="8"/>
      <c r="S12" s="26">
        <v>0</v>
      </c>
      <c r="T12" s="8"/>
      <c r="U12" s="26">
        <v>2.2999999999999998</v>
      </c>
      <c r="V12" s="8"/>
      <c r="W12" s="26">
        <v>2.6000000000000001</v>
      </c>
      <c r="X12" s="8"/>
      <c r="Y12" s="26">
        <v>-0.80000000000000004</v>
      </c>
      <c r="Z12" s="8"/>
      <c r="AA12" s="26">
        <v>0.5</v>
      </c>
      <c r="AB12" s="8"/>
      <c r="AC12" s="8"/>
    </row>
    <row r="13" ht="12" customHeight="1">
      <c r="A13" s="8" t="s">
        <v>87</v>
      </c>
      <c r="B13" s="8" t="s">
        <v>849</v>
      </c>
      <c r="C13" s="26">
        <v>2.2999999999999998</v>
      </c>
      <c r="D13" s="8"/>
      <c r="E13" s="26">
        <v>1.8999999999999999</v>
      </c>
      <c r="F13" s="8"/>
      <c r="G13" s="26">
        <v>2.8999999999999999</v>
      </c>
      <c r="H13" s="8"/>
      <c r="I13" s="26">
        <v>1.6000000000000001</v>
      </c>
      <c r="J13" s="8"/>
      <c r="K13" s="26">
        <v>0.80000000000000004</v>
      </c>
      <c r="L13" s="8"/>
      <c r="M13" s="26">
        <v>0.90000000000000002</v>
      </c>
      <c r="N13" s="8"/>
      <c r="O13" s="26">
        <v>1.3</v>
      </c>
      <c r="P13" s="8"/>
      <c r="Q13" s="26">
        <v>0.5</v>
      </c>
      <c r="R13" s="8"/>
      <c r="S13" s="26">
        <v>0.40000000000000002</v>
      </c>
      <c r="T13" s="8"/>
      <c r="U13" s="26">
        <v>0.29999999999999999</v>
      </c>
      <c r="V13" s="8"/>
      <c r="W13" s="26">
        <v>0.90000000000000002</v>
      </c>
      <c r="X13" s="8"/>
      <c r="Y13" s="26">
        <v>0.69999999999999996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850</v>
      </c>
      <c r="C14" s="26">
        <v>0.59999999999999998</v>
      </c>
      <c r="D14" s="8"/>
      <c r="E14" s="26">
        <v>4.5999999999999996</v>
      </c>
      <c r="F14" s="8"/>
      <c r="G14" s="26">
        <v>1</v>
      </c>
      <c r="H14" s="8"/>
      <c r="I14" s="26">
        <v>1.2</v>
      </c>
      <c r="J14" s="8"/>
      <c r="K14" s="26">
        <v>1.5</v>
      </c>
      <c r="L14" s="8"/>
      <c r="M14" s="26">
        <v>3.7999999999999998</v>
      </c>
      <c r="N14" s="8"/>
      <c r="O14" s="26">
        <v>0.80000000000000004</v>
      </c>
      <c r="P14" s="8"/>
      <c r="Q14" s="26">
        <v>0.5</v>
      </c>
      <c r="R14" s="8"/>
      <c r="S14" s="26">
        <v>0.10000000000000001</v>
      </c>
      <c r="T14" s="8"/>
      <c r="U14" s="26">
        <v>2.1000000000000001</v>
      </c>
      <c r="V14" s="8"/>
      <c r="W14" s="26">
        <v>-0.10000000000000001</v>
      </c>
      <c r="X14" s="8"/>
      <c r="Y14" s="26">
        <v>0.29999999999999999</v>
      </c>
      <c r="Z14" s="8"/>
      <c r="AA14" s="26">
        <v>0.20000000000000001</v>
      </c>
      <c r="AB14" s="8"/>
      <c r="AC14" s="8"/>
    </row>
    <row r="15" ht="12" customHeight="1">
      <c r="A15" s="8" t="s">
        <v>91</v>
      </c>
      <c r="B15" s="8" t="s">
        <v>851</v>
      </c>
      <c r="C15" s="26">
        <v>0.5</v>
      </c>
      <c r="D15" s="8"/>
      <c r="E15" s="26">
        <v>1.6000000000000001</v>
      </c>
      <c r="F15" s="8"/>
      <c r="G15" s="26">
        <v>1.8999999999999999</v>
      </c>
      <c r="H15" s="8"/>
      <c r="I15" s="26">
        <v>1.8999999999999999</v>
      </c>
      <c r="J15" s="8"/>
      <c r="K15" s="26">
        <v>-0.10000000000000001</v>
      </c>
      <c r="L15" s="8"/>
      <c r="M15" s="26">
        <v>1.1000000000000001</v>
      </c>
      <c r="N15" s="8"/>
      <c r="O15" s="26">
        <v>1.6000000000000001</v>
      </c>
      <c r="P15" s="8"/>
      <c r="Q15" s="26">
        <v>0.59999999999999998</v>
      </c>
      <c r="R15" s="8"/>
      <c r="S15" s="26">
        <v>-0.59999999999999998</v>
      </c>
      <c r="T15" s="8"/>
      <c r="U15" s="26">
        <v>0.90000000000000002</v>
      </c>
      <c r="V15" s="8"/>
      <c r="W15" s="26">
        <v>-0.40000000000000002</v>
      </c>
      <c r="X15" s="8"/>
      <c r="Y15" s="26">
        <v>0.59999999999999998</v>
      </c>
      <c r="Z15" s="8"/>
      <c r="AA15" s="26">
        <v>-0.80000000000000004</v>
      </c>
      <c r="AB15" s="8"/>
      <c r="AC15" s="8"/>
    </row>
    <row r="16" ht="12" customHeight="1">
      <c r="A16" s="8" t="s">
        <v>93</v>
      </c>
      <c r="B16" s="8" t="s">
        <v>852</v>
      </c>
      <c r="C16" s="26">
        <v>0.69999999999999996</v>
      </c>
      <c r="D16" s="8"/>
      <c r="E16" s="26">
        <v>7.5999999999999996</v>
      </c>
      <c r="F16" s="8"/>
      <c r="G16" s="26">
        <v>0.10000000000000001</v>
      </c>
      <c r="H16" s="8"/>
      <c r="I16" s="26">
        <v>0.59999999999999998</v>
      </c>
      <c r="J16" s="8"/>
      <c r="K16" s="26">
        <v>3</v>
      </c>
      <c r="L16" s="8"/>
      <c r="M16" s="26">
        <v>6.5999999999999996</v>
      </c>
      <c r="N16" s="8"/>
      <c r="O16" s="26">
        <v>0</v>
      </c>
      <c r="P16" s="8"/>
      <c r="Q16" s="26">
        <v>0.29999999999999999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853</v>
      </c>
      <c r="C17" s="26">
        <v>1.3999999999999999</v>
      </c>
      <c r="D17" s="8"/>
      <c r="E17" s="26">
        <v>-0.20000000000000001</v>
      </c>
      <c r="F17" s="8"/>
      <c r="G17" s="26">
        <v>3</v>
      </c>
      <c r="H17" s="8"/>
      <c r="I17" s="26">
        <v>0</v>
      </c>
      <c r="J17" s="8"/>
      <c r="K17" s="26">
        <v>0.59999999999999998</v>
      </c>
      <c r="L17" s="8"/>
      <c r="M17" s="26">
        <v>0</v>
      </c>
      <c r="N17" s="8"/>
      <c r="O17" s="26">
        <v>0</v>
      </c>
      <c r="P17" s="8"/>
      <c r="Q17" s="26">
        <v>-0.20000000000000001</v>
      </c>
      <c r="R17" s="8"/>
      <c r="S17" s="26">
        <v>-0.80000000000000004</v>
      </c>
      <c r="T17" s="8"/>
      <c r="U17" s="26">
        <v>0.10000000000000001</v>
      </c>
      <c r="V17" s="8"/>
      <c r="W17" s="26">
        <v>0.10000000000000001</v>
      </c>
      <c r="X17" s="8"/>
      <c r="Y17" s="26">
        <v>0.59999999999999998</v>
      </c>
      <c r="Z17" s="8"/>
      <c r="AA17" s="26">
        <v>0.80000000000000004</v>
      </c>
      <c r="AB17" s="8"/>
      <c r="AC17" s="8"/>
    </row>
    <row r="18" ht="12" customHeight="1">
      <c r="A18" s="8" t="s">
        <v>97</v>
      </c>
      <c r="B18" s="8" t="s">
        <v>854</v>
      </c>
      <c r="C18" s="26">
        <v>1.3999999999999999</v>
      </c>
      <c r="D18" s="8"/>
      <c r="E18" s="26">
        <v>-0.40000000000000002</v>
      </c>
      <c r="F18" s="8"/>
      <c r="G18" s="26">
        <v>3.3999999999999999</v>
      </c>
      <c r="H18" s="8"/>
      <c r="I18" s="26">
        <v>0.10000000000000001</v>
      </c>
      <c r="J18" s="8"/>
      <c r="K18" s="26">
        <v>0.80000000000000004</v>
      </c>
      <c r="L18" s="8"/>
      <c r="M18" s="26">
        <v>0</v>
      </c>
      <c r="N18" s="8"/>
      <c r="O18" s="26">
        <v>-0.29999999999999999</v>
      </c>
      <c r="P18" s="8"/>
      <c r="Q18" s="26">
        <v>0</v>
      </c>
      <c r="R18" s="8"/>
      <c r="S18" s="26">
        <v>-1</v>
      </c>
      <c r="T18" s="8"/>
      <c r="U18" s="26">
        <v>-0.29999999999999999</v>
      </c>
      <c r="V18" s="8"/>
      <c r="W18" s="26">
        <v>0.59999999999999998</v>
      </c>
      <c r="X18" s="8"/>
      <c r="Y18" s="26">
        <v>0.29999999999999999</v>
      </c>
      <c r="Z18" s="8"/>
      <c r="AA18" s="26">
        <v>1.2</v>
      </c>
      <c r="AB18" s="8"/>
      <c r="AC18" s="8"/>
    </row>
    <row r="19" ht="12" customHeight="1">
      <c r="A19" s="8" t="s">
        <v>99</v>
      </c>
      <c r="B19" s="8" t="s">
        <v>855</v>
      </c>
      <c r="C19" s="26">
        <v>1.2</v>
      </c>
      <c r="D19" s="8"/>
      <c r="E19" s="26">
        <v>1</v>
      </c>
      <c r="F19" s="8"/>
      <c r="G19" s="26">
        <v>1.3999999999999999</v>
      </c>
      <c r="H19" s="8"/>
      <c r="I19" s="26">
        <v>-1</v>
      </c>
      <c r="J19" s="8"/>
      <c r="K19" s="26">
        <v>-0.10000000000000001</v>
      </c>
      <c r="L19" s="8"/>
      <c r="M19" s="26">
        <v>-0.10000000000000001</v>
      </c>
      <c r="N19" s="8"/>
      <c r="O19" s="26">
        <v>1.3</v>
      </c>
      <c r="P19" s="8"/>
      <c r="Q19" s="26">
        <v>-0.5</v>
      </c>
      <c r="R19" s="8"/>
      <c r="S19" s="26">
        <v>-0.5</v>
      </c>
      <c r="T19" s="8"/>
      <c r="U19" s="26">
        <v>1.8999999999999999</v>
      </c>
      <c r="V19" s="8"/>
      <c r="W19" s="26">
        <v>-2.6000000000000001</v>
      </c>
      <c r="X19" s="8"/>
      <c r="Y19" s="26">
        <v>1.7</v>
      </c>
      <c r="Z19" s="8"/>
      <c r="AA19" s="26">
        <v>-0.40000000000000002</v>
      </c>
      <c r="AB19" s="8"/>
      <c r="AC19" s="8"/>
    </row>
    <row r="20" ht="12" customHeight="1">
      <c r="A20" s="11" t="s">
        <v>101</v>
      </c>
      <c r="B20" s="8" t="s">
        <v>856</v>
      </c>
      <c r="C20" s="26">
        <v>0.90000000000000002</v>
      </c>
      <c r="D20" s="8"/>
      <c r="E20" s="26">
        <v>1.1000000000000001</v>
      </c>
      <c r="F20" s="8"/>
      <c r="G20" s="26">
        <v>1.5</v>
      </c>
      <c r="H20" s="8"/>
      <c r="I20" s="26">
        <v>2.2999999999999998</v>
      </c>
      <c r="J20" s="8"/>
      <c r="K20" s="26">
        <v>1</v>
      </c>
      <c r="L20" s="8"/>
      <c r="M20" s="26">
        <v>0.80000000000000004</v>
      </c>
      <c r="N20" s="8"/>
      <c r="O20" s="26">
        <v>1.3</v>
      </c>
      <c r="P20" s="8"/>
      <c r="Q20" s="26">
        <v>3</v>
      </c>
      <c r="R20" s="8"/>
      <c r="S20" s="26">
        <v>0.59999999999999998</v>
      </c>
      <c r="T20" s="8"/>
      <c r="U20" s="26">
        <v>0.80000000000000004</v>
      </c>
      <c r="V20" s="8"/>
      <c r="W20" s="26">
        <v>1.2</v>
      </c>
      <c r="X20" s="8"/>
      <c r="Y20" s="26">
        <v>2</v>
      </c>
      <c r="Z20" s="8"/>
      <c r="AA20" s="26">
        <v>0.29999999999999999</v>
      </c>
      <c r="AB20" s="8"/>
      <c r="AC20" s="8"/>
    </row>
    <row r="21" ht="12" customHeight="1">
      <c r="A21" s="8" t="s">
        <v>103</v>
      </c>
      <c r="B21" s="8" t="s">
        <v>857</v>
      </c>
      <c r="C21" s="26">
        <v>1.1000000000000001</v>
      </c>
      <c r="D21" s="8"/>
      <c r="E21" s="26">
        <v>1.2</v>
      </c>
      <c r="F21" s="8"/>
      <c r="G21" s="26">
        <v>1.3999999999999999</v>
      </c>
      <c r="H21" s="8"/>
      <c r="I21" s="26">
        <v>1.3</v>
      </c>
      <c r="J21" s="8"/>
      <c r="K21" s="26">
        <v>1.2</v>
      </c>
      <c r="L21" s="8"/>
      <c r="M21" s="26">
        <v>1.3</v>
      </c>
      <c r="N21" s="8"/>
      <c r="O21" s="26">
        <v>1.2</v>
      </c>
      <c r="P21" s="8"/>
      <c r="Q21" s="26">
        <v>1</v>
      </c>
      <c r="R21" s="8"/>
      <c r="S21" s="26">
        <v>0.90000000000000002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858</v>
      </c>
      <c r="C22" s="26">
        <v>1.1000000000000001</v>
      </c>
      <c r="D22" s="8"/>
      <c r="E22" s="26">
        <v>1.2</v>
      </c>
      <c r="F22" s="8"/>
      <c r="G22" s="26">
        <v>1.3999999999999999</v>
      </c>
      <c r="H22" s="8"/>
      <c r="I22" s="26">
        <v>1.3</v>
      </c>
      <c r="J22" s="8"/>
      <c r="K22" s="26">
        <v>1.2</v>
      </c>
      <c r="L22" s="8"/>
      <c r="M22" s="26">
        <v>1.3</v>
      </c>
      <c r="N22" s="8"/>
      <c r="O22" s="26">
        <v>1.2</v>
      </c>
      <c r="P22" s="8"/>
      <c r="Q22" s="26">
        <v>1</v>
      </c>
      <c r="R22" s="8"/>
      <c r="S22" s="26">
        <v>0.90000000000000002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859</v>
      </c>
      <c r="C23" s="26">
        <v>1.2</v>
      </c>
      <c r="D23" s="8"/>
      <c r="E23" s="26">
        <v>-0.20000000000000001</v>
      </c>
      <c r="F23" s="8"/>
      <c r="G23" s="26">
        <v>2.1000000000000001</v>
      </c>
      <c r="H23" s="8"/>
      <c r="I23" s="26">
        <v>0.80000000000000004</v>
      </c>
      <c r="J23" s="8"/>
      <c r="K23" s="26">
        <v>0.29999999999999999</v>
      </c>
      <c r="L23" s="8"/>
      <c r="M23" s="26">
        <v>0.10000000000000001</v>
      </c>
      <c r="N23" s="8"/>
      <c r="O23" s="26">
        <v>1.3999999999999999</v>
      </c>
      <c r="P23" s="8"/>
      <c r="Q23" s="26">
        <v>1.2</v>
      </c>
      <c r="R23" s="8"/>
      <c r="S23" s="26">
        <v>-0.29999999999999999</v>
      </c>
      <c r="T23" s="8"/>
      <c r="U23" s="26">
        <v>0.40000000000000002</v>
      </c>
      <c r="V23" s="8"/>
      <c r="W23" s="26">
        <v>0.29999999999999999</v>
      </c>
      <c r="X23" s="8"/>
      <c r="Y23" s="26">
        <v>0.69999999999999996</v>
      </c>
      <c r="Z23" s="8"/>
      <c r="AA23" s="26">
        <v>0.69999999999999996</v>
      </c>
      <c r="AB23" s="8"/>
      <c r="AC23" s="8"/>
    </row>
    <row r="24" ht="12" customHeight="1">
      <c r="A24" s="8" t="s">
        <v>109</v>
      </c>
      <c r="B24" s="8" t="s">
        <v>860</v>
      </c>
      <c r="C24" s="26">
        <v>0</v>
      </c>
      <c r="D24" s="8"/>
      <c r="E24" s="26">
        <v>0</v>
      </c>
      <c r="F24" s="8"/>
      <c r="G24" s="26">
        <v>0.10000000000000001</v>
      </c>
      <c r="H24" s="8"/>
      <c r="I24" s="26">
        <v>9.5</v>
      </c>
      <c r="J24" s="8"/>
      <c r="K24" s="26">
        <v>0.10000000000000001</v>
      </c>
      <c r="L24" s="8"/>
      <c r="M24" s="26">
        <v>0</v>
      </c>
      <c r="N24" s="8"/>
      <c r="O24" s="26">
        <v>0.10000000000000001</v>
      </c>
      <c r="P24" s="8"/>
      <c r="Q24" s="26">
        <v>11.9</v>
      </c>
      <c r="R24" s="8"/>
      <c r="S24" s="26">
        <v>0.10000000000000001</v>
      </c>
      <c r="T24" s="8"/>
      <c r="U24" s="26">
        <v>0</v>
      </c>
      <c r="V24" s="8"/>
      <c r="W24" s="26">
        <v>0</v>
      </c>
      <c r="X24" s="8"/>
      <c r="Y24" s="26">
        <v>8.1999999999999993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861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12.199999999999999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862</v>
      </c>
      <c r="C26" s="26">
        <v>1.1000000000000001</v>
      </c>
      <c r="D26" s="8"/>
      <c r="E26" s="26">
        <v>2.2000000000000002</v>
      </c>
      <c r="F26" s="8"/>
      <c r="G26" s="26">
        <v>2.7000000000000002</v>
      </c>
      <c r="H26" s="8"/>
      <c r="I26" s="26">
        <v>-1.2</v>
      </c>
      <c r="J26" s="8"/>
      <c r="K26" s="26">
        <v>1.8</v>
      </c>
      <c r="L26" s="8"/>
      <c r="M26" s="26">
        <v>0.29999999999999999</v>
      </c>
      <c r="N26" s="8"/>
      <c r="O26" s="26">
        <v>2.7999999999999998</v>
      </c>
      <c r="P26" s="8"/>
      <c r="Q26" s="26">
        <v>0.80000000000000004</v>
      </c>
      <c r="R26" s="8"/>
      <c r="S26" s="26">
        <v>0.80000000000000004</v>
      </c>
      <c r="T26" s="8"/>
      <c r="U26" s="26">
        <v>2.2999999999999998</v>
      </c>
      <c r="V26" s="8"/>
      <c r="W26" s="26">
        <v>4.7999999999999998</v>
      </c>
      <c r="X26" s="8"/>
      <c r="Y26" s="26">
        <v>2.8999999999999999</v>
      </c>
      <c r="Z26" s="8"/>
      <c r="AA26" s="26">
        <v>1.6000000000000001</v>
      </c>
      <c r="AB26" s="8"/>
      <c r="AC26" s="8"/>
    </row>
    <row r="27" ht="12" customHeight="1">
      <c r="A27" s="8" t="s">
        <v>115</v>
      </c>
      <c r="B27" s="8" t="s">
        <v>863</v>
      </c>
      <c r="C27" s="26">
        <v>0.90000000000000002</v>
      </c>
      <c r="D27" s="8"/>
      <c r="E27" s="26">
        <v>2.2999999999999998</v>
      </c>
      <c r="F27" s="8"/>
      <c r="G27" s="26">
        <v>2.6000000000000001</v>
      </c>
      <c r="H27" s="8"/>
      <c r="I27" s="26">
        <v>-1.7</v>
      </c>
      <c r="J27" s="8"/>
      <c r="K27" s="26">
        <v>1.8</v>
      </c>
      <c r="L27" s="8"/>
      <c r="M27" s="26">
        <v>0.40000000000000002</v>
      </c>
      <c r="N27" s="8"/>
      <c r="O27" s="26">
        <v>2.8999999999999999</v>
      </c>
      <c r="P27" s="8"/>
      <c r="Q27" s="26">
        <v>0.59999999999999998</v>
      </c>
      <c r="R27" s="8"/>
      <c r="S27" s="26">
        <v>0.5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864</v>
      </c>
      <c r="C28" s="26">
        <v>3.5</v>
      </c>
      <c r="D28" s="8"/>
      <c r="E28" s="26">
        <v>-0.80000000000000004</v>
      </c>
      <c r="F28" s="8"/>
      <c r="G28" s="26">
        <v>2.7999999999999998</v>
      </c>
      <c r="H28" s="8"/>
      <c r="I28" s="26">
        <v>-1.3</v>
      </c>
      <c r="J28" s="8"/>
      <c r="K28" s="26">
        <v>0.29999999999999999</v>
      </c>
      <c r="L28" s="8"/>
      <c r="M28" s="26">
        <v>-1.3999999999999999</v>
      </c>
      <c r="N28" s="8"/>
      <c r="O28" s="26">
        <v>0.10000000000000001</v>
      </c>
      <c r="P28" s="8"/>
      <c r="Q28" s="26">
        <v>0.40000000000000002</v>
      </c>
      <c r="R28" s="8"/>
      <c r="S28" s="26">
        <v>-0.40000000000000002</v>
      </c>
      <c r="T28" s="8"/>
      <c r="U28" s="26">
        <v>-0.5</v>
      </c>
      <c r="V28" s="8"/>
      <c r="W28" s="26">
        <v>0.29999999999999999</v>
      </c>
      <c r="X28" s="8"/>
      <c r="Y28" s="26">
        <v>-1</v>
      </c>
      <c r="Z28" s="8"/>
      <c r="AA28" s="26">
        <v>0.59999999999999998</v>
      </c>
      <c r="AB28" s="8"/>
      <c r="AC28" s="8"/>
    </row>
    <row r="29" ht="12" customHeight="1">
      <c r="A29" s="8" t="s">
        <v>119</v>
      </c>
      <c r="B29" s="8" t="s">
        <v>865</v>
      </c>
      <c r="C29" s="26">
        <v>5.7999999999999998</v>
      </c>
      <c r="D29" s="8"/>
      <c r="E29" s="26">
        <v>-3.6000000000000001</v>
      </c>
      <c r="F29" s="8"/>
      <c r="G29" s="26">
        <v>2.8999999999999999</v>
      </c>
      <c r="H29" s="8"/>
      <c r="I29" s="26">
        <v>-1.3999999999999999</v>
      </c>
      <c r="J29" s="8"/>
      <c r="K29" s="26">
        <v>-0.20000000000000001</v>
      </c>
      <c r="L29" s="8"/>
      <c r="M29" s="26">
        <v>-3.7999999999999998</v>
      </c>
      <c r="N29" s="8"/>
      <c r="O29" s="26">
        <v>-0.29999999999999999</v>
      </c>
      <c r="P29" s="8"/>
      <c r="Q29" s="26">
        <v>3.2999999999999998</v>
      </c>
      <c r="R29" s="8"/>
      <c r="S29" s="26">
        <v>-0.20000000000000001</v>
      </c>
      <c r="T29" s="8"/>
      <c r="U29" s="26">
        <v>-1</v>
      </c>
      <c r="V29" s="8"/>
      <c r="W29" s="26">
        <v>-1.3999999999999999</v>
      </c>
      <c r="X29" s="8"/>
      <c r="Y29" s="26">
        <v>-2.5</v>
      </c>
      <c r="Z29" s="8"/>
      <c r="AA29" s="26">
        <v>4.4000000000000004</v>
      </c>
      <c r="AB29" s="8"/>
      <c r="AC29" s="8"/>
    </row>
    <row r="30" ht="12" customHeight="1">
      <c r="A30" s="8" t="s">
        <v>121</v>
      </c>
      <c r="B30" s="8" t="s">
        <v>866</v>
      </c>
      <c r="C30" s="26">
        <v>2.2000000000000002</v>
      </c>
      <c r="D30" s="8"/>
      <c r="E30" s="26">
        <v>1.3999999999999999</v>
      </c>
      <c r="F30" s="8"/>
      <c r="G30" s="26">
        <v>0.10000000000000001</v>
      </c>
      <c r="H30" s="8"/>
      <c r="I30" s="26">
        <v>-3.2000000000000002</v>
      </c>
      <c r="J30" s="8"/>
      <c r="K30" s="26">
        <v>7.7000000000000002</v>
      </c>
      <c r="L30" s="8"/>
      <c r="M30" s="26">
        <v>-3.6000000000000001</v>
      </c>
      <c r="N30" s="8"/>
      <c r="O30" s="26">
        <v>10.1</v>
      </c>
      <c r="P30" s="8"/>
      <c r="Q30" s="26">
        <v>-4.9000000000000004</v>
      </c>
      <c r="R30" s="8"/>
      <c r="S30" s="26">
        <v>-7.2999999999999998</v>
      </c>
      <c r="T30" s="8"/>
      <c r="U30" s="26">
        <v>4.2999999999999998</v>
      </c>
      <c r="V30" s="8"/>
      <c r="W30" s="26">
        <v>3.7999999999999998</v>
      </c>
      <c r="X30" s="8"/>
      <c r="Y30" s="26">
        <v>-1.1000000000000001</v>
      </c>
      <c r="Z30" s="8"/>
      <c r="AA30" s="26">
        <v>-2</v>
      </c>
      <c r="AB30" s="8"/>
      <c r="AC30" s="8"/>
    </row>
    <row r="31" ht="12" customHeight="1">
      <c r="A31" s="8" t="s">
        <v>123</v>
      </c>
      <c r="B31" s="8" t="s">
        <v>867</v>
      </c>
      <c r="C31" s="26">
        <v>1.3999999999999999</v>
      </c>
      <c r="D31" s="8"/>
      <c r="E31" s="26">
        <v>-1.1000000000000001</v>
      </c>
      <c r="F31" s="8"/>
      <c r="G31" s="26">
        <v>3.6000000000000001</v>
      </c>
      <c r="H31" s="8"/>
      <c r="I31" s="26">
        <v>-1.8</v>
      </c>
      <c r="J31" s="8"/>
      <c r="K31" s="26">
        <v>-0.90000000000000002</v>
      </c>
      <c r="L31" s="8"/>
      <c r="M31" s="26">
        <v>-1.8</v>
      </c>
      <c r="N31" s="8"/>
      <c r="O31" s="26">
        <v>-0.40000000000000002</v>
      </c>
      <c r="P31" s="8"/>
      <c r="Q31" s="26">
        <v>-1.7</v>
      </c>
      <c r="R31" s="8"/>
      <c r="S31" s="26">
        <v>1.3</v>
      </c>
      <c r="T31" s="8"/>
      <c r="U31" s="26">
        <v>-1.6000000000000001</v>
      </c>
      <c r="V31" s="8"/>
      <c r="W31" s="26">
        <v>0.69999999999999996</v>
      </c>
      <c r="X31" s="8"/>
      <c r="Y31" s="26">
        <v>-0.59999999999999998</v>
      </c>
      <c r="Z31" s="8"/>
      <c r="AA31" s="26">
        <v>0</v>
      </c>
      <c r="AB31" s="8"/>
      <c r="AC31" s="8"/>
    </row>
    <row r="32" ht="12" customHeight="1">
      <c r="A32" s="8" t="s">
        <v>125</v>
      </c>
      <c r="B32" s="8" t="s">
        <v>868</v>
      </c>
      <c r="C32" s="26">
        <v>4.7999999999999998</v>
      </c>
      <c r="D32" s="8"/>
      <c r="E32" s="26">
        <v>-3.6000000000000001</v>
      </c>
      <c r="F32" s="8"/>
      <c r="G32" s="26">
        <v>2.7000000000000002</v>
      </c>
      <c r="H32" s="8"/>
      <c r="I32" s="26">
        <v>-1.3999999999999999</v>
      </c>
      <c r="J32" s="8"/>
      <c r="K32" s="26">
        <v>5.2999999999999998</v>
      </c>
      <c r="L32" s="8"/>
      <c r="M32" s="26">
        <v>3.2000000000000002</v>
      </c>
      <c r="N32" s="8"/>
      <c r="O32" s="26">
        <v>-1.8</v>
      </c>
      <c r="P32" s="8"/>
      <c r="Q32" s="26">
        <v>-3.3999999999999999</v>
      </c>
      <c r="R32" s="8"/>
      <c r="S32" s="26">
        <v>3</v>
      </c>
      <c r="T32" s="8"/>
      <c r="U32" s="26">
        <v>1.8</v>
      </c>
      <c r="V32" s="8"/>
      <c r="W32" s="26">
        <v>-1.3</v>
      </c>
      <c r="X32" s="8"/>
      <c r="Y32" s="26">
        <v>-0.90000000000000002</v>
      </c>
      <c r="Z32" s="8"/>
      <c r="AA32" s="26">
        <v>-2.2999999999999998</v>
      </c>
      <c r="AB32" s="8"/>
      <c r="AC32" s="8"/>
    </row>
    <row r="33" ht="12" customHeight="1">
      <c r="A33" s="8" t="s">
        <v>127</v>
      </c>
      <c r="B33" s="8" t="s">
        <v>869</v>
      </c>
      <c r="C33" s="26">
        <v>2</v>
      </c>
      <c r="D33" s="8"/>
      <c r="E33" s="26">
        <v>0.5</v>
      </c>
      <c r="F33" s="8"/>
      <c r="G33" s="26">
        <v>3.7999999999999998</v>
      </c>
      <c r="H33" s="8"/>
      <c r="I33" s="26">
        <v>0.20000000000000001</v>
      </c>
      <c r="J33" s="8"/>
      <c r="K33" s="26">
        <v>-0.29999999999999999</v>
      </c>
      <c r="L33" s="8"/>
      <c r="M33" s="26">
        <v>0.80000000000000004</v>
      </c>
      <c r="N33" s="8"/>
      <c r="O33" s="26">
        <v>-2.7999999999999998</v>
      </c>
      <c r="P33" s="8"/>
      <c r="Q33" s="26">
        <v>-0.40000000000000002</v>
      </c>
      <c r="R33" s="8"/>
      <c r="S33" s="26">
        <v>-0.20000000000000001</v>
      </c>
      <c r="T33" s="8"/>
      <c r="U33" s="26">
        <v>-1</v>
      </c>
      <c r="V33" s="8"/>
      <c r="W33" s="26">
        <v>0.20000000000000001</v>
      </c>
      <c r="X33" s="8"/>
      <c r="Y33" s="26">
        <v>-0.20000000000000001</v>
      </c>
      <c r="Z33" s="8"/>
      <c r="AA33" s="26">
        <v>-2</v>
      </c>
      <c r="AB33" s="8"/>
      <c r="AC33" s="8"/>
    </row>
    <row r="34" ht="12" customHeight="1">
      <c r="A34" s="8" t="s">
        <v>129</v>
      </c>
      <c r="B34" s="8" t="s">
        <v>870</v>
      </c>
      <c r="C34" s="26">
        <v>3.3999999999999999</v>
      </c>
      <c r="D34" s="8"/>
      <c r="E34" s="26">
        <v>2.2000000000000002</v>
      </c>
      <c r="F34" s="8"/>
      <c r="G34" s="26">
        <v>2.1000000000000001</v>
      </c>
      <c r="H34" s="8"/>
      <c r="I34" s="26">
        <v>-0.59999999999999998</v>
      </c>
      <c r="J34" s="8"/>
      <c r="K34" s="26">
        <v>-0.59999999999999998</v>
      </c>
      <c r="L34" s="8"/>
      <c r="M34" s="26">
        <v>0.5</v>
      </c>
      <c r="N34" s="8"/>
      <c r="O34" s="26">
        <v>0.10000000000000001</v>
      </c>
      <c r="P34" s="8"/>
      <c r="Q34" s="26">
        <v>1.5</v>
      </c>
      <c r="R34" s="8"/>
      <c r="S34" s="26">
        <v>-1</v>
      </c>
      <c r="T34" s="8"/>
      <c r="U34" s="26">
        <v>-1</v>
      </c>
      <c r="V34" s="8"/>
      <c r="W34" s="26">
        <v>1.5</v>
      </c>
      <c r="X34" s="8"/>
      <c r="Y34" s="26">
        <v>-0.40000000000000002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871</v>
      </c>
      <c r="C35" s="26">
        <v>1.7</v>
      </c>
      <c r="D35" s="8"/>
      <c r="E35" s="26">
        <v>0.40000000000000002</v>
      </c>
      <c r="F35" s="8"/>
      <c r="G35" s="26">
        <v>1.3</v>
      </c>
      <c r="H35" s="8"/>
      <c r="I35" s="26">
        <v>-2.6000000000000001</v>
      </c>
      <c r="J35" s="8"/>
      <c r="K35" s="26">
        <v>1.5</v>
      </c>
      <c r="L35" s="8"/>
      <c r="M35" s="26">
        <v>1.5</v>
      </c>
      <c r="N35" s="8"/>
      <c r="O35" s="26">
        <v>0.29999999999999999</v>
      </c>
      <c r="P35" s="8"/>
      <c r="Q35" s="26">
        <v>5</v>
      </c>
      <c r="R35" s="8"/>
      <c r="S35" s="26">
        <v>-0.59999999999999998</v>
      </c>
      <c r="T35" s="8"/>
      <c r="U35" s="26">
        <v>0.40000000000000002</v>
      </c>
      <c r="V35" s="8"/>
      <c r="W35" s="26">
        <v>0</v>
      </c>
      <c r="X35" s="8"/>
      <c r="Y35" s="26">
        <v>0.20000000000000001</v>
      </c>
      <c r="Z35" s="8"/>
      <c r="AA35" s="26">
        <v>-0.20000000000000001</v>
      </c>
      <c r="AB35" s="8"/>
      <c r="AC35" s="8"/>
    </row>
    <row r="36" ht="12" customHeight="1">
      <c r="A36" s="8" t="s">
        <v>133</v>
      </c>
      <c r="B36" s="8" t="s">
        <v>872</v>
      </c>
      <c r="C36" s="26">
        <v>1.7</v>
      </c>
      <c r="D36" s="8"/>
      <c r="E36" s="26">
        <v>0.20000000000000001</v>
      </c>
      <c r="F36" s="8"/>
      <c r="G36" s="26">
        <v>1.3</v>
      </c>
      <c r="H36" s="8"/>
      <c r="I36" s="26">
        <v>-8.5999999999999996</v>
      </c>
      <c r="J36" s="8"/>
      <c r="K36" s="26">
        <v>0.29999999999999999</v>
      </c>
      <c r="L36" s="8"/>
      <c r="M36" s="26">
        <v>-0.5</v>
      </c>
      <c r="N36" s="8"/>
      <c r="O36" s="26">
        <v>0.29999999999999999</v>
      </c>
      <c r="P36" s="8"/>
      <c r="Q36" s="26">
        <v>11.6</v>
      </c>
      <c r="R36" s="8"/>
      <c r="S36" s="26">
        <v>-3.3999999999999999</v>
      </c>
      <c r="T36" s="8"/>
      <c r="U36" s="26">
        <v>0.29999999999999999</v>
      </c>
      <c r="V36" s="8"/>
      <c r="W36" s="26">
        <v>-0.5</v>
      </c>
      <c r="X36" s="8"/>
      <c r="Y36" s="26">
        <v>-1.7</v>
      </c>
      <c r="Z36" s="8"/>
      <c r="AA36" s="26">
        <v>-1.6000000000000001</v>
      </c>
      <c r="AB36" s="8"/>
      <c r="AC36" s="8"/>
    </row>
    <row r="37" ht="12" customHeight="1">
      <c r="A37" s="8" t="s">
        <v>135</v>
      </c>
      <c r="B37" s="8" t="s">
        <v>873</v>
      </c>
      <c r="C37" s="26">
        <v>1.7</v>
      </c>
      <c r="D37" s="8"/>
      <c r="E37" s="26">
        <v>0.59999999999999998</v>
      </c>
      <c r="F37" s="8"/>
      <c r="G37" s="26">
        <v>1.3</v>
      </c>
      <c r="H37" s="8"/>
      <c r="I37" s="26">
        <v>1.3</v>
      </c>
      <c r="J37" s="8"/>
      <c r="K37" s="26">
        <v>2.1000000000000001</v>
      </c>
      <c r="L37" s="8"/>
      <c r="M37" s="26">
        <v>2.7999999999999998</v>
      </c>
      <c r="N37" s="8"/>
      <c r="O37" s="26">
        <v>0.20000000000000001</v>
      </c>
      <c r="P37" s="8"/>
      <c r="Q37" s="26">
        <v>1.1000000000000001</v>
      </c>
      <c r="R37" s="8"/>
      <c r="S37" s="26">
        <v>1.3</v>
      </c>
      <c r="T37" s="8"/>
      <c r="U37" s="26">
        <v>0.40000000000000002</v>
      </c>
      <c r="V37" s="8"/>
      <c r="W37" s="26">
        <v>0.40000000000000002</v>
      </c>
      <c r="X37" s="8"/>
      <c r="Y37" s="26">
        <v>1.7</v>
      </c>
      <c r="Z37" s="8"/>
      <c r="AA37" s="26">
        <v>0.90000000000000002</v>
      </c>
      <c r="AB37" s="8"/>
      <c r="AC37" s="8"/>
    </row>
    <row r="38" ht="12" customHeight="1">
      <c r="A38" s="8" t="s">
        <v>137</v>
      </c>
      <c r="B38" s="8" t="s">
        <v>874</v>
      </c>
      <c r="C38" s="26">
        <v>1.3</v>
      </c>
      <c r="D38" s="8"/>
      <c r="E38" s="26">
        <v>1.7</v>
      </c>
      <c r="F38" s="8"/>
      <c r="G38" s="26">
        <v>2.5</v>
      </c>
      <c r="H38" s="8"/>
      <c r="I38" s="26">
        <v>3.8999999999999999</v>
      </c>
      <c r="J38" s="8"/>
      <c r="K38" s="26">
        <v>4.5999999999999996</v>
      </c>
      <c r="L38" s="8"/>
      <c r="M38" s="26">
        <v>2</v>
      </c>
      <c r="N38" s="8"/>
      <c r="O38" s="26">
        <v>0.80000000000000004</v>
      </c>
      <c r="P38" s="8"/>
      <c r="Q38" s="26">
        <v>6.9000000000000004</v>
      </c>
      <c r="R38" s="8"/>
      <c r="S38" s="26">
        <v>1.2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1.1000000000000001</v>
      </c>
      <c r="AB38" s="8"/>
      <c r="AC38" s="8"/>
    </row>
    <row r="39" ht="12" customHeight="1">
      <c r="A39" s="11" t="s">
        <v>139</v>
      </c>
      <c r="B39" s="8" t="s">
        <v>875</v>
      </c>
      <c r="C39" s="26">
        <v>-0.90000000000000002</v>
      </c>
      <c r="D39" s="8"/>
      <c r="E39" s="26">
        <v>-1.8</v>
      </c>
      <c r="F39" s="8"/>
      <c r="G39" s="26">
        <v>-1.7</v>
      </c>
      <c r="H39" s="8"/>
      <c r="I39" s="26">
        <v>8.6999999999999993</v>
      </c>
      <c r="J39" s="8"/>
      <c r="K39" s="26">
        <v>-0.10000000000000001</v>
      </c>
      <c r="L39" s="8"/>
      <c r="M39" s="26">
        <v>-2.1000000000000001</v>
      </c>
      <c r="N39" s="8"/>
      <c r="O39" s="26">
        <v>-0.10000000000000001</v>
      </c>
      <c r="P39" s="8"/>
      <c r="Q39" s="26">
        <v>-2.7000000000000002</v>
      </c>
      <c r="R39" s="8"/>
      <c r="S39" s="26">
        <v>0.90000000000000002</v>
      </c>
      <c r="T39" s="8"/>
      <c r="U39" s="26">
        <v>1.6000000000000001</v>
      </c>
      <c r="V39" s="8"/>
      <c r="W39" s="26">
        <v>-1.5</v>
      </c>
      <c r="X39" s="8"/>
      <c r="Y39" s="26">
        <v>0.5</v>
      </c>
      <c r="Z39" s="8"/>
      <c r="AA39" s="26">
        <v>2.1000000000000001</v>
      </c>
      <c r="AB39" s="8"/>
      <c r="AC39" s="8"/>
    </row>
    <row r="40" ht="12" customHeight="1">
      <c r="A40" s="8" t="s">
        <v>141</v>
      </c>
      <c r="B40" s="8" t="s">
        <v>876</v>
      </c>
      <c r="C40" s="26">
        <v>0.10000000000000001</v>
      </c>
      <c r="D40" s="8"/>
      <c r="E40" s="26">
        <v>0.90000000000000002</v>
      </c>
      <c r="F40" s="8"/>
      <c r="G40" s="26">
        <v>1.3</v>
      </c>
      <c r="H40" s="8"/>
      <c r="I40" s="26">
        <v>2.3999999999999999</v>
      </c>
      <c r="J40" s="8"/>
      <c r="K40" s="26">
        <v>-2.2000000000000002</v>
      </c>
      <c r="L40" s="8"/>
      <c r="M40" s="26">
        <v>-1.1000000000000001</v>
      </c>
      <c r="N40" s="8"/>
      <c r="O40" s="26">
        <v>-3.1000000000000001</v>
      </c>
      <c r="P40" s="8"/>
      <c r="Q40" s="26">
        <v>-2.1000000000000001</v>
      </c>
      <c r="R40" s="8"/>
      <c r="S40" s="26">
        <v>2.3999999999999999</v>
      </c>
      <c r="T40" s="8"/>
      <c r="U40" s="26">
        <v>0.29999999999999999</v>
      </c>
      <c r="V40" s="8"/>
      <c r="W40" s="26">
        <v>1.3999999999999999</v>
      </c>
      <c r="X40" s="8"/>
      <c r="Y40" s="26">
        <v>-0.20000000000000001</v>
      </c>
      <c r="Z40" s="8"/>
      <c r="AA40" s="26">
        <v>0</v>
      </c>
      <c r="AB40" s="8"/>
      <c r="AC40" s="8"/>
    </row>
    <row r="41" ht="12" customHeight="1">
      <c r="A41" s="8" t="s">
        <v>143</v>
      </c>
      <c r="B41" s="8" t="s">
        <v>877</v>
      </c>
      <c r="C41" s="26">
        <v>-4.7000000000000002</v>
      </c>
      <c r="D41" s="8"/>
      <c r="E41" s="26">
        <v>-2.2999999999999998</v>
      </c>
      <c r="F41" s="8"/>
      <c r="G41" s="26">
        <v>-1.3</v>
      </c>
      <c r="H41" s="8"/>
      <c r="I41" s="26">
        <v>12.300000000000001</v>
      </c>
      <c r="J41" s="8"/>
      <c r="K41" s="26">
        <v>0.59999999999999998</v>
      </c>
      <c r="L41" s="8"/>
      <c r="M41" s="26">
        <v>-1.6000000000000001</v>
      </c>
      <c r="N41" s="8"/>
      <c r="O41" s="26">
        <v>1.6000000000000001</v>
      </c>
      <c r="P41" s="8"/>
      <c r="Q41" s="26">
        <v>-4.5</v>
      </c>
      <c r="R41" s="8"/>
      <c r="S41" s="26">
        <v>-1</v>
      </c>
      <c r="T41" s="8"/>
      <c r="U41" s="26">
        <v>3.1000000000000001</v>
      </c>
      <c r="V41" s="8"/>
      <c r="W41" s="26">
        <v>-1.7</v>
      </c>
      <c r="X41" s="8"/>
      <c r="Y41" s="26">
        <v>0.29999999999999999</v>
      </c>
      <c r="Z41" s="8"/>
      <c r="AA41" s="26">
        <v>1.7</v>
      </c>
      <c r="AB41" s="8"/>
      <c r="AC41" s="8"/>
    </row>
    <row r="42" ht="12" customHeight="1">
      <c r="A42" s="8" t="s">
        <v>145</v>
      </c>
      <c r="B42" s="8" t="s">
        <v>878</v>
      </c>
      <c r="C42" s="26">
        <v>-7.2000000000000002</v>
      </c>
      <c r="D42" s="8"/>
      <c r="E42" s="26">
        <v>-2.6000000000000001</v>
      </c>
      <c r="F42" s="8"/>
      <c r="G42" s="26">
        <v>-1.5</v>
      </c>
      <c r="H42" s="8"/>
      <c r="I42" s="26">
        <v>16.5</v>
      </c>
      <c r="J42" s="8"/>
      <c r="K42" s="26">
        <v>0</v>
      </c>
      <c r="L42" s="8"/>
      <c r="M42" s="26">
        <v>-2.2999999999999998</v>
      </c>
      <c r="N42" s="8"/>
      <c r="O42" s="26">
        <v>0.80000000000000004</v>
      </c>
      <c r="P42" s="8"/>
      <c r="Q42" s="26">
        <v>-6.2999999999999998</v>
      </c>
      <c r="R42" s="8"/>
      <c r="S42" s="26">
        <v>-1.5</v>
      </c>
      <c r="T42" s="8"/>
      <c r="U42" s="26">
        <v>4.7000000000000002</v>
      </c>
      <c r="V42" s="8"/>
      <c r="W42" s="26">
        <v>-4.7999999999999998</v>
      </c>
      <c r="X42" s="8"/>
      <c r="Y42" s="26">
        <v>0.10000000000000001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879</v>
      </c>
      <c r="C43" s="26">
        <v>11.800000000000001</v>
      </c>
      <c r="D43" s="8"/>
      <c r="E43" s="26">
        <v>-4.0999999999999996</v>
      </c>
      <c r="F43" s="8"/>
      <c r="G43" s="26">
        <v>-6.0999999999999996</v>
      </c>
      <c r="H43" s="8"/>
      <c r="I43" s="26">
        <v>5.2000000000000002</v>
      </c>
      <c r="J43" s="8"/>
      <c r="K43" s="26">
        <v>0.29999999999999999</v>
      </c>
      <c r="L43" s="8"/>
      <c r="M43" s="26">
        <v>-5.2000000000000002</v>
      </c>
      <c r="N43" s="8"/>
      <c r="O43" s="26">
        <v>-2.7000000000000002</v>
      </c>
      <c r="P43" s="8"/>
      <c r="Q43" s="26">
        <v>3.2999999999999998</v>
      </c>
      <c r="R43" s="8"/>
      <c r="S43" s="26">
        <v>5.2999999999999998</v>
      </c>
      <c r="T43" s="8"/>
      <c r="U43" s="26">
        <v>-2.7999999999999998</v>
      </c>
      <c r="V43" s="8"/>
      <c r="W43" s="26">
        <v>-3</v>
      </c>
      <c r="X43" s="8"/>
      <c r="Y43" s="26">
        <v>1.5</v>
      </c>
      <c r="Z43" s="8"/>
      <c r="AA43" s="26">
        <v>5.4000000000000004</v>
      </c>
      <c r="AB43" s="8"/>
      <c r="AC43" s="8"/>
    </row>
    <row r="44" ht="12" customHeight="1">
      <c r="A44" s="11" t="s">
        <v>149</v>
      </c>
      <c r="B44" s="8" t="s">
        <v>880</v>
      </c>
      <c r="C44" s="26">
        <v>0.10000000000000001</v>
      </c>
      <c r="D44" s="8"/>
      <c r="E44" s="26">
        <v>0.40000000000000002</v>
      </c>
      <c r="F44" s="8"/>
      <c r="G44" s="26">
        <v>0.20000000000000001</v>
      </c>
      <c r="H44" s="8"/>
      <c r="I44" s="26">
        <v>1.3</v>
      </c>
      <c r="J44" s="8"/>
      <c r="K44" s="26">
        <v>1.8</v>
      </c>
      <c r="L44" s="8"/>
      <c r="M44" s="26">
        <v>0.5</v>
      </c>
      <c r="N44" s="8"/>
      <c r="O44" s="26">
        <v>0.69999999999999996</v>
      </c>
      <c r="P44" s="8"/>
      <c r="Q44" s="26">
        <v>0.69999999999999996</v>
      </c>
      <c r="R44" s="8"/>
      <c r="S44" s="26">
        <v>2</v>
      </c>
      <c r="T44" s="8"/>
      <c r="U44" s="26">
        <v>0.5</v>
      </c>
      <c r="V44" s="8"/>
      <c r="W44" s="26">
        <v>0</v>
      </c>
      <c r="X44" s="8"/>
      <c r="Y44" s="26">
        <v>0.59999999999999998</v>
      </c>
      <c r="Z44" s="8"/>
      <c r="AA44" s="26">
        <v>3.8999999999999999</v>
      </c>
      <c r="AB44" s="8"/>
      <c r="AC44" s="8"/>
    </row>
    <row r="45" ht="12" customHeight="1">
      <c r="A45" s="8" t="s">
        <v>151</v>
      </c>
      <c r="B45" s="8" t="s">
        <v>881</v>
      </c>
      <c r="C45" s="26">
        <v>1.3</v>
      </c>
      <c r="D45" s="8"/>
      <c r="E45" s="26">
        <v>0.90000000000000002</v>
      </c>
      <c r="F45" s="8"/>
      <c r="G45" s="26">
        <v>-1</v>
      </c>
      <c r="H45" s="8"/>
      <c r="I45" s="26">
        <v>7.2999999999999998</v>
      </c>
      <c r="J45" s="8"/>
      <c r="K45" s="26">
        <v>1.2</v>
      </c>
      <c r="L45" s="8"/>
      <c r="M45" s="26">
        <v>-1.6000000000000001</v>
      </c>
      <c r="N45" s="8"/>
      <c r="O45" s="26">
        <v>-0.29999999999999999</v>
      </c>
      <c r="P45" s="8"/>
      <c r="Q45" s="26">
        <v>2.5</v>
      </c>
      <c r="R45" s="8"/>
      <c r="S45" s="26">
        <v>0.10000000000000001</v>
      </c>
      <c r="T45" s="8"/>
      <c r="U45" s="26">
        <v>-0.40000000000000002</v>
      </c>
      <c r="V45" s="8"/>
      <c r="W45" s="26">
        <v>0.90000000000000002</v>
      </c>
      <c r="X45" s="8"/>
      <c r="Y45" s="26">
        <v>7.5</v>
      </c>
      <c r="Z45" s="8"/>
      <c r="AA45" s="26">
        <v>0.20000000000000001</v>
      </c>
      <c r="AB45" s="8"/>
      <c r="AC45" s="8"/>
    </row>
    <row r="46" ht="12" customHeight="1">
      <c r="A46" s="8" t="s">
        <v>153</v>
      </c>
      <c r="B46" s="8" t="s">
        <v>882</v>
      </c>
      <c r="C46" s="26">
        <v>-0.29999999999999999</v>
      </c>
      <c r="D46" s="8"/>
      <c r="E46" s="26">
        <v>1.7</v>
      </c>
      <c r="F46" s="8"/>
      <c r="G46" s="26">
        <v>-10</v>
      </c>
      <c r="H46" s="8"/>
      <c r="I46" s="26">
        <v>-6.2999999999999998</v>
      </c>
      <c r="J46" s="8"/>
      <c r="K46" s="26">
        <v>15.800000000000001</v>
      </c>
      <c r="L46" s="8"/>
      <c r="M46" s="26">
        <v>-2.7000000000000002</v>
      </c>
      <c r="N46" s="8"/>
      <c r="O46" s="26">
        <v>8.0999999999999996</v>
      </c>
      <c r="P46" s="8"/>
      <c r="Q46" s="26">
        <v>-14.9</v>
      </c>
      <c r="R46" s="8"/>
      <c r="S46" s="26">
        <v>-0.40000000000000002</v>
      </c>
      <c r="T46" s="8"/>
      <c r="U46" s="26">
        <v>-5</v>
      </c>
      <c r="V46" s="8"/>
      <c r="W46" s="26">
        <v>-7.2999999999999998</v>
      </c>
      <c r="X46" s="8"/>
      <c r="Y46" s="26">
        <v>-3.5</v>
      </c>
      <c r="Z46" s="8"/>
      <c r="AA46" s="26">
        <v>11.300000000000001</v>
      </c>
      <c r="AB46" s="8"/>
      <c r="AC46" s="8"/>
    </row>
    <row r="47" ht="12" customHeight="1">
      <c r="A47" s="8" t="s">
        <v>155</v>
      </c>
      <c r="B47" s="8" t="s">
        <v>883</v>
      </c>
      <c r="C47" s="26">
        <v>0.10000000000000001</v>
      </c>
      <c r="D47" s="8"/>
      <c r="E47" s="26">
        <v>0.20000000000000001</v>
      </c>
      <c r="F47" s="8"/>
      <c r="G47" s="26">
        <v>0.90000000000000002</v>
      </c>
      <c r="H47" s="8"/>
      <c r="I47" s="26">
        <v>1.6000000000000001</v>
      </c>
      <c r="J47" s="8"/>
      <c r="K47" s="26">
        <v>1.1000000000000001</v>
      </c>
      <c r="L47" s="8"/>
      <c r="M47" s="26">
        <v>0.69999999999999996</v>
      </c>
      <c r="N47" s="8"/>
      <c r="O47" s="26">
        <v>0.40000000000000002</v>
      </c>
      <c r="P47" s="8"/>
      <c r="Q47" s="26">
        <v>1.3999999999999999</v>
      </c>
      <c r="R47" s="8"/>
      <c r="S47" s="26">
        <v>2.2000000000000002</v>
      </c>
      <c r="T47" s="8"/>
      <c r="U47" s="26">
        <v>1.7</v>
      </c>
      <c r="V47" s="8"/>
      <c r="W47" s="26">
        <v>1.3999999999999999</v>
      </c>
      <c r="X47" s="8"/>
      <c r="Y47" s="26">
        <v>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884</v>
      </c>
      <c r="C48" s="26">
        <v>3.3999999999999999</v>
      </c>
      <c r="D48" s="8"/>
      <c r="E48" s="26">
        <v>1.2</v>
      </c>
      <c r="F48" s="8"/>
      <c r="G48" s="26">
        <v>0.90000000000000002</v>
      </c>
      <c r="H48" s="8"/>
      <c r="I48" s="26">
        <v>1</v>
      </c>
      <c r="J48" s="8"/>
      <c r="K48" s="26">
        <v>1.8999999999999999</v>
      </c>
      <c r="L48" s="8"/>
      <c r="M48" s="26">
        <v>1.3</v>
      </c>
      <c r="N48" s="8"/>
      <c r="O48" s="26">
        <v>-1.6000000000000001</v>
      </c>
      <c r="P48" s="8"/>
      <c r="Q48" s="26">
        <v>0.29999999999999999</v>
      </c>
      <c r="R48" s="8"/>
      <c r="S48" s="26">
        <v>2</v>
      </c>
      <c r="T48" s="8"/>
      <c r="U48" s="26">
        <v>-0.59999999999999998</v>
      </c>
      <c r="V48" s="8"/>
      <c r="W48" s="26">
        <v>0.20000000000000001</v>
      </c>
      <c r="X48" s="8"/>
      <c r="Y48" s="26">
        <v>0.90000000000000002</v>
      </c>
      <c r="Z48" s="8"/>
      <c r="AA48" s="26">
        <v>1.6000000000000001</v>
      </c>
      <c r="AB48" s="8"/>
      <c r="AC48" s="8"/>
    </row>
    <row r="49" ht="12" customHeight="1">
      <c r="A49" s="8" t="s">
        <v>159</v>
      </c>
      <c r="B49" s="8" t="s">
        <v>885</v>
      </c>
      <c r="C49" s="26">
        <v>4</v>
      </c>
      <c r="D49" s="8"/>
      <c r="E49" s="26">
        <v>-3.2000000000000002</v>
      </c>
      <c r="F49" s="8"/>
      <c r="G49" s="26">
        <v>-10.199999999999999</v>
      </c>
      <c r="H49" s="8"/>
      <c r="I49" s="26">
        <v>2</v>
      </c>
      <c r="J49" s="8"/>
      <c r="K49" s="26">
        <v>6</v>
      </c>
      <c r="L49" s="8"/>
      <c r="M49" s="26">
        <v>-6.5999999999999996</v>
      </c>
      <c r="N49" s="8"/>
      <c r="O49" s="26">
        <v>-5.4000000000000004</v>
      </c>
      <c r="P49" s="8"/>
      <c r="Q49" s="26">
        <v>2.6000000000000001</v>
      </c>
      <c r="R49" s="8"/>
      <c r="S49" s="26">
        <v>4.2999999999999998</v>
      </c>
      <c r="T49" s="8"/>
      <c r="U49" s="26">
        <v>-6.2999999999999998</v>
      </c>
      <c r="V49" s="8"/>
      <c r="W49" s="26">
        <v>-11.6</v>
      </c>
      <c r="X49" s="8"/>
      <c r="Y49" s="26">
        <v>2</v>
      </c>
      <c r="Z49" s="8"/>
      <c r="AA49" s="26">
        <v>8</v>
      </c>
      <c r="AB49" s="8"/>
      <c r="AC49" s="8"/>
    </row>
    <row r="50" ht="12" customHeight="1">
      <c r="A50" s="8" t="s">
        <v>161</v>
      </c>
      <c r="B50" s="8" t="s">
        <v>886</v>
      </c>
      <c r="C50" s="26">
        <v>2.8999999999999999</v>
      </c>
      <c r="D50" s="8"/>
      <c r="E50" s="26">
        <v>1.6000000000000001</v>
      </c>
      <c r="F50" s="8"/>
      <c r="G50" s="26">
        <v>-0.10000000000000001</v>
      </c>
      <c r="H50" s="8"/>
      <c r="I50" s="26">
        <v>0.80000000000000004</v>
      </c>
      <c r="J50" s="8"/>
      <c r="K50" s="26">
        <v>-0.59999999999999998</v>
      </c>
      <c r="L50" s="8"/>
      <c r="M50" s="26">
        <v>1.6000000000000001</v>
      </c>
      <c r="N50" s="8"/>
      <c r="O50" s="26">
        <v>0.20000000000000001</v>
      </c>
      <c r="P50" s="8"/>
      <c r="Q50" s="26">
        <v>-2</v>
      </c>
      <c r="R50" s="8"/>
      <c r="S50" s="26">
        <v>0.80000000000000004</v>
      </c>
      <c r="T50" s="8"/>
      <c r="U50" s="26">
        <v>0.80000000000000004</v>
      </c>
      <c r="V50" s="8"/>
      <c r="W50" s="26">
        <v>1.7</v>
      </c>
      <c r="X50" s="8"/>
      <c r="Y50" s="26">
        <v>-0.40000000000000002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887</v>
      </c>
      <c r="C51" s="26">
        <v>3</v>
      </c>
      <c r="D51" s="8"/>
      <c r="E51" s="26">
        <v>1.7</v>
      </c>
      <c r="F51" s="8"/>
      <c r="G51" s="26">
        <v>3.7000000000000002</v>
      </c>
      <c r="H51" s="8"/>
      <c r="I51" s="26">
        <v>0</v>
      </c>
      <c r="J51" s="8"/>
      <c r="K51" s="26">
        <v>0.5</v>
      </c>
      <c r="L51" s="8"/>
      <c r="M51" s="26">
        <v>0.80000000000000004</v>
      </c>
      <c r="N51" s="8"/>
      <c r="O51" s="26">
        <v>-2.2000000000000002</v>
      </c>
      <c r="P51" s="8"/>
      <c r="Q51" s="26">
        <v>1.8999999999999999</v>
      </c>
      <c r="R51" s="8"/>
      <c r="S51" s="26">
        <v>1.8999999999999999</v>
      </c>
      <c r="T51" s="8"/>
      <c r="U51" s="26">
        <v>-1</v>
      </c>
      <c r="V51" s="8"/>
      <c r="W51" s="26">
        <v>-2</v>
      </c>
      <c r="X51" s="8"/>
      <c r="Y51" s="26">
        <v>1.2</v>
      </c>
      <c r="Z51" s="8"/>
      <c r="AA51" s="26">
        <v>0.69999999999999996</v>
      </c>
      <c r="AB51" s="8"/>
      <c r="AC51" s="8"/>
    </row>
    <row r="52" ht="12" customHeight="1">
      <c r="A52" s="8" t="s">
        <v>165</v>
      </c>
      <c r="B52" s="8" t="s">
        <v>888</v>
      </c>
      <c r="C52" s="26">
        <v>2.5</v>
      </c>
      <c r="D52" s="8"/>
      <c r="E52" s="26">
        <v>1.3</v>
      </c>
      <c r="F52" s="8"/>
      <c r="G52" s="26">
        <v>1.8</v>
      </c>
      <c r="H52" s="8"/>
      <c r="I52" s="26">
        <v>1.2</v>
      </c>
      <c r="J52" s="8"/>
      <c r="K52" s="26">
        <v>2.2999999999999998</v>
      </c>
      <c r="L52" s="8"/>
      <c r="M52" s="26">
        <v>1.8999999999999999</v>
      </c>
      <c r="N52" s="8"/>
      <c r="O52" s="26">
        <v>2.6000000000000001</v>
      </c>
      <c r="P52" s="8"/>
      <c r="Q52" s="26">
        <v>0</v>
      </c>
      <c r="R52" s="8"/>
      <c r="S52" s="26">
        <v>0.90000000000000002</v>
      </c>
      <c r="T52" s="8"/>
      <c r="U52" s="26">
        <v>0.40000000000000002</v>
      </c>
      <c r="V52" s="8"/>
      <c r="W52" s="26">
        <v>5.7000000000000002</v>
      </c>
      <c r="X52" s="8"/>
      <c r="Y52" s="26">
        <v>0.5</v>
      </c>
      <c r="Z52" s="8"/>
      <c r="AA52" s="26">
        <v>0.20000000000000001</v>
      </c>
      <c r="AB52" s="8"/>
      <c r="AC52" s="8"/>
    </row>
    <row r="53" ht="12" customHeight="1">
      <c r="A53" s="8" t="s">
        <v>167</v>
      </c>
      <c r="B53" s="8" t="s">
        <v>889</v>
      </c>
      <c r="C53" s="26">
        <v>3.3999999999999999</v>
      </c>
      <c r="D53" s="8"/>
      <c r="E53" s="26">
        <v>1.3</v>
      </c>
      <c r="F53" s="8"/>
      <c r="G53" s="26">
        <v>2.5</v>
      </c>
      <c r="H53" s="8"/>
      <c r="I53" s="26">
        <v>1.6000000000000001</v>
      </c>
      <c r="J53" s="8"/>
      <c r="K53" s="26">
        <v>1</v>
      </c>
      <c r="L53" s="8"/>
      <c r="M53" s="26">
        <v>0</v>
      </c>
      <c r="N53" s="8"/>
      <c r="O53" s="26">
        <v>1</v>
      </c>
      <c r="P53" s="8"/>
      <c r="Q53" s="26">
        <v>-0.5</v>
      </c>
      <c r="R53" s="8"/>
      <c r="S53" s="26">
        <v>1.8</v>
      </c>
      <c r="T53" s="8"/>
      <c r="U53" s="26">
        <v>-0.59999999999999998</v>
      </c>
      <c r="V53" s="8"/>
      <c r="W53" s="26">
        <v>0.29999999999999999</v>
      </c>
      <c r="X53" s="8"/>
      <c r="Y53" s="26">
        <v>2.2999999999999998</v>
      </c>
      <c r="Z53" s="8"/>
      <c r="AA53" s="26">
        <v>1.1000000000000001</v>
      </c>
      <c r="AB53" s="8"/>
      <c r="AC53" s="8"/>
    </row>
    <row r="54" ht="12" customHeight="1">
      <c r="A54" s="8" t="s">
        <v>169</v>
      </c>
      <c r="B54" s="8" t="s">
        <v>890</v>
      </c>
      <c r="C54" s="26">
        <v>5.7000000000000002</v>
      </c>
      <c r="D54" s="8"/>
      <c r="E54" s="26">
        <v>3.8999999999999999</v>
      </c>
      <c r="F54" s="8"/>
      <c r="G54" s="26">
        <v>-2.1000000000000001</v>
      </c>
      <c r="H54" s="8"/>
      <c r="I54" s="26">
        <v>1.8999999999999999</v>
      </c>
      <c r="J54" s="8"/>
      <c r="K54" s="26">
        <v>2.5</v>
      </c>
      <c r="L54" s="8"/>
      <c r="M54" s="26">
        <v>6.5</v>
      </c>
      <c r="N54" s="8"/>
      <c r="O54" s="26">
        <v>-6.9000000000000004</v>
      </c>
      <c r="P54" s="8"/>
      <c r="Q54" s="26">
        <v>-2.2000000000000002</v>
      </c>
      <c r="R54" s="8"/>
      <c r="S54" s="26">
        <v>3.5</v>
      </c>
      <c r="T54" s="8"/>
      <c r="U54" s="26">
        <v>2.1000000000000001</v>
      </c>
      <c r="V54" s="8"/>
      <c r="W54" s="26">
        <v>0.59999999999999998</v>
      </c>
      <c r="X54" s="8"/>
      <c r="Y54" s="26">
        <v>0.40000000000000002</v>
      </c>
      <c r="Z54" s="8"/>
      <c r="AA54" s="26">
        <v>3.6000000000000001</v>
      </c>
      <c r="AB54" s="8"/>
      <c r="AC54" s="8"/>
    </row>
    <row r="55" ht="12" customHeight="1">
      <c r="A55" s="11" t="s">
        <v>171</v>
      </c>
      <c r="B55" s="8" t="s">
        <v>891</v>
      </c>
      <c r="C55" s="26">
        <v>0</v>
      </c>
      <c r="D55" s="8"/>
      <c r="E55" s="26">
        <v>2</v>
      </c>
      <c r="F55" s="8"/>
      <c r="G55" s="26">
        <v>0</v>
      </c>
      <c r="H55" s="8"/>
      <c r="I55" s="26">
        <v>1.3999999999999999</v>
      </c>
      <c r="J55" s="8"/>
      <c r="K55" s="26">
        <v>0</v>
      </c>
      <c r="L55" s="8"/>
      <c r="M55" s="26">
        <v>2.6000000000000001</v>
      </c>
      <c r="N55" s="8"/>
      <c r="O55" s="26">
        <v>0</v>
      </c>
      <c r="P55" s="8"/>
      <c r="Q55" s="26">
        <v>-7.7999999999999998</v>
      </c>
      <c r="R55" s="8"/>
      <c r="S55" s="26">
        <v>0</v>
      </c>
      <c r="T55" s="8"/>
      <c r="U55" s="26">
        <v>10.5</v>
      </c>
      <c r="V55" s="8"/>
      <c r="W55" s="26">
        <v>0</v>
      </c>
      <c r="X55" s="8"/>
      <c r="Y55" s="26">
        <v>0.59999999999999998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892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3.5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-19.100000000000001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2.5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893</v>
      </c>
      <c r="C57" s="26">
        <v>0</v>
      </c>
      <c r="D57" s="8"/>
      <c r="E57" s="26">
        <v>1.8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3.3999999999999999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894</v>
      </c>
      <c r="C58" s="26">
        <v>0</v>
      </c>
      <c r="D58" s="8"/>
      <c r="E58" s="26">
        <v>5.0999999999999996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5.7999999999999998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22.600000000000001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895</v>
      </c>
      <c r="C59" s="26">
        <v>0</v>
      </c>
      <c r="D59" s="8"/>
      <c r="E59" s="26">
        <v>5.5999999999999996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4.5999999999999996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896</v>
      </c>
      <c r="C60" s="26">
        <v>1.6000000000000001</v>
      </c>
      <c r="D60" s="8"/>
      <c r="E60" s="26">
        <v>1.8999999999999999</v>
      </c>
      <c r="F60" s="8"/>
      <c r="G60" s="26">
        <v>2.6000000000000001</v>
      </c>
      <c r="H60" s="8"/>
      <c r="I60" s="26">
        <v>2.2000000000000002</v>
      </c>
      <c r="J60" s="8"/>
      <c r="K60" s="26">
        <v>2</v>
      </c>
      <c r="L60" s="8"/>
      <c r="M60" s="26">
        <v>2.6000000000000001</v>
      </c>
      <c r="N60" s="8"/>
      <c r="O60" s="26">
        <v>2.3999999999999999</v>
      </c>
      <c r="P60" s="8"/>
      <c r="Q60" s="26">
        <v>1.3999999999999999</v>
      </c>
      <c r="R60" s="8"/>
      <c r="S60" s="26">
        <v>1.3</v>
      </c>
      <c r="T60" s="8"/>
      <c r="U60" s="26">
        <v>1</v>
      </c>
      <c r="V60" s="8"/>
      <c r="W60" s="26">
        <v>1.1000000000000001</v>
      </c>
      <c r="X60" s="8"/>
      <c r="Y60" s="26">
        <v>0.5</v>
      </c>
      <c r="Z60" s="8"/>
      <c r="AA60" s="26">
        <v>0.29999999999999999</v>
      </c>
      <c r="AB60" s="8"/>
      <c r="AC60" s="8"/>
    </row>
    <row r="61" ht="12" customHeight="1">
      <c r="A61" s="8" t="s">
        <v>183</v>
      </c>
      <c r="B61" s="8" t="s">
        <v>897</v>
      </c>
      <c r="C61" s="26">
        <v>2.3999999999999999</v>
      </c>
      <c r="D61" s="8"/>
      <c r="E61" s="26">
        <v>2.1000000000000001</v>
      </c>
      <c r="F61" s="8"/>
      <c r="G61" s="26">
        <v>2.2000000000000002</v>
      </c>
      <c r="H61" s="8"/>
      <c r="I61" s="26">
        <v>-0.69999999999999996</v>
      </c>
      <c r="J61" s="8"/>
      <c r="K61" s="26">
        <v>-0.90000000000000002</v>
      </c>
      <c r="L61" s="8"/>
      <c r="M61" s="26">
        <v>0.29999999999999999</v>
      </c>
      <c r="N61" s="8"/>
      <c r="O61" s="26">
        <v>-0.20000000000000001</v>
      </c>
      <c r="P61" s="8"/>
      <c r="Q61" s="26">
        <v>-0.40000000000000002</v>
      </c>
      <c r="R61" s="8"/>
      <c r="S61" s="26">
        <v>0</v>
      </c>
      <c r="T61" s="8"/>
      <c r="U61" s="26">
        <v>0.40000000000000002</v>
      </c>
      <c r="V61" s="8"/>
      <c r="W61" s="26">
        <v>0.90000000000000002</v>
      </c>
      <c r="X61" s="8"/>
      <c r="Y61" s="26">
        <v>0.29999999999999999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898</v>
      </c>
      <c r="C62" s="26">
        <v>2.2999999999999998</v>
      </c>
      <c r="D62" s="8"/>
      <c r="E62" s="26">
        <v>-0.29999999999999999</v>
      </c>
      <c r="F62" s="8"/>
      <c r="G62" s="26">
        <v>-1.6000000000000001</v>
      </c>
      <c r="H62" s="8"/>
      <c r="I62" s="26">
        <v>0.59999999999999998</v>
      </c>
      <c r="J62" s="8"/>
      <c r="K62" s="26">
        <v>2</v>
      </c>
      <c r="L62" s="8"/>
      <c r="M62" s="26">
        <v>0.40000000000000002</v>
      </c>
      <c r="N62" s="8"/>
      <c r="O62" s="26">
        <v>2</v>
      </c>
      <c r="P62" s="8"/>
      <c r="Q62" s="26">
        <v>1.5</v>
      </c>
      <c r="R62" s="8"/>
      <c r="S62" s="26">
        <v>1.3</v>
      </c>
      <c r="T62" s="8"/>
      <c r="U62" s="26">
        <v>0.40000000000000002</v>
      </c>
      <c r="V62" s="8"/>
      <c r="W62" s="26">
        <v>3</v>
      </c>
      <c r="X62" s="8"/>
      <c r="Y62" s="26">
        <v>1.1000000000000001</v>
      </c>
      <c r="Z62" s="8"/>
      <c r="AA62" s="26">
        <v>3.7000000000000002</v>
      </c>
      <c r="AB62" s="8"/>
      <c r="AC62" s="8"/>
    </row>
    <row r="63" ht="12" customHeight="1">
      <c r="A63" s="8" t="s">
        <v>187</v>
      </c>
      <c r="B63" s="8" t="s">
        <v>899</v>
      </c>
      <c r="C63" s="26">
        <v>1.7</v>
      </c>
      <c r="D63" s="8"/>
      <c r="E63" s="26">
        <v>2.2999999999999998</v>
      </c>
      <c r="F63" s="8"/>
      <c r="G63" s="26">
        <v>3.7999999999999998</v>
      </c>
      <c r="H63" s="8"/>
      <c r="I63" s="26">
        <v>4</v>
      </c>
      <c r="J63" s="8"/>
      <c r="K63" s="26">
        <v>4.0999999999999996</v>
      </c>
      <c r="L63" s="8"/>
      <c r="M63" s="26">
        <v>4.4000000000000004</v>
      </c>
      <c r="N63" s="8"/>
      <c r="O63" s="26">
        <v>3.7999999999999998</v>
      </c>
      <c r="P63" s="8"/>
      <c r="Q63" s="26">
        <v>2.7000000000000002</v>
      </c>
      <c r="R63" s="8"/>
      <c r="S63" s="26">
        <v>2.2000000000000002</v>
      </c>
      <c r="T63" s="8"/>
      <c r="U63" s="26">
        <v>1.3999999999999999</v>
      </c>
      <c r="V63" s="8"/>
      <c r="W63" s="26">
        <v>1.1000000000000001</v>
      </c>
      <c r="X63" s="8"/>
      <c r="Y63" s="26">
        <v>0.59999999999999998</v>
      </c>
      <c r="Z63" s="8"/>
      <c r="AA63" s="26">
        <v>0.29999999999999999</v>
      </c>
      <c r="AB63" s="8"/>
      <c r="AC63" s="8"/>
    </row>
    <row r="64" ht="12" customHeight="1">
      <c r="A64" s="8" t="s">
        <v>189</v>
      </c>
      <c r="B64" s="8" t="s">
        <v>900</v>
      </c>
      <c r="C64" s="26">
        <v>-2.2000000000000002</v>
      </c>
      <c r="D64" s="8"/>
      <c r="E64" s="26">
        <v>-1.3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-2.7000000000000002</v>
      </c>
      <c r="R64" s="8"/>
      <c r="S64" s="26">
        <v>-1.5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901</v>
      </c>
      <c r="C65" s="26">
        <v>-0.10000000000000001</v>
      </c>
      <c r="D65" s="8"/>
      <c r="E65" s="26">
        <v>0.90000000000000002</v>
      </c>
      <c r="F65" s="8"/>
      <c r="G65" s="26">
        <v>0.90000000000000002</v>
      </c>
      <c r="H65" s="8"/>
      <c r="I65" s="26">
        <v>1.3</v>
      </c>
      <c r="J65" s="8"/>
      <c r="K65" s="26">
        <v>0.69999999999999996</v>
      </c>
      <c r="L65" s="8"/>
      <c r="M65" s="26">
        <v>0.59999999999999998</v>
      </c>
      <c r="N65" s="8"/>
      <c r="O65" s="26">
        <v>1.6000000000000001</v>
      </c>
      <c r="P65" s="8"/>
      <c r="Q65" s="26">
        <v>0.40000000000000002</v>
      </c>
      <c r="R65" s="8"/>
      <c r="S65" s="26">
        <v>0.69999999999999996</v>
      </c>
      <c r="T65" s="8"/>
      <c r="U65" s="26">
        <v>0.59999999999999998</v>
      </c>
      <c r="V65" s="8"/>
      <c r="W65" s="26">
        <v>1.3</v>
      </c>
      <c r="X65" s="8"/>
      <c r="Y65" s="26">
        <v>-0.29999999999999999</v>
      </c>
      <c r="Z65" s="8"/>
      <c r="AA65" s="26">
        <v>0.10000000000000001</v>
      </c>
      <c r="AB65" s="8"/>
      <c r="AC65" s="8"/>
    </row>
    <row r="66" ht="12" customHeight="1">
      <c r="A66" s="11" t="s">
        <v>193</v>
      </c>
      <c r="B66" s="8" t="s">
        <v>902</v>
      </c>
      <c r="C66" s="26">
        <v>6.4000000000000004</v>
      </c>
      <c r="D66" s="8"/>
      <c r="E66" s="26">
        <v>6.9000000000000004</v>
      </c>
      <c r="F66" s="8"/>
      <c r="G66" s="26">
        <v>3.2999999999999998</v>
      </c>
      <c r="H66" s="8"/>
      <c r="I66" s="26">
        <v>8.3000000000000007</v>
      </c>
      <c r="J66" s="8"/>
      <c r="K66" s="26">
        <v>9.6999999999999993</v>
      </c>
      <c r="L66" s="8"/>
      <c r="M66" s="26">
        <v>4.5</v>
      </c>
      <c r="N66" s="8"/>
      <c r="O66" s="26">
        <v>2.1000000000000001</v>
      </c>
      <c r="P66" s="8"/>
      <c r="Q66" s="26">
        <v>1</v>
      </c>
      <c r="R66" s="8"/>
      <c r="S66" s="26">
        <v>-0.59999999999999998</v>
      </c>
      <c r="T66" s="8"/>
      <c r="U66" s="26">
        <v>-2</v>
      </c>
      <c r="V66" s="8"/>
      <c r="W66" s="26">
        <v>-6.2000000000000002</v>
      </c>
      <c r="X66" s="8"/>
      <c r="Y66" s="26">
        <v>-6.2000000000000002</v>
      </c>
      <c r="Z66" s="8"/>
      <c r="AA66" s="26">
        <v>-4</v>
      </c>
      <c r="AB66" s="8"/>
      <c r="AC66" s="8"/>
    </row>
    <row r="67" ht="12" customHeight="1">
      <c r="A67" s="8" t="s">
        <v>195</v>
      </c>
      <c r="B67" s="8" t="s">
        <v>903</v>
      </c>
      <c r="C67" s="26">
        <v>6.4000000000000004</v>
      </c>
      <c r="D67" s="8"/>
      <c r="E67" s="26">
        <v>6.9000000000000004</v>
      </c>
      <c r="F67" s="8"/>
      <c r="G67" s="26">
        <v>3.2999999999999998</v>
      </c>
      <c r="H67" s="8"/>
      <c r="I67" s="26">
        <v>8.3000000000000007</v>
      </c>
      <c r="J67" s="8"/>
      <c r="K67" s="26">
        <v>9.6999999999999993</v>
      </c>
      <c r="L67" s="8"/>
      <c r="M67" s="26">
        <v>4.5</v>
      </c>
      <c r="N67" s="8"/>
      <c r="O67" s="26">
        <v>2.1000000000000001</v>
      </c>
      <c r="P67" s="8"/>
      <c r="Q67" s="26">
        <v>1</v>
      </c>
      <c r="R67" s="8"/>
      <c r="S67" s="26">
        <v>-0.59999999999999998</v>
      </c>
      <c r="T67" s="8"/>
      <c r="U67" s="26">
        <v>-2</v>
      </c>
      <c r="V67" s="8"/>
      <c r="W67" s="26">
        <v>-6.2000000000000002</v>
      </c>
      <c r="X67" s="8"/>
      <c r="Y67" s="26">
        <v>-6.2000000000000002</v>
      </c>
      <c r="Z67" s="8"/>
      <c r="AA67" s="26">
        <v>-4</v>
      </c>
      <c r="AB67" s="8"/>
      <c r="AC67" s="8"/>
    </row>
    <row r="68" ht="12" customHeight="1">
      <c r="A68" s="13" t="s">
        <v>69</v>
      </c>
      <c r="B68" s="10" t="s">
        <v>62</v>
      </c>
      <c r="C68" s="27">
        <v>1.6000000000000001</v>
      </c>
      <c r="D68" s="10"/>
      <c r="E68" s="27">
        <v>1.8</v>
      </c>
      <c r="F68" s="10"/>
      <c r="G68" s="27">
        <v>1.3</v>
      </c>
      <c r="H68" s="10"/>
      <c r="I68" s="27">
        <v>2.6000000000000001</v>
      </c>
      <c r="J68" s="10"/>
      <c r="K68" s="27">
        <v>1.2</v>
      </c>
      <c r="L68" s="10"/>
      <c r="M68" s="27">
        <v>0.90000000000000002</v>
      </c>
      <c r="N68" s="10"/>
      <c r="O68" s="27">
        <v>0.5</v>
      </c>
      <c r="P68" s="10"/>
      <c r="Q68" s="27">
        <v>1</v>
      </c>
      <c r="R68" s="10"/>
      <c r="S68" s="27">
        <v>0.40000000000000002</v>
      </c>
      <c r="T68" s="10"/>
      <c r="U68" s="27">
        <v>1</v>
      </c>
      <c r="V68" s="10"/>
      <c r="W68" s="27">
        <v>0.10000000000000001</v>
      </c>
      <c r="X68" s="10"/>
      <c r="Y68" s="27">
        <v>0.69999999999999996</v>
      </c>
      <c r="Z68" s="10"/>
      <c r="AA68" s="27">
        <v>0.20000000000000001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905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843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844</v>
      </c>
      <c r="C8" s="22">
        <v>10.9</v>
      </c>
      <c r="D8" s="22"/>
      <c r="E8" s="22">
        <v>11.800000000000001</v>
      </c>
      <c r="F8" s="22"/>
      <c r="G8" s="22">
        <v>12.699999999999999</v>
      </c>
      <c r="H8" s="22"/>
      <c r="I8" s="22">
        <v>9</v>
      </c>
      <c r="J8" s="22"/>
      <c r="K8" s="22">
        <v>5.5999999999999996</v>
      </c>
      <c r="L8" s="22"/>
      <c r="M8" s="22">
        <v>2</v>
      </c>
      <c r="N8" s="22"/>
      <c r="O8" s="22">
        <v>-0.10000000000000001</v>
      </c>
      <c r="P8" s="22"/>
      <c r="Q8" s="22">
        <v>0.5</v>
      </c>
      <c r="R8" s="22"/>
      <c r="S8" s="22">
        <v>1.1000000000000001</v>
      </c>
      <c r="T8" s="22"/>
      <c r="U8" s="22">
        <v>2.6000000000000001</v>
      </c>
      <c r="V8" s="22"/>
      <c r="W8" s="22">
        <v>4.2999999999999998</v>
      </c>
      <c r="X8" s="22"/>
      <c r="Y8" s="22">
        <v>4.9000000000000004</v>
      </c>
      <c r="Z8" s="22"/>
      <c r="AA8" s="22">
        <v>4.4000000000000004</v>
      </c>
      <c r="AB8" s="18"/>
      <c r="AC8" s="18"/>
    </row>
    <row r="9" ht="12" customHeight="1">
      <c r="A9" s="8" t="s">
        <v>79</v>
      </c>
      <c r="B9" s="8" t="s">
        <v>845</v>
      </c>
      <c r="C9" s="26">
        <v>20.399999999999999</v>
      </c>
      <c r="D9" s="8"/>
      <c r="E9" s="26">
        <v>21.100000000000001</v>
      </c>
      <c r="F9" s="8"/>
      <c r="G9" s="26">
        <v>21.600000000000001</v>
      </c>
      <c r="H9" s="8"/>
      <c r="I9" s="26">
        <v>5.4000000000000004</v>
      </c>
      <c r="J9" s="8"/>
      <c r="K9" s="26">
        <v>3.3999999999999999</v>
      </c>
      <c r="L9" s="8"/>
      <c r="M9" s="26">
        <v>-7.5</v>
      </c>
      <c r="N9" s="8"/>
      <c r="O9" s="26">
        <v>-13.5</v>
      </c>
      <c r="P9" s="8"/>
      <c r="Q9" s="26">
        <v>-10.1</v>
      </c>
      <c r="R9" s="8"/>
      <c r="S9" s="26">
        <v>-8.6999999999999993</v>
      </c>
      <c r="T9" s="8"/>
      <c r="U9" s="26">
        <v>-5</v>
      </c>
      <c r="V9" s="8"/>
      <c r="W9" s="26">
        <v>5.7000000000000002</v>
      </c>
      <c r="X9" s="8"/>
      <c r="Y9" s="26">
        <v>9.5999999999999996</v>
      </c>
      <c r="Z9" s="8"/>
      <c r="AA9" s="26">
        <v>3.8999999999999999</v>
      </c>
      <c r="AB9" s="8"/>
      <c r="AC9" s="8"/>
    </row>
    <row r="10" ht="12" customHeight="1">
      <c r="A10" s="8" t="s">
        <v>81</v>
      </c>
      <c r="B10" s="8" t="s">
        <v>846</v>
      </c>
      <c r="C10" s="26">
        <v>11</v>
      </c>
      <c r="D10" s="8"/>
      <c r="E10" s="26">
        <v>9.1999999999999993</v>
      </c>
      <c r="F10" s="8"/>
      <c r="G10" s="26">
        <v>10.699999999999999</v>
      </c>
      <c r="H10" s="8"/>
      <c r="I10" s="26">
        <v>7.9000000000000004</v>
      </c>
      <c r="J10" s="8"/>
      <c r="K10" s="26">
        <v>2.5</v>
      </c>
      <c r="L10" s="8"/>
      <c r="M10" s="26">
        <v>0.5</v>
      </c>
      <c r="N10" s="8"/>
      <c r="O10" s="26">
        <v>-0.90000000000000002</v>
      </c>
      <c r="P10" s="8"/>
      <c r="Q10" s="26">
        <v>-0.10000000000000001</v>
      </c>
      <c r="R10" s="8"/>
      <c r="S10" s="26">
        <v>1.6000000000000001</v>
      </c>
      <c r="T10" s="8"/>
      <c r="U10" s="26">
        <v>3.5</v>
      </c>
      <c r="V10" s="8"/>
      <c r="W10" s="26">
        <v>4.5999999999999996</v>
      </c>
      <c r="X10" s="8"/>
      <c r="Y10" s="26">
        <v>7.0999999999999996</v>
      </c>
      <c r="Z10" s="8"/>
      <c r="AA10" s="26">
        <v>7.2000000000000002</v>
      </c>
      <c r="AB10" s="8"/>
      <c r="AC10" s="8"/>
    </row>
    <row r="11" ht="12" customHeight="1">
      <c r="A11" s="8" t="s">
        <v>83</v>
      </c>
      <c r="B11" s="8" t="s">
        <v>847</v>
      </c>
      <c r="C11" s="26">
        <v>10.1</v>
      </c>
      <c r="D11" s="8"/>
      <c r="E11" s="26">
        <v>12.199999999999999</v>
      </c>
      <c r="F11" s="8"/>
      <c r="G11" s="26">
        <v>13.1</v>
      </c>
      <c r="H11" s="8"/>
      <c r="I11" s="26">
        <v>10.9</v>
      </c>
      <c r="J11" s="8"/>
      <c r="K11" s="26">
        <v>6.5</v>
      </c>
      <c r="L11" s="8"/>
      <c r="M11" s="26">
        <v>3.3999999999999999</v>
      </c>
      <c r="N11" s="8"/>
      <c r="O11" s="26">
        <v>1.8</v>
      </c>
      <c r="P11" s="8"/>
      <c r="Q11" s="26">
        <v>2.2999999999999998</v>
      </c>
      <c r="R11" s="8"/>
      <c r="S11" s="26">
        <v>2.7000000000000002</v>
      </c>
      <c r="T11" s="8"/>
      <c r="U11" s="26">
        <v>4.4000000000000004</v>
      </c>
      <c r="V11" s="8"/>
      <c r="W11" s="26">
        <v>4.7999999999999998</v>
      </c>
      <c r="X11" s="8"/>
      <c r="Y11" s="26">
        <v>4.4000000000000004</v>
      </c>
      <c r="Z11" s="8"/>
      <c r="AA11" s="26">
        <v>4.5</v>
      </c>
      <c r="AB11" s="8"/>
      <c r="AC11" s="8"/>
    </row>
    <row r="12" ht="12" customHeight="1">
      <c r="A12" s="8" t="s">
        <v>85</v>
      </c>
      <c r="B12" s="8" t="s">
        <v>848</v>
      </c>
      <c r="C12" s="26">
        <v>7.7999999999999998</v>
      </c>
      <c r="D12" s="8"/>
      <c r="E12" s="26">
        <v>8.0999999999999996</v>
      </c>
      <c r="F12" s="8"/>
      <c r="G12" s="26">
        <v>10.1</v>
      </c>
      <c r="H12" s="8"/>
      <c r="I12" s="26">
        <v>9.1999999999999993</v>
      </c>
      <c r="J12" s="8"/>
      <c r="K12" s="26">
        <v>5.9000000000000004</v>
      </c>
      <c r="L12" s="8"/>
      <c r="M12" s="26">
        <v>4.5</v>
      </c>
      <c r="N12" s="8"/>
      <c r="O12" s="26">
        <v>4.2000000000000002</v>
      </c>
      <c r="P12" s="8"/>
      <c r="Q12" s="26">
        <v>4.0999999999999996</v>
      </c>
      <c r="R12" s="8"/>
      <c r="S12" s="26">
        <v>4.2000000000000002</v>
      </c>
      <c r="T12" s="8"/>
      <c r="U12" s="26">
        <v>5.5</v>
      </c>
      <c r="V12" s="8"/>
      <c r="W12" s="26">
        <v>5.7999999999999998</v>
      </c>
      <c r="X12" s="8"/>
      <c r="Y12" s="26">
        <v>4.2000000000000002</v>
      </c>
      <c r="Z12" s="8"/>
      <c r="AA12" s="26">
        <v>4.7000000000000002</v>
      </c>
      <c r="AB12" s="8"/>
      <c r="AC12" s="8"/>
    </row>
    <row r="13" ht="12" customHeight="1">
      <c r="A13" s="8" t="s">
        <v>87</v>
      </c>
      <c r="B13" s="8" t="s">
        <v>849</v>
      </c>
      <c r="C13" s="26">
        <v>8.0999999999999996</v>
      </c>
      <c r="D13" s="8"/>
      <c r="E13" s="26">
        <v>8.9000000000000004</v>
      </c>
      <c r="F13" s="8"/>
      <c r="G13" s="26">
        <v>9.3000000000000007</v>
      </c>
      <c r="H13" s="8"/>
      <c r="I13" s="26">
        <v>9.0999999999999996</v>
      </c>
      <c r="J13" s="8"/>
      <c r="K13" s="26">
        <v>7.5</v>
      </c>
      <c r="L13" s="8"/>
      <c r="M13" s="26">
        <v>6.4000000000000004</v>
      </c>
      <c r="N13" s="8"/>
      <c r="O13" s="26">
        <v>4.7999999999999998</v>
      </c>
      <c r="P13" s="8"/>
      <c r="Q13" s="26">
        <v>3.6000000000000001</v>
      </c>
      <c r="R13" s="8"/>
      <c r="S13" s="26">
        <v>3.1000000000000001</v>
      </c>
      <c r="T13" s="8"/>
      <c r="U13" s="26">
        <v>2.5</v>
      </c>
      <c r="V13" s="8"/>
      <c r="W13" s="26">
        <v>2.1000000000000001</v>
      </c>
      <c r="X13" s="8"/>
      <c r="Y13" s="26">
        <v>2.3999999999999999</v>
      </c>
      <c r="Z13" s="8"/>
      <c r="AA13" s="26">
        <v>2.3999999999999999</v>
      </c>
      <c r="AB13" s="8"/>
      <c r="AC13" s="8"/>
    </row>
    <row r="14" ht="12" customHeight="1">
      <c r="A14" s="11" t="s">
        <v>89</v>
      </c>
      <c r="B14" s="8" t="s">
        <v>850</v>
      </c>
      <c r="C14" s="26">
        <v>5.7000000000000002</v>
      </c>
      <c r="D14" s="8"/>
      <c r="E14" s="26">
        <v>7.4000000000000004</v>
      </c>
      <c r="F14" s="8"/>
      <c r="G14" s="26">
        <v>7.5999999999999996</v>
      </c>
      <c r="H14" s="8"/>
      <c r="I14" s="26">
        <v>7.5</v>
      </c>
      <c r="J14" s="8"/>
      <c r="K14" s="26">
        <v>8.5</v>
      </c>
      <c r="L14" s="8"/>
      <c r="M14" s="26">
        <v>7.7000000000000002</v>
      </c>
      <c r="N14" s="8"/>
      <c r="O14" s="26">
        <v>7.4000000000000004</v>
      </c>
      <c r="P14" s="8"/>
      <c r="Q14" s="26">
        <v>6.7000000000000002</v>
      </c>
      <c r="R14" s="8"/>
      <c r="S14" s="26">
        <v>5.2000000000000002</v>
      </c>
      <c r="T14" s="8"/>
      <c r="U14" s="26">
        <v>3.5</v>
      </c>
      <c r="V14" s="8"/>
      <c r="W14" s="26">
        <v>2.6000000000000001</v>
      </c>
      <c r="X14" s="8"/>
      <c r="Y14" s="26">
        <v>2.3999999999999999</v>
      </c>
      <c r="Z14" s="8"/>
      <c r="AA14" s="26">
        <v>2.5</v>
      </c>
      <c r="AB14" s="8"/>
      <c r="AC14" s="8"/>
    </row>
    <row r="15" ht="12" customHeight="1">
      <c r="A15" s="8" t="s">
        <v>91</v>
      </c>
      <c r="B15" s="8" t="s">
        <v>851</v>
      </c>
      <c r="C15" s="26">
        <v>6.4000000000000004</v>
      </c>
      <c r="D15" s="8"/>
      <c r="E15" s="26">
        <v>6.4000000000000004</v>
      </c>
      <c r="F15" s="8"/>
      <c r="G15" s="26">
        <v>6.5999999999999996</v>
      </c>
      <c r="H15" s="8"/>
      <c r="I15" s="26">
        <v>6</v>
      </c>
      <c r="J15" s="8"/>
      <c r="K15" s="26">
        <v>5.4000000000000004</v>
      </c>
      <c r="L15" s="8"/>
      <c r="M15" s="26">
        <v>4.9000000000000004</v>
      </c>
      <c r="N15" s="8"/>
      <c r="O15" s="26">
        <v>4.5</v>
      </c>
      <c r="P15" s="8"/>
      <c r="Q15" s="26">
        <v>3.2000000000000002</v>
      </c>
      <c r="R15" s="8"/>
      <c r="S15" s="26">
        <v>2.7000000000000002</v>
      </c>
      <c r="T15" s="8"/>
      <c r="U15" s="26">
        <v>2.5</v>
      </c>
      <c r="V15" s="8"/>
      <c r="W15" s="26">
        <v>0.5</v>
      </c>
      <c r="X15" s="8"/>
      <c r="Y15" s="26">
        <v>0.59999999999999998</v>
      </c>
      <c r="Z15" s="8"/>
      <c r="AA15" s="26">
        <v>0.29999999999999999</v>
      </c>
      <c r="AB15" s="8"/>
      <c r="AC15" s="8"/>
    </row>
    <row r="16" ht="12" customHeight="1">
      <c r="A16" s="8" t="s">
        <v>93</v>
      </c>
      <c r="B16" s="8" t="s">
        <v>852</v>
      </c>
      <c r="C16" s="26">
        <v>5</v>
      </c>
      <c r="D16" s="8"/>
      <c r="E16" s="26">
        <v>8.4000000000000004</v>
      </c>
      <c r="F16" s="8"/>
      <c r="G16" s="26">
        <v>8.4000000000000004</v>
      </c>
      <c r="H16" s="8"/>
      <c r="I16" s="26">
        <v>9.0999999999999996</v>
      </c>
      <c r="J16" s="8"/>
      <c r="K16" s="26">
        <v>11.6</v>
      </c>
      <c r="L16" s="8"/>
      <c r="M16" s="26">
        <v>10.5</v>
      </c>
      <c r="N16" s="8"/>
      <c r="O16" s="26">
        <v>10.4</v>
      </c>
      <c r="P16" s="8"/>
      <c r="Q16" s="26">
        <v>10.1</v>
      </c>
      <c r="R16" s="8"/>
      <c r="S16" s="26">
        <v>7.7000000000000002</v>
      </c>
      <c r="T16" s="8"/>
      <c r="U16" s="26">
        <v>5</v>
      </c>
      <c r="V16" s="8"/>
      <c r="W16" s="26">
        <v>5.2999999999999998</v>
      </c>
      <c r="X16" s="8"/>
      <c r="Y16" s="26">
        <v>4.9000000000000004</v>
      </c>
      <c r="Z16" s="8"/>
      <c r="AA16" s="26">
        <v>5.7000000000000002</v>
      </c>
      <c r="AB16" s="8"/>
      <c r="AC16" s="8"/>
    </row>
    <row r="17" ht="12" customHeight="1">
      <c r="A17" s="11" t="s">
        <v>95</v>
      </c>
      <c r="B17" s="8" t="s">
        <v>853</v>
      </c>
      <c r="C17" s="26">
        <v>2.7999999999999998</v>
      </c>
      <c r="D17" s="8"/>
      <c r="E17" s="26">
        <v>3.2000000000000002</v>
      </c>
      <c r="F17" s="8"/>
      <c r="G17" s="26">
        <v>5.7000000000000002</v>
      </c>
      <c r="H17" s="8"/>
      <c r="I17" s="26">
        <v>4.2999999999999998</v>
      </c>
      <c r="J17" s="8"/>
      <c r="K17" s="26">
        <v>3.5</v>
      </c>
      <c r="L17" s="8"/>
      <c r="M17" s="26">
        <v>3.7000000000000002</v>
      </c>
      <c r="N17" s="8"/>
      <c r="O17" s="26">
        <v>0.59999999999999998</v>
      </c>
      <c r="P17" s="8"/>
      <c r="Q17" s="26">
        <v>0.5</v>
      </c>
      <c r="R17" s="8"/>
      <c r="S17" s="26">
        <v>-1</v>
      </c>
      <c r="T17" s="8"/>
      <c r="U17" s="26">
        <v>-0.90000000000000002</v>
      </c>
      <c r="V17" s="8"/>
      <c r="W17" s="26">
        <v>-0.80000000000000004</v>
      </c>
      <c r="X17" s="8"/>
      <c r="Y17" s="26">
        <v>-0.10000000000000001</v>
      </c>
      <c r="Z17" s="8"/>
      <c r="AA17" s="26">
        <v>1.6000000000000001</v>
      </c>
      <c r="AB17" s="8"/>
      <c r="AC17" s="8"/>
    </row>
    <row r="18" ht="12" customHeight="1">
      <c r="A18" s="8" t="s">
        <v>97</v>
      </c>
      <c r="B18" s="8" t="s">
        <v>854</v>
      </c>
      <c r="C18" s="26">
        <v>2.6000000000000001</v>
      </c>
      <c r="D18" s="8"/>
      <c r="E18" s="26">
        <v>2.7000000000000002</v>
      </c>
      <c r="F18" s="8"/>
      <c r="G18" s="26">
        <v>5.7999999999999998</v>
      </c>
      <c r="H18" s="8"/>
      <c r="I18" s="26">
        <v>4.5999999999999996</v>
      </c>
      <c r="J18" s="8"/>
      <c r="K18" s="26">
        <v>4</v>
      </c>
      <c r="L18" s="8"/>
      <c r="M18" s="26">
        <v>4.4000000000000004</v>
      </c>
      <c r="N18" s="8"/>
      <c r="O18" s="26">
        <v>0.59999999999999998</v>
      </c>
      <c r="P18" s="8"/>
      <c r="Q18" s="26">
        <v>0.5</v>
      </c>
      <c r="R18" s="8"/>
      <c r="S18" s="26">
        <v>-1.3</v>
      </c>
      <c r="T18" s="8"/>
      <c r="U18" s="26">
        <v>-1.5</v>
      </c>
      <c r="V18" s="8"/>
      <c r="W18" s="26">
        <v>-0.59999999999999998</v>
      </c>
      <c r="X18" s="8"/>
      <c r="Y18" s="26">
        <v>-0.40000000000000002</v>
      </c>
      <c r="Z18" s="8"/>
      <c r="AA18" s="26">
        <v>1.8</v>
      </c>
      <c r="AB18" s="8"/>
      <c r="AC18" s="8"/>
    </row>
    <row r="19" ht="12" customHeight="1">
      <c r="A19" s="8" t="s">
        <v>99</v>
      </c>
      <c r="B19" s="8" t="s">
        <v>855</v>
      </c>
      <c r="C19" s="26">
        <v>3.6000000000000001</v>
      </c>
      <c r="D19" s="8"/>
      <c r="E19" s="26">
        <v>6.2999999999999998</v>
      </c>
      <c r="F19" s="8"/>
      <c r="G19" s="26">
        <v>5.2999999999999998</v>
      </c>
      <c r="H19" s="8"/>
      <c r="I19" s="26">
        <v>2.6000000000000001</v>
      </c>
      <c r="J19" s="8"/>
      <c r="K19" s="26">
        <v>1.3</v>
      </c>
      <c r="L19" s="8"/>
      <c r="M19" s="26">
        <v>0.20000000000000001</v>
      </c>
      <c r="N19" s="8"/>
      <c r="O19" s="26">
        <v>0.10000000000000001</v>
      </c>
      <c r="P19" s="8"/>
      <c r="Q19" s="26">
        <v>0.69999999999999996</v>
      </c>
      <c r="R19" s="8"/>
      <c r="S19" s="26">
        <v>0.29999999999999999</v>
      </c>
      <c r="T19" s="8"/>
      <c r="U19" s="26">
        <v>2.2999999999999998</v>
      </c>
      <c r="V19" s="8"/>
      <c r="W19" s="26">
        <v>-1.7</v>
      </c>
      <c r="X19" s="8"/>
      <c r="Y19" s="26">
        <v>0.5</v>
      </c>
      <c r="Z19" s="8"/>
      <c r="AA19" s="26">
        <v>0.59999999999999998</v>
      </c>
      <c r="AB19" s="8"/>
      <c r="AC19" s="8"/>
    </row>
    <row r="20" ht="12" customHeight="1">
      <c r="A20" s="11" t="s">
        <v>101</v>
      </c>
      <c r="B20" s="8" t="s">
        <v>856</v>
      </c>
      <c r="C20" s="26">
        <v>5.0999999999999996</v>
      </c>
      <c r="D20" s="8"/>
      <c r="E20" s="26">
        <v>5.0999999999999996</v>
      </c>
      <c r="F20" s="8"/>
      <c r="G20" s="26">
        <v>5.2999999999999998</v>
      </c>
      <c r="H20" s="8"/>
      <c r="I20" s="26">
        <v>5.9000000000000004</v>
      </c>
      <c r="J20" s="8"/>
      <c r="K20" s="26">
        <v>6</v>
      </c>
      <c r="L20" s="8"/>
      <c r="M20" s="26">
        <v>5.7000000000000002</v>
      </c>
      <c r="N20" s="8"/>
      <c r="O20" s="26">
        <v>5.5</v>
      </c>
      <c r="P20" s="8"/>
      <c r="Q20" s="26">
        <v>6.2999999999999998</v>
      </c>
      <c r="R20" s="8"/>
      <c r="S20" s="26">
        <v>5.7999999999999998</v>
      </c>
      <c r="T20" s="8"/>
      <c r="U20" s="26">
        <v>5.9000000000000004</v>
      </c>
      <c r="V20" s="8"/>
      <c r="W20" s="26">
        <v>5.7999999999999998</v>
      </c>
      <c r="X20" s="8"/>
      <c r="Y20" s="26">
        <v>4.7999999999999998</v>
      </c>
      <c r="Z20" s="8"/>
      <c r="AA20" s="26">
        <v>4.5</v>
      </c>
      <c r="AB20" s="8"/>
      <c r="AC20" s="8"/>
    </row>
    <row r="21" ht="12" customHeight="1">
      <c r="A21" s="8" t="s">
        <v>103</v>
      </c>
      <c r="B21" s="8" t="s">
        <v>857</v>
      </c>
      <c r="C21" s="26">
        <v>5</v>
      </c>
      <c r="D21" s="8"/>
      <c r="E21" s="26">
        <v>5.0999999999999996</v>
      </c>
      <c r="F21" s="8"/>
      <c r="G21" s="26">
        <v>5</v>
      </c>
      <c r="H21" s="8"/>
      <c r="I21" s="26">
        <v>5.0999999999999996</v>
      </c>
      <c r="J21" s="8"/>
      <c r="K21" s="26">
        <v>5.2000000000000002</v>
      </c>
      <c r="L21" s="8"/>
      <c r="M21" s="26">
        <v>5.2000000000000002</v>
      </c>
      <c r="N21" s="8"/>
      <c r="O21" s="26">
        <v>5.0999999999999996</v>
      </c>
      <c r="P21" s="8"/>
      <c r="Q21" s="26">
        <v>4.7999999999999998</v>
      </c>
      <c r="R21" s="8"/>
      <c r="S21" s="26">
        <v>4.4000000000000004</v>
      </c>
      <c r="T21" s="8"/>
      <c r="U21" s="26">
        <v>3.8999999999999999</v>
      </c>
      <c r="V21" s="8"/>
      <c r="W21" s="26">
        <v>3.5</v>
      </c>
      <c r="X21" s="8"/>
      <c r="Y21" s="26">
        <v>2.7000000000000002</v>
      </c>
      <c r="Z21" s="8"/>
      <c r="AA21" s="26">
        <v>2</v>
      </c>
      <c r="AB21" s="8"/>
      <c r="AC21" s="8"/>
    </row>
    <row r="22" ht="12" customHeight="1">
      <c r="A22" s="8" t="s">
        <v>105</v>
      </c>
      <c r="B22" s="8" t="s">
        <v>858</v>
      </c>
      <c r="C22" s="26">
        <v>5</v>
      </c>
      <c r="D22" s="8"/>
      <c r="E22" s="26">
        <v>5.0999999999999996</v>
      </c>
      <c r="F22" s="8"/>
      <c r="G22" s="26">
        <v>5</v>
      </c>
      <c r="H22" s="8"/>
      <c r="I22" s="26">
        <v>5.0999999999999996</v>
      </c>
      <c r="J22" s="8"/>
      <c r="K22" s="26">
        <v>5.2000000000000002</v>
      </c>
      <c r="L22" s="8"/>
      <c r="M22" s="26">
        <v>5.2000000000000002</v>
      </c>
      <c r="N22" s="8"/>
      <c r="O22" s="26">
        <v>5.0999999999999996</v>
      </c>
      <c r="P22" s="8"/>
      <c r="Q22" s="26">
        <v>4.7999999999999998</v>
      </c>
      <c r="R22" s="8"/>
      <c r="S22" s="26">
        <v>4.4000000000000004</v>
      </c>
      <c r="T22" s="8"/>
      <c r="U22" s="26">
        <v>3.8999999999999999</v>
      </c>
      <c r="V22" s="8"/>
      <c r="W22" s="26">
        <v>3.5</v>
      </c>
      <c r="X22" s="8"/>
      <c r="Y22" s="26">
        <v>2.7000000000000002</v>
      </c>
      <c r="Z22" s="8"/>
      <c r="AA22" s="26">
        <v>2</v>
      </c>
      <c r="AB22" s="8"/>
      <c r="AC22" s="8"/>
    </row>
    <row r="23" ht="12" customHeight="1">
      <c r="A23" s="8" t="s">
        <v>107</v>
      </c>
      <c r="B23" s="8" t="s">
        <v>859</v>
      </c>
      <c r="C23" s="26">
        <v>7</v>
      </c>
      <c r="D23" s="8"/>
      <c r="E23" s="26">
        <v>5.2000000000000002</v>
      </c>
      <c r="F23" s="8"/>
      <c r="G23" s="26">
        <v>5</v>
      </c>
      <c r="H23" s="8"/>
      <c r="I23" s="26">
        <v>4</v>
      </c>
      <c r="J23" s="8"/>
      <c r="K23" s="26">
        <v>3</v>
      </c>
      <c r="L23" s="8"/>
      <c r="M23" s="26">
        <v>3.3999999999999999</v>
      </c>
      <c r="N23" s="8"/>
      <c r="O23" s="26">
        <v>2.7000000000000002</v>
      </c>
      <c r="P23" s="8"/>
      <c r="Q23" s="26">
        <v>3.1000000000000001</v>
      </c>
      <c r="R23" s="8"/>
      <c r="S23" s="26">
        <v>2.3999999999999999</v>
      </c>
      <c r="T23" s="8"/>
      <c r="U23" s="26">
        <v>2.7000000000000002</v>
      </c>
      <c r="V23" s="8"/>
      <c r="W23" s="26">
        <v>1.5</v>
      </c>
      <c r="X23" s="8"/>
      <c r="Y23" s="26">
        <v>1</v>
      </c>
      <c r="Z23" s="8"/>
      <c r="AA23" s="26">
        <v>2.1000000000000001</v>
      </c>
      <c r="AB23" s="8"/>
      <c r="AC23" s="8"/>
    </row>
    <row r="24" ht="12" customHeight="1">
      <c r="A24" s="8" t="s">
        <v>109</v>
      </c>
      <c r="B24" s="8" t="s">
        <v>860</v>
      </c>
      <c r="C24" s="26">
        <v>7.2000000000000002</v>
      </c>
      <c r="D24" s="8"/>
      <c r="E24" s="26">
        <v>7.2000000000000002</v>
      </c>
      <c r="F24" s="8"/>
      <c r="G24" s="26">
        <v>7.2000000000000002</v>
      </c>
      <c r="H24" s="8"/>
      <c r="I24" s="26">
        <v>9.5999999999999996</v>
      </c>
      <c r="J24" s="8"/>
      <c r="K24" s="26">
        <v>9.6999999999999993</v>
      </c>
      <c r="L24" s="8"/>
      <c r="M24" s="26">
        <v>9.6999999999999993</v>
      </c>
      <c r="N24" s="8"/>
      <c r="O24" s="26">
        <v>9.6999999999999993</v>
      </c>
      <c r="P24" s="8"/>
      <c r="Q24" s="26">
        <v>12.1</v>
      </c>
      <c r="R24" s="8"/>
      <c r="S24" s="26">
        <v>12.1</v>
      </c>
      <c r="T24" s="8"/>
      <c r="U24" s="26">
        <v>12.1</v>
      </c>
      <c r="V24" s="8"/>
      <c r="W24" s="26">
        <v>12</v>
      </c>
      <c r="X24" s="8"/>
      <c r="Y24" s="26">
        <v>8.3000000000000007</v>
      </c>
      <c r="Z24" s="8"/>
      <c r="AA24" s="26">
        <v>8.1999999999999993</v>
      </c>
      <c r="AB24" s="8"/>
      <c r="AC24" s="8"/>
    </row>
    <row r="25" ht="12" customHeight="1">
      <c r="A25" s="8" t="s">
        <v>111</v>
      </c>
      <c r="B25" s="8" t="s">
        <v>861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12.199999999999999</v>
      </c>
      <c r="R25" s="8"/>
      <c r="S25" s="26">
        <v>12.199999999999999</v>
      </c>
      <c r="T25" s="8"/>
      <c r="U25" s="26">
        <v>12.199999999999999</v>
      </c>
      <c r="V25" s="8"/>
      <c r="W25" s="26">
        <v>12.199999999999999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862</v>
      </c>
      <c r="C26" s="26">
        <v>2.7999999999999998</v>
      </c>
      <c r="D26" s="8"/>
      <c r="E26" s="26">
        <v>3.7000000000000002</v>
      </c>
      <c r="F26" s="8"/>
      <c r="G26" s="26">
        <v>4.7000000000000002</v>
      </c>
      <c r="H26" s="8"/>
      <c r="I26" s="26">
        <v>4.9000000000000004</v>
      </c>
      <c r="J26" s="8"/>
      <c r="K26" s="26">
        <v>5.5999999999999996</v>
      </c>
      <c r="L26" s="8"/>
      <c r="M26" s="26">
        <v>3.7000000000000002</v>
      </c>
      <c r="N26" s="8"/>
      <c r="O26" s="26">
        <v>3.7999999999999998</v>
      </c>
      <c r="P26" s="8"/>
      <c r="Q26" s="26">
        <v>5.9000000000000004</v>
      </c>
      <c r="R26" s="8"/>
      <c r="S26" s="26">
        <v>4.7999999999999998</v>
      </c>
      <c r="T26" s="8"/>
      <c r="U26" s="26">
        <v>6.9000000000000004</v>
      </c>
      <c r="V26" s="8"/>
      <c r="W26" s="26">
        <v>9</v>
      </c>
      <c r="X26" s="8"/>
      <c r="Y26" s="26">
        <v>11.300000000000001</v>
      </c>
      <c r="Z26" s="8"/>
      <c r="AA26" s="26">
        <v>12.199999999999999</v>
      </c>
      <c r="AB26" s="8"/>
      <c r="AC26" s="8"/>
    </row>
    <row r="27" ht="12" customHeight="1">
      <c r="A27" s="8" t="s">
        <v>115</v>
      </c>
      <c r="B27" s="8" t="s">
        <v>863</v>
      </c>
      <c r="C27" s="26">
        <v>2.2999999999999998</v>
      </c>
      <c r="D27" s="8"/>
      <c r="E27" s="26">
        <v>3.2999999999999998</v>
      </c>
      <c r="F27" s="8"/>
      <c r="G27" s="26">
        <v>4.2000000000000002</v>
      </c>
      <c r="H27" s="8"/>
      <c r="I27" s="26">
        <v>4</v>
      </c>
      <c r="J27" s="8"/>
      <c r="K27" s="26">
        <v>4.9000000000000004</v>
      </c>
      <c r="L27" s="8"/>
      <c r="M27" s="26">
        <v>3</v>
      </c>
      <c r="N27" s="8"/>
      <c r="O27" s="26">
        <v>3.3999999999999999</v>
      </c>
      <c r="P27" s="8"/>
      <c r="Q27" s="26">
        <v>5.7999999999999998</v>
      </c>
      <c r="R27" s="8"/>
      <c r="S27" s="26">
        <v>4.5</v>
      </c>
      <c r="T27" s="8"/>
      <c r="U27" s="26">
        <v>6.2999999999999998</v>
      </c>
      <c r="V27" s="8"/>
      <c r="W27" s="26">
        <v>8.5</v>
      </c>
      <c r="X27" s="8"/>
      <c r="Y27" s="26">
        <v>11.300000000000001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864</v>
      </c>
      <c r="C28" s="26">
        <v>8</v>
      </c>
      <c r="D28" s="8"/>
      <c r="E28" s="26">
        <v>6.7000000000000002</v>
      </c>
      <c r="F28" s="8"/>
      <c r="G28" s="26">
        <v>7.4000000000000004</v>
      </c>
      <c r="H28" s="8"/>
      <c r="I28" s="26">
        <v>4.0999999999999996</v>
      </c>
      <c r="J28" s="8"/>
      <c r="K28" s="26">
        <v>0.90000000000000002</v>
      </c>
      <c r="L28" s="8"/>
      <c r="M28" s="26">
        <v>0.29999999999999999</v>
      </c>
      <c r="N28" s="8"/>
      <c r="O28" s="26">
        <v>-2.2999999999999998</v>
      </c>
      <c r="P28" s="8"/>
      <c r="Q28" s="26">
        <v>-0.59999999999999998</v>
      </c>
      <c r="R28" s="8"/>
      <c r="S28" s="26">
        <v>-1.3</v>
      </c>
      <c r="T28" s="8"/>
      <c r="U28" s="26">
        <v>-0.40000000000000002</v>
      </c>
      <c r="V28" s="8"/>
      <c r="W28" s="26">
        <v>-0.29999999999999999</v>
      </c>
      <c r="X28" s="8"/>
      <c r="Y28" s="26">
        <v>-1.7</v>
      </c>
      <c r="Z28" s="8"/>
      <c r="AA28" s="26">
        <v>-0.69999999999999996</v>
      </c>
      <c r="AB28" s="8"/>
      <c r="AC28" s="8"/>
    </row>
    <row r="29" ht="12" customHeight="1">
      <c r="A29" s="8" t="s">
        <v>119</v>
      </c>
      <c r="B29" s="8" t="s">
        <v>865</v>
      </c>
      <c r="C29" s="26">
        <v>7.0999999999999996</v>
      </c>
      <c r="D29" s="8"/>
      <c r="E29" s="26">
        <v>5.7999999999999998</v>
      </c>
      <c r="F29" s="8"/>
      <c r="G29" s="26">
        <v>6.9000000000000004</v>
      </c>
      <c r="H29" s="8"/>
      <c r="I29" s="26">
        <v>3.5</v>
      </c>
      <c r="J29" s="8"/>
      <c r="K29" s="26">
        <v>-2.5</v>
      </c>
      <c r="L29" s="8"/>
      <c r="M29" s="26">
        <v>-2.7000000000000002</v>
      </c>
      <c r="N29" s="8"/>
      <c r="O29" s="26">
        <v>-5.7000000000000002</v>
      </c>
      <c r="P29" s="8"/>
      <c r="Q29" s="26">
        <v>-1.1000000000000001</v>
      </c>
      <c r="R29" s="8"/>
      <c r="S29" s="26">
        <v>-1.1000000000000001</v>
      </c>
      <c r="T29" s="8"/>
      <c r="U29" s="26">
        <v>1.8</v>
      </c>
      <c r="V29" s="8"/>
      <c r="W29" s="26">
        <v>0.59999999999999998</v>
      </c>
      <c r="X29" s="8"/>
      <c r="Y29" s="26">
        <v>-5</v>
      </c>
      <c r="Z29" s="8"/>
      <c r="AA29" s="26">
        <v>-0.59999999999999998</v>
      </c>
      <c r="AB29" s="8"/>
      <c r="AC29" s="8"/>
    </row>
    <row r="30" ht="12" customHeight="1">
      <c r="A30" s="8" t="s">
        <v>121</v>
      </c>
      <c r="B30" s="8" t="s">
        <v>866</v>
      </c>
      <c r="C30" s="26">
        <v>4.2999999999999998</v>
      </c>
      <c r="D30" s="8"/>
      <c r="E30" s="26">
        <v>7.2999999999999998</v>
      </c>
      <c r="F30" s="8"/>
      <c r="G30" s="26">
        <v>1.3999999999999999</v>
      </c>
      <c r="H30" s="8"/>
      <c r="I30" s="26">
        <v>0.5</v>
      </c>
      <c r="J30" s="8"/>
      <c r="K30" s="26">
        <v>5.9000000000000004</v>
      </c>
      <c r="L30" s="8"/>
      <c r="M30" s="26">
        <v>0.59999999999999998</v>
      </c>
      <c r="N30" s="8"/>
      <c r="O30" s="26">
        <v>10.699999999999999</v>
      </c>
      <c r="P30" s="8"/>
      <c r="Q30" s="26">
        <v>8.8000000000000007</v>
      </c>
      <c r="R30" s="8"/>
      <c r="S30" s="26">
        <v>-6.4000000000000004</v>
      </c>
      <c r="T30" s="8"/>
      <c r="U30" s="26">
        <v>1.2</v>
      </c>
      <c r="V30" s="8"/>
      <c r="W30" s="26">
        <v>-4.5999999999999996</v>
      </c>
      <c r="X30" s="8"/>
      <c r="Y30" s="26">
        <v>-0.80000000000000004</v>
      </c>
      <c r="Z30" s="8"/>
      <c r="AA30" s="26">
        <v>4.7999999999999998</v>
      </c>
      <c r="AB30" s="8"/>
      <c r="AC30" s="8"/>
    </row>
    <row r="31" ht="12" customHeight="1">
      <c r="A31" s="8" t="s">
        <v>123</v>
      </c>
      <c r="B31" s="8" t="s">
        <v>867</v>
      </c>
      <c r="C31" s="26">
        <v>4.2000000000000002</v>
      </c>
      <c r="D31" s="8"/>
      <c r="E31" s="26">
        <v>0.59999999999999998</v>
      </c>
      <c r="F31" s="8"/>
      <c r="G31" s="26">
        <v>3.6000000000000001</v>
      </c>
      <c r="H31" s="8"/>
      <c r="I31" s="26">
        <v>2</v>
      </c>
      <c r="J31" s="8"/>
      <c r="K31" s="26">
        <v>-0.29999999999999999</v>
      </c>
      <c r="L31" s="8"/>
      <c r="M31" s="26">
        <v>-1</v>
      </c>
      <c r="N31" s="8"/>
      <c r="O31" s="26">
        <v>-4.7999999999999998</v>
      </c>
      <c r="P31" s="8"/>
      <c r="Q31" s="26">
        <v>-4.7000000000000002</v>
      </c>
      <c r="R31" s="8"/>
      <c r="S31" s="26">
        <v>-2.5</v>
      </c>
      <c r="T31" s="8"/>
      <c r="U31" s="26">
        <v>-2.2999999999999998</v>
      </c>
      <c r="V31" s="8"/>
      <c r="W31" s="26">
        <v>-1.3</v>
      </c>
      <c r="X31" s="8"/>
      <c r="Y31" s="26">
        <v>-0.20000000000000001</v>
      </c>
      <c r="Z31" s="8"/>
      <c r="AA31" s="26">
        <v>-1.5</v>
      </c>
      <c r="AB31" s="8"/>
      <c r="AC31" s="8"/>
    </row>
    <row r="32" ht="12" customHeight="1">
      <c r="A32" s="8" t="s">
        <v>125</v>
      </c>
      <c r="B32" s="8" t="s">
        <v>868</v>
      </c>
      <c r="C32" s="26">
        <v>14.1</v>
      </c>
      <c r="D32" s="8"/>
      <c r="E32" s="26">
        <v>10.5</v>
      </c>
      <c r="F32" s="8"/>
      <c r="G32" s="26">
        <v>7.2000000000000002</v>
      </c>
      <c r="H32" s="8"/>
      <c r="I32" s="26">
        <v>2.2000000000000002</v>
      </c>
      <c r="J32" s="8"/>
      <c r="K32" s="26">
        <v>2.7000000000000002</v>
      </c>
      <c r="L32" s="8"/>
      <c r="M32" s="26">
        <v>9.9000000000000004</v>
      </c>
      <c r="N32" s="8"/>
      <c r="O32" s="26">
        <v>5.2000000000000002</v>
      </c>
      <c r="P32" s="8"/>
      <c r="Q32" s="26">
        <v>3.1000000000000001</v>
      </c>
      <c r="R32" s="8"/>
      <c r="S32" s="26">
        <v>0.90000000000000002</v>
      </c>
      <c r="T32" s="8"/>
      <c r="U32" s="26">
        <v>-0.5</v>
      </c>
      <c r="V32" s="8"/>
      <c r="W32" s="26">
        <v>-0.10000000000000001</v>
      </c>
      <c r="X32" s="8"/>
      <c r="Y32" s="26">
        <v>2.5</v>
      </c>
      <c r="Z32" s="8"/>
      <c r="AA32" s="26">
        <v>-2.7999999999999998</v>
      </c>
      <c r="AB32" s="8"/>
      <c r="AC32" s="8"/>
    </row>
    <row r="33" ht="12" customHeight="1">
      <c r="A33" s="8" t="s">
        <v>127</v>
      </c>
      <c r="B33" s="8" t="s">
        <v>869</v>
      </c>
      <c r="C33" s="26">
        <v>9.0999999999999996</v>
      </c>
      <c r="D33" s="8"/>
      <c r="E33" s="26">
        <v>8.3000000000000007</v>
      </c>
      <c r="F33" s="8"/>
      <c r="G33" s="26">
        <v>9</v>
      </c>
      <c r="H33" s="8"/>
      <c r="I33" s="26">
        <v>6.5999999999999996</v>
      </c>
      <c r="J33" s="8"/>
      <c r="K33" s="26">
        <v>4.2000000000000002</v>
      </c>
      <c r="L33" s="8"/>
      <c r="M33" s="26">
        <v>4.5</v>
      </c>
      <c r="N33" s="8"/>
      <c r="O33" s="26">
        <v>-2.1000000000000001</v>
      </c>
      <c r="P33" s="8"/>
      <c r="Q33" s="26">
        <v>-2.7000000000000002</v>
      </c>
      <c r="R33" s="8"/>
      <c r="S33" s="26">
        <v>-2.6000000000000001</v>
      </c>
      <c r="T33" s="8"/>
      <c r="U33" s="26">
        <v>-4.2999999999999998</v>
      </c>
      <c r="V33" s="8"/>
      <c r="W33" s="26">
        <v>-1.3999999999999999</v>
      </c>
      <c r="X33" s="8"/>
      <c r="Y33" s="26">
        <v>-1.1000000000000001</v>
      </c>
      <c r="Z33" s="8"/>
      <c r="AA33" s="26">
        <v>-3</v>
      </c>
      <c r="AB33" s="8"/>
      <c r="AC33" s="8"/>
    </row>
    <row r="34" ht="12" customHeight="1">
      <c r="A34" s="8" t="s">
        <v>129</v>
      </c>
      <c r="B34" s="8" t="s">
        <v>870</v>
      </c>
      <c r="C34" s="26">
        <v>12.4</v>
      </c>
      <c r="D34" s="8"/>
      <c r="E34" s="26">
        <v>12.1</v>
      </c>
      <c r="F34" s="8"/>
      <c r="G34" s="26">
        <v>12.5</v>
      </c>
      <c r="H34" s="8"/>
      <c r="I34" s="26">
        <v>7.2000000000000002</v>
      </c>
      <c r="J34" s="8"/>
      <c r="K34" s="26">
        <v>3.1000000000000001</v>
      </c>
      <c r="L34" s="8"/>
      <c r="M34" s="26">
        <v>1.3999999999999999</v>
      </c>
      <c r="N34" s="8"/>
      <c r="O34" s="26">
        <v>-0.59999999999999998</v>
      </c>
      <c r="P34" s="8"/>
      <c r="Q34" s="26">
        <v>1.5</v>
      </c>
      <c r="R34" s="8"/>
      <c r="S34" s="26">
        <v>1.1000000000000001</v>
      </c>
      <c r="T34" s="8"/>
      <c r="U34" s="26">
        <v>-0.40000000000000002</v>
      </c>
      <c r="V34" s="8"/>
      <c r="W34" s="26">
        <v>1</v>
      </c>
      <c r="X34" s="8"/>
      <c r="Y34" s="26">
        <v>-0.90000000000000002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871</v>
      </c>
      <c r="C35" s="26">
        <v>5.5</v>
      </c>
      <c r="D35" s="8"/>
      <c r="E35" s="26">
        <v>4.7000000000000002</v>
      </c>
      <c r="F35" s="8"/>
      <c r="G35" s="26">
        <v>5</v>
      </c>
      <c r="H35" s="8"/>
      <c r="I35" s="26">
        <v>0.69999999999999996</v>
      </c>
      <c r="J35" s="8"/>
      <c r="K35" s="26">
        <v>0.5</v>
      </c>
      <c r="L35" s="8"/>
      <c r="M35" s="26">
        <v>1.6000000000000001</v>
      </c>
      <c r="N35" s="8"/>
      <c r="O35" s="26">
        <v>0.59999999999999998</v>
      </c>
      <c r="P35" s="8"/>
      <c r="Q35" s="26">
        <v>8.5</v>
      </c>
      <c r="R35" s="8"/>
      <c r="S35" s="26">
        <v>6.2999999999999998</v>
      </c>
      <c r="T35" s="8"/>
      <c r="U35" s="26">
        <v>5.0999999999999996</v>
      </c>
      <c r="V35" s="8"/>
      <c r="W35" s="26">
        <v>4.7999999999999998</v>
      </c>
      <c r="X35" s="8"/>
      <c r="Y35" s="26">
        <v>0.10000000000000001</v>
      </c>
      <c r="Z35" s="8"/>
      <c r="AA35" s="26">
        <v>0.5</v>
      </c>
      <c r="AB35" s="8"/>
      <c r="AC35" s="8"/>
    </row>
    <row r="36" ht="12" customHeight="1">
      <c r="A36" s="8" t="s">
        <v>133</v>
      </c>
      <c r="B36" s="8" t="s">
        <v>872</v>
      </c>
      <c r="C36" s="26">
        <v>5.7999999999999998</v>
      </c>
      <c r="D36" s="8"/>
      <c r="E36" s="26">
        <v>3.8999999999999999</v>
      </c>
      <c r="F36" s="8"/>
      <c r="G36" s="26">
        <v>5.2000000000000002</v>
      </c>
      <c r="H36" s="8"/>
      <c r="I36" s="26">
        <v>-5.7000000000000002</v>
      </c>
      <c r="J36" s="8"/>
      <c r="K36" s="26">
        <v>-6.9000000000000004</v>
      </c>
      <c r="L36" s="8"/>
      <c r="M36" s="26">
        <v>-7.5999999999999996</v>
      </c>
      <c r="N36" s="8"/>
      <c r="O36" s="26">
        <v>-8.5</v>
      </c>
      <c r="P36" s="8"/>
      <c r="Q36" s="26">
        <v>11.699999999999999</v>
      </c>
      <c r="R36" s="8"/>
      <c r="S36" s="26">
        <v>7.5</v>
      </c>
      <c r="T36" s="8"/>
      <c r="U36" s="26">
        <v>8.4000000000000004</v>
      </c>
      <c r="V36" s="8"/>
      <c r="W36" s="26">
        <v>7.5999999999999996</v>
      </c>
      <c r="X36" s="8"/>
      <c r="Y36" s="26">
        <v>-5.2999999999999998</v>
      </c>
      <c r="Z36" s="8"/>
      <c r="AA36" s="26">
        <v>-3.5</v>
      </c>
      <c r="AB36" s="8"/>
      <c r="AC36" s="8"/>
    </row>
    <row r="37" ht="12" customHeight="1">
      <c r="A37" s="8" t="s">
        <v>135</v>
      </c>
      <c r="B37" s="8" t="s">
        <v>873</v>
      </c>
      <c r="C37" s="26">
        <v>5.2000000000000002</v>
      </c>
      <c r="D37" s="8"/>
      <c r="E37" s="26">
        <v>5.2000000000000002</v>
      </c>
      <c r="F37" s="8"/>
      <c r="G37" s="26">
        <v>5</v>
      </c>
      <c r="H37" s="8"/>
      <c r="I37" s="26">
        <v>4.9000000000000004</v>
      </c>
      <c r="J37" s="8"/>
      <c r="K37" s="26">
        <v>5.4000000000000004</v>
      </c>
      <c r="L37" s="8"/>
      <c r="M37" s="26">
        <v>7.7000000000000002</v>
      </c>
      <c r="N37" s="8"/>
      <c r="O37" s="26">
        <v>6.5999999999999996</v>
      </c>
      <c r="P37" s="8"/>
      <c r="Q37" s="26">
        <v>6.4000000000000004</v>
      </c>
      <c r="R37" s="8"/>
      <c r="S37" s="26">
        <v>5.5999999999999996</v>
      </c>
      <c r="T37" s="8"/>
      <c r="U37" s="26">
        <v>3.1000000000000001</v>
      </c>
      <c r="V37" s="8"/>
      <c r="W37" s="26">
        <v>3.2999999999999998</v>
      </c>
      <c r="X37" s="8"/>
      <c r="Y37" s="26">
        <v>3.8999999999999999</v>
      </c>
      <c r="Z37" s="8"/>
      <c r="AA37" s="26">
        <v>3.3999999999999999</v>
      </c>
      <c r="AB37" s="8"/>
      <c r="AC37" s="8"/>
    </row>
    <row r="38" ht="12" customHeight="1">
      <c r="A38" s="8" t="s">
        <v>137</v>
      </c>
      <c r="B38" s="8" t="s">
        <v>874</v>
      </c>
      <c r="C38" s="26">
        <v>8.3000000000000007</v>
      </c>
      <c r="D38" s="8"/>
      <c r="E38" s="26">
        <v>10.199999999999999</v>
      </c>
      <c r="F38" s="8"/>
      <c r="G38" s="26">
        <v>7.4000000000000004</v>
      </c>
      <c r="H38" s="8"/>
      <c r="I38" s="26">
        <v>9.8000000000000007</v>
      </c>
      <c r="J38" s="8"/>
      <c r="K38" s="26">
        <v>13.300000000000001</v>
      </c>
      <c r="L38" s="8"/>
      <c r="M38" s="26">
        <v>13.699999999999999</v>
      </c>
      <c r="N38" s="8"/>
      <c r="O38" s="26">
        <v>11.699999999999999</v>
      </c>
      <c r="P38" s="8"/>
      <c r="Q38" s="26">
        <v>15</v>
      </c>
      <c r="R38" s="8"/>
      <c r="S38" s="26">
        <v>11.199999999999999</v>
      </c>
      <c r="T38" s="8"/>
      <c r="U38" s="26">
        <v>9.0999999999999996</v>
      </c>
      <c r="V38" s="8"/>
      <c r="W38" s="26">
        <v>9.0999999999999996</v>
      </c>
      <c r="X38" s="8"/>
      <c r="Y38" s="26">
        <v>3.6000000000000001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875</v>
      </c>
      <c r="C39" s="26">
        <v>7.4000000000000004</v>
      </c>
      <c r="D39" s="8"/>
      <c r="E39" s="26">
        <v>1.1000000000000001</v>
      </c>
      <c r="F39" s="8"/>
      <c r="G39" s="26">
        <v>-3.2999999999999998</v>
      </c>
      <c r="H39" s="8"/>
      <c r="I39" s="26">
        <v>4</v>
      </c>
      <c r="J39" s="8"/>
      <c r="K39" s="26">
        <v>4.9000000000000004</v>
      </c>
      <c r="L39" s="8"/>
      <c r="M39" s="26">
        <v>4.5</v>
      </c>
      <c r="N39" s="8"/>
      <c r="O39" s="26">
        <v>6.2999999999999998</v>
      </c>
      <c r="P39" s="8"/>
      <c r="Q39" s="26">
        <v>-5</v>
      </c>
      <c r="R39" s="8"/>
      <c r="S39" s="26">
        <v>-4.0999999999999996</v>
      </c>
      <c r="T39" s="8"/>
      <c r="U39" s="26">
        <v>-0.40000000000000002</v>
      </c>
      <c r="V39" s="8"/>
      <c r="W39" s="26">
        <v>-1.8</v>
      </c>
      <c r="X39" s="8"/>
      <c r="Y39" s="26">
        <v>1.5</v>
      </c>
      <c r="Z39" s="8"/>
      <c r="AA39" s="26">
        <v>2.7000000000000002</v>
      </c>
      <c r="AB39" s="8"/>
      <c r="AC39" s="8"/>
    </row>
    <row r="40" ht="12" customHeight="1">
      <c r="A40" s="8" t="s">
        <v>141</v>
      </c>
      <c r="B40" s="8" t="s">
        <v>876</v>
      </c>
      <c r="C40" s="26">
        <v>2.2999999999999998</v>
      </c>
      <c r="D40" s="8"/>
      <c r="E40" s="26">
        <v>0.40000000000000002</v>
      </c>
      <c r="F40" s="8"/>
      <c r="G40" s="26">
        <v>1.7</v>
      </c>
      <c r="H40" s="8"/>
      <c r="I40" s="26">
        <v>4.7999999999999998</v>
      </c>
      <c r="J40" s="8"/>
      <c r="K40" s="26">
        <v>2.3999999999999999</v>
      </c>
      <c r="L40" s="8"/>
      <c r="M40" s="26">
        <v>0.40000000000000002</v>
      </c>
      <c r="N40" s="8"/>
      <c r="O40" s="26">
        <v>-4</v>
      </c>
      <c r="P40" s="8"/>
      <c r="Q40" s="26">
        <v>-8.1999999999999993</v>
      </c>
      <c r="R40" s="8"/>
      <c r="S40" s="26">
        <v>-3.8999999999999999</v>
      </c>
      <c r="T40" s="8"/>
      <c r="U40" s="26">
        <v>-2.5</v>
      </c>
      <c r="V40" s="8"/>
      <c r="W40" s="26">
        <v>2</v>
      </c>
      <c r="X40" s="8"/>
      <c r="Y40" s="26">
        <v>3.8999999999999999</v>
      </c>
      <c r="Z40" s="8"/>
      <c r="AA40" s="26">
        <v>1.5</v>
      </c>
      <c r="AB40" s="8"/>
      <c r="AC40" s="8"/>
    </row>
    <row r="41" ht="12" customHeight="1">
      <c r="A41" s="8" t="s">
        <v>143</v>
      </c>
      <c r="B41" s="8" t="s">
        <v>877</v>
      </c>
      <c r="C41" s="26">
        <v>4.7000000000000002</v>
      </c>
      <c r="D41" s="8"/>
      <c r="E41" s="26">
        <v>-4.2999999999999998</v>
      </c>
      <c r="F41" s="8"/>
      <c r="G41" s="26">
        <v>-10.800000000000001</v>
      </c>
      <c r="H41" s="8"/>
      <c r="I41" s="26">
        <v>3.2000000000000002</v>
      </c>
      <c r="J41" s="8"/>
      <c r="K41" s="26">
        <v>8.9000000000000004</v>
      </c>
      <c r="L41" s="8"/>
      <c r="M41" s="26">
        <v>9.6999999999999993</v>
      </c>
      <c r="N41" s="8"/>
      <c r="O41" s="26">
        <v>12.9</v>
      </c>
      <c r="P41" s="8"/>
      <c r="Q41" s="26">
        <v>-3.8999999999999999</v>
      </c>
      <c r="R41" s="8"/>
      <c r="S41" s="26">
        <v>-5.4000000000000004</v>
      </c>
      <c r="T41" s="8"/>
      <c r="U41" s="26">
        <v>-0.90000000000000002</v>
      </c>
      <c r="V41" s="8"/>
      <c r="W41" s="26">
        <v>-4.0999999999999996</v>
      </c>
      <c r="X41" s="8"/>
      <c r="Y41" s="26">
        <v>0.69999999999999996</v>
      </c>
      <c r="Z41" s="8"/>
      <c r="AA41" s="26">
        <v>3.5</v>
      </c>
      <c r="AB41" s="8"/>
      <c r="AC41" s="8"/>
    </row>
    <row r="42" ht="12" customHeight="1">
      <c r="A42" s="8" t="s">
        <v>145</v>
      </c>
      <c r="B42" s="8" t="s">
        <v>878</v>
      </c>
      <c r="C42" s="26">
        <v>2.2999999999999998</v>
      </c>
      <c r="D42" s="8"/>
      <c r="E42" s="26">
        <v>-8.4000000000000004</v>
      </c>
      <c r="F42" s="8"/>
      <c r="G42" s="26">
        <v>-15</v>
      </c>
      <c r="H42" s="8"/>
      <c r="I42" s="26">
        <v>3.7999999999999998</v>
      </c>
      <c r="J42" s="8"/>
      <c r="K42" s="26">
        <v>11.800000000000001</v>
      </c>
      <c r="L42" s="8"/>
      <c r="M42" s="26">
        <v>12.1</v>
      </c>
      <c r="N42" s="8"/>
      <c r="O42" s="26">
        <v>14.699999999999999</v>
      </c>
      <c r="P42" s="8"/>
      <c r="Q42" s="26">
        <v>-7.7000000000000002</v>
      </c>
      <c r="R42" s="8"/>
      <c r="S42" s="26">
        <v>-9.0999999999999996</v>
      </c>
      <c r="T42" s="8"/>
      <c r="U42" s="26">
        <v>-2.6000000000000001</v>
      </c>
      <c r="V42" s="8"/>
      <c r="W42" s="26">
        <v>-7.9000000000000004</v>
      </c>
      <c r="X42" s="8"/>
      <c r="Y42" s="26">
        <v>-1.7</v>
      </c>
      <c r="Z42" s="8"/>
      <c r="AA42" s="26">
        <v>2.2999999999999998</v>
      </c>
      <c r="AB42" s="8"/>
      <c r="AC42" s="8"/>
    </row>
    <row r="43" ht="12" customHeight="1">
      <c r="A43" s="8" t="s">
        <v>147</v>
      </c>
      <c r="B43" s="8" t="s">
        <v>879</v>
      </c>
      <c r="C43" s="26">
        <v>10.800000000000001</v>
      </c>
      <c r="D43" s="8"/>
      <c r="E43" s="26">
        <v>15.300000000000001</v>
      </c>
      <c r="F43" s="8"/>
      <c r="G43" s="26">
        <v>23.100000000000001</v>
      </c>
      <c r="H43" s="8"/>
      <c r="I43" s="26">
        <v>5.9000000000000004</v>
      </c>
      <c r="J43" s="8"/>
      <c r="K43" s="26">
        <v>-5</v>
      </c>
      <c r="L43" s="8"/>
      <c r="M43" s="26">
        <v>-6.0999999999999996</v>
      </c>
      <c r="N43" s="8"/>
      <c r="O43" s="26">
        <v>-2.7000000000000002</v>
      </c>
      <c r="P43" s="8"/>
      <c r="Q43" s="26">
        <v>-4.5</v>
      </c>
      <c r="R43" s="8"/>
      <c r="S43" s="26">
        <v>0.20000000000000001</v>
      </c>
      <c r="T43" s="8"/>
      <c r="U43" s="26">
        <v>2.7999999999999998</v>
      </c>
      <c r="V43" s="8"/>
      <c r="W43" s="26">
        <v>2.5</v>
      </c>
      <c r="X43" s="8"/>
      <c r="Y43" s="26">
        <v>0.80000000000000004</v>
      </c>
      <c r="Z43" s="8"/>
      <c r="AA43" s="26">
        <v>0.90000000000000002</v>
      </c>
      <c r="AB43" s="8"/>
      <c r="AC43" s="8"/>
    </row>
    <row r="44" ht="12" customHeight="1">
      <c r="A44" s="11" t="s">
        <v>149</v>
      </c>
      <c r="B44" s="8" t="s">
        <v>880</v>
      </c>
      <c r="C44" s="26">
        <v>1</v>
      </c>
      <c r="D44" s="8"/>
      <c r="E44" s="26">
        <v>1.2</v>
      </c>
      <c r="F44" s="8"/>
      <c r="G44" s="26">
        <v>2</v>
      </c>
      <c r="H44" s="8"/>
      <c r="I44" s="26">
        <v>2.1000000000000001</v>
      </c>
      <c r="J44" s="8"/>
      <c r="K44" s="26">
        <v>3.7999999999999998</v>
      </c>
      <c r="L44" s="8"/>
      <c r="M44" s="26">
        <v>3.8999999999999999</v>
      </c>
      <c r="N44" s="8"/>
      <c r="O44" s="26">
        <v>4.4000000000000004</v>
      </c>
      <c r="P44" s="8"/>
      <c r="Q44" s="26">
        <v>3.7000000000000002</v>
      </c>
      <c r="R44" s="8"/>
      <c r="S44" s="26">
        <v>3.8999999999999999</v>
      </c>
      <c r="T44" s="8"/>
      <c r="U44" s="26">
        <v>3.8999999999999999</v>
      </c>
      <c r="V44" s="8"/>
      <c r="W44" s="26">
        <v>3.2000000000000002</v>
      </c>
      <c r="X44" s="8"/>
      <c r="Y44" s="26">
        <v>3</v>
      </c>
      <c r="Z44" s="8"/>
      <c r="AA44" s="26">
        <v>5</v>
      </c>
      <c r="AB44" s="8"/>
      <c r="AC44" s="8"/>
    </row>
    <row r="45" ht="12" customHeight="1">
      <c r="A45" s="8" t="s">
        <v>151</v>
      </c>
      <c r="B45" s="8" t="s">
        <v>881</v>
      </c>
      <c r="C45" s="26">
        <v>11.9</v>
      </c>
      <c r="D45" s="8"/>
      <c r="E45" s="26">
        <v>11.699999999999999</v>
      </c>
      <c r="F45" s="8"/>
      <c r="G45" s="26">
        <v>7.7000000000000002</v>
      </c>
      <c r="H45" s="8"/>
      <c r="I45" s="26">
        <v>8.5</v>
      </c>
      <c r="J45" s="8"/>
      <c r="K45" s="26">
        <v>8.4000000000000004</v>
      </c>
      <c r="L45" s="8"/>
      <c r="M45" s="26">
        <v>5.7000000000000002</v>
      </c>
      <c r="N45" s="8"/>
      <c r="O45" s="26">
        <v>6.4000000000000004</v>
      </c>
      <c r="P45" s="8"/>
      <c r="Q45" s="26">
        <v>1.7</v>
      </c>
      <c r="R45" s="8"/>
      <c r="S45" s="26">
        <v>0.5</v>
      </c>
      <c r="T45" s="8"/>
      <c r="U45" s="26">
        <v>1.8</v>
      </c>
      <c r="V45" s="8"/>
      <c r="W45" s="26">
        <v>3.1000000000000001</v>
      </c>
      <c r="X45" s="8"/>
      <c r="Y45" s="26">
        <v>8.1999999999999993</v>
      </c>
      <c r="Z45" s="8"/>
      <c r="AA45" s="26">
        <v>8.4000000000000004</v>
      </c>
      <c r="AB45" s="8"/>
      <c r="AC45" s="8"/>
    </row>
    <row r="46" ht="12" customHeight="1">
      <c r="A46" s="8" t="s">
        <v>153</v>
      </c>
      <c r="B46" s="8" t="s">
        <v>882</v>
      </c>
      <c r="C46" s="26">
        <v>-15.5</v>
      </c>
      <c r="D46" s="8"/>
      <c r="E46" s="26">
        <v>-10.4</v>
      </c>
      <c r="F46" s="8"/>
      <c r="G46" s="26">
        <v>-25</v>
      </c>
      <c r="H46" s="8"/>
      <c r="I46" s="26">
        <v>-14.5</v>
      </c>
      <c r="J46" s="8"/>
      <c r="K46" s="26">
        <v>-0.69999999999999996</v>
      </c>
      <c r="L46" s="8"/>
      <c r="M46" s="26">
        <v>-5</v>
      </c>
      <c r="N46" s="8"/>
      <c r="O46" s="26">
        <v>14.1</v>
      </c>
      <c r="P46" s="8"/>
      <c r="Q46" s="26">
        <v>3.6000000000000001</v>
      </c>
      <c r="R46" s="8"/>
      <c r="S46" s="26">
        <v>-10.9</v>
      </c>
      <c r="T46" s="8"/>
      <c r="U46" s="26">
        <v>-13</v>
      </c>
      <c r="V46" s="8"/>
      <c r="W46" s="26">
        <v>-25.300000000000001</v>
      </c>
      <c r="X46" s="8"/>
      <c r="Y46" s="26">
        <v>-15.300000000000001</v>
      </c>
      <c r="Z46" s="8"/>
      <c r="AA46" s="26">
        <v>-5.4000000000000004</v>
      </c>
      <c r="AB46" s="8"/>
      <c r="AC46" s="8"/>
    </row>
    <row r="47" ht="12" customHeight="1">
      <c r="A47" s="8" t="s">
        <v>155</v>
      </c>
      <c r="B47" s="8" t="s">
        <v>883</v>
      </c>
      <c r="C47" s="26">
        <v>1.8999999999999999</v>
      </c>
      <c r="D47" s="8"/>
      <c r="E47" s="26">
        <v>1.6000000000000001</v>
      </c>
      <c r="F47" s="8"/>
      <c r="G47" s="26">
        <v>3.7999999999999998</v>
      </c>
      <c r="H47" s="8"/>
      <c r="I47" s="26">
        <v>2.8999999999999999</v>
      </c>
      <c r="J47" s="8"/>
      <c r="K47" s="26">
        <v>3.8999999999999999</v>
      </c>
      <c r="L47" s="8"/>
      <c r="M47" s="26">
        <v>4.4000000000000004</v>
      </c>
      <c r="N47" s="8"/>
      <c r="O47" s="26">
        <v>3.8999999999999999</v>
      </c>
      <c r="P47" s="8"/>
      <c r="Q47" s="26">
        <v>3.7000000000000002</v>
      </c>
      <c r="R47" s="8"/>
      <c r="S47" s="26">
        <v>4.7999999999999998</v>
      </c>
      <c r="T47" s="8"/>
      <c r="U47" s="26">
        <v>5.9000000000000004</v>
      </c>
      <c r="V47" s="8"/>
      <c r="W47" s="26">
        <v>6.7999999999999998</v>
      </c>
      <c r="X47" s="8"/>
      <c r="Y47" s="26">
        <v>6.4000000000000004</v>
      </c>
      <c r="Z47" s="8"/>
      <c r="AA47" s="26">
        <v>7</v>
      </c>
      <c r="AB47" s="8"/>
      <c r="AC47" s="8"/>
    </row>
    <row r="48" ht="12" customHeight="1">
      <c r="A48" s="11" t="s">
        <v>157</v>
      </c>
      <c r="B48" s="8" t="s">
        <v>884</v>
      </c>
      <c r="C48" s="26">
        <v>5.0999999999999996</v>
      </c>
      <c r="D48" s="8"/>
      <c r="E48" s="26">
        <v>7.2999999999999998</v>
      </c>
      <c r="F48" s="8"/>
      <c r="G48" s="26">
        <v>7.2000000000000002</v>
      </c>
      <c r="H48" s="8"/>
      <c r="I48" s="26">
        <v>6.5999999999999996</v>
      </c>
      <c r="J48" s="8"/>
      <c r="K48" s="26">
        <v>5</v>
      </c>
      <c r="L48" s="8"/>
      <c r="M48" s="26">
        <v>5.0999999999999996</v>
      </c>
      <c r="N48" s="8"/>
      <c r="O48" s="26">
        <v>2.6000000000000001</v>
      </c>
      <c r="P48" s="8"/>
      <c r="Q48" s="26">
        <v>2</v>
      </c>
      <c r="R48" s="8"/>
      <c r="S48" s="26">
        <v>2.1000000000000001</v>
      </c>
      <c r="T48" s="8"/>
      <c r="U48" s="26">
        <v>0.20000000000000001</v>
      </c>
      <c r="V48" s="8"/>
      <c r="W48" s="26">
        <v>2</v>
      </c>
      <c r="X48" s="8"/>
      <c r="Y48" s="26">
        <v>2.6000000000000001</v>
      </c>
      <c r="Z48" s="8"/>
      <c r="AA48" s="26">
        <v>2.1000000000000001</v>
      </c>
      <c r="AB48" s="8"/>
      <c r="AC48" s="8"/>
    </row>
    <row r="49" ht="12" customHeight="1">
      <c r="A49" s="8" t="s">
        <v>159</v>
      </c>
      <c r="B49" s="8" t="s">
        <v>885</v>
      </c>
      <c r="C49" s="26">
        <v>-4.7000000000000002</v>
      </c>
      <c r="D49" s="8"/>
      <c r="E49" s="26">
        <v>-2.3999999999999999</v>
      </c>
      <c r="F49" s="8"/>
      <c r="G49" s="26">
        <v>-5.4000000000000004</v>
      </c>
      <c r="H49" s="8"/>
      <c r="I49" s="26">
        <v>-7.7999999999999998</v>
      </c>
      <c r="J49" s="8"/>
      <c r="K49" s="26">
        <v>-6</v>
      </c>
      <c r="L49" s="8"/>
      <c r="M49" s="26">
        <v>-9.3000000000000007</v>
      </c>
      <c r="N49" s="8"/>
      <c r="O49" s="26">
        <v>-4.4000000000000004</v>
      </c>
      <c r="P49" s="8"/>
      <c r="Q49" s="26">
        <v>-3.8999999999999999</v>
      </c>
      <c r="R49" s="8"/>
      <c r="S49" s="26">
        <v>-5.5</v>
      </c>
      <c r="T49" s="8"/>
      <c r="U49" s="26">
        <v>-5.0999999999999996</v>
      </c>
      <c r="V49" s="8"/>
      <c r="W49" s="26">
        <v>-11.300000000000001</v>
      </c>
      <c r="X49" s="8"/>
      <c r="Y49" s="26">
        <v>-11.800000000000001</v>
      </c>
      <c r="Z49" s="8"/>
      <c r="AA49" s="26">
        <v>-8.6999999999999993</v>
      </c>
      <c r="AB49" s="8"/>
      <c r="AC49" s="8"/>
    </row>
    <row r="50" ht="12" customHeight="1">
      <c r="A50" s="8" t="s">
        <v>161</v>
      </c>
      <c r="B50" s="8" t="s">
        <v>886</v>
      </c>
      <c r="C50" s="26">
        <v>13.9</v>
      </c>
      <c r="D50" s="8"/>
      <c r="E50" s="26">
        <v>13.9</v>
      </c>
      <c r="F50" s="8"/>
      <c r="G50" s="26">
        <v>8.1999999999999993</v>
      </c>
      <c r="H50" s="8"/>
      <c r="I50" s="26">
        <v>5.2999999999999998</v>
      </c>
      <c r="J50" s="8"/>
      <c r="K50" s="26">
        <v>1.8</v>
      </c>
      <c r="L50" s="8"/>
      <c r="M50" s="26">
        <v>1.7</v>
      </c>
      <c r="N50" s="8"/>
      <c r="O50" s="26">
        <v>2</v>
      </c>
      <c r="P50" s="8"/>
      <c r="Q50" s="26">
        <v>-0.80000000000000004</v>
      </c>
      <c r="R50" s="8"/>
      <c r="S50" s="26">
        <v>0.59999999999999998</v>
      </c>
      <c r="T50" s="8"/>
      <c r="U50" s="26">
        <v>-0.10000000000000001</v>
      </c>
      <c r="V50" s="8"/>
      <c r="W50" s="26">
        <v>1.3</v>
      </c>
      <c r="X50" s="8"/>
      <c r="Y50" s="26">
        <v>3</v>
      </c>
      <c r="Z50" s="8"/>
      <c r="AA50" s="26">
        <v>3</v>
      </c>
      <c r="AB50" s="8"/>
      <c r="AC50" s="8"/>
    </row>
    <row r="51" ht="12" customHeight="1">
      <c r="A51" s="8" t="s">
        <v>163</v>
      </c>
      <c r="B51" s="8" t="s">
        <v>887</v>
      </c>
      <c r="C51" s="26">
        <v>7.9000000000000004</v>
      </c>
      <c r="D51" s="8"/>
      <c r="E51" s="26">
        <v>10</v>
      </c>
      <c r="F51" s="8"/>
      <c r="G51" s="26">
        <v>11.199999999999999</v>
      </c>
      <c r="H51" s="8"/>
      <c r="I51" s="26">
        <v>8.5999999999999996</v>
      </c>
      <c r="J51" s="8"/>
      <c r="K51" s="26">
        <v>6</v>
      </c>
      <c r="L51" s="8"/>
      <c r="M51" s="26">
        <v>5</v>
      </c>
      <c r="N51" s="8"/>
      <c r="O51" s="26">
        <v>-1</v>
      </c>
      <c r="P51" s="8"/>
      <c r="Q51" s="26">
        <v>0.90000000000000002</v>
      </c>
      <c r="R51" s="8"/>
      <c r="S51" s="26">
        <v>2.2999999999999998</v>
      </c>
      <c r="T51" s="8"/>
      <c r="U51" s="26">
        <v>0.40000000000000002</v>
      </c>
      <c r="V51" s="8"/>
      <c r="W51" s="26">
        <v>0.69999999999999996</v>
      </c>
      <c r="X51" s="8"/>
      <c r="Y51" s="26">
        <v>0</v>
      </c>
      <c r="Z51" s="8"/>
      <c r="AA51" s="26">
        <v>-1.2</v>
      </c>
      <c r="AB51" s="8"/>
      <c r="AC51" s="8"/>
    </row>
    <row r="52" ht="12" customHeight="1">
      <c r="A52" s="8" t="s">
        <v>165</v>
      </c>
      <c r="B52" s="8" t="s">
        <v>888</v>
      </c>
      <c r="C52" s="26">
        <v>2</v>
      </c>
      <c r="D52" s="8"/>
      <c r="E52" s="26">
        <v>3.2999999999999998</v>
      </c>
      <c r="F52" s="8"/>
      <c r="G52" s="26">
        <v>4.0999999999999996</v>
      </c>
      <c r="H52" s="8"/>
      <c r="I52" s="26">
        <v>7</v>
      </c>
      <c r="J52" s="8"/>
      <c r="K52" s="26">
        <v>6.7999999999999998</v>
      </c>
      <c r="L52" s="8"/>
      <c r="M52" s="26">
        <v>7.5</v>
      </c>
      <c r="N52" s="8"/>
      <c r="O52" s="26">
        <v>8.3000000000000007</v>
      </c>
      <c r="P52" s="8"/>
      <c r="Q52" s="26">
        <v>7</v>
      </c>
      <c r="R52" s="8"/>
      <c r="S52" s="26">
        <v>5.5</v>
      </c>
      <c r="T52" s="8"/>
      <c r="U52" s="26">
        <v>3.8999999999999999</v>
      </c>
      <c r="V52" s="8"/>
      <c r="W52" s="26">
        <v>7</v>
      </c>
      <c r="X52" s="8"/>
      <c r="Y52" s="26">
        <v>7.5</v>
      </c>
      <c r="Z52" s="8"/>
      <c r="AA52" s="26">
        <v>6.7000000000000002</v>
      </c>
      <c r="AB52" s="8"/>
      <c r="AC52" s="8"/>
    </row>
    <row r="53" ht="12" customHeight="1">
      <c r="A53" s="8" t="s">
        <v>167</v>
      </c>
      <c r="B53" s="8" t="s">
        <v>889</v>
      </c>
      <c r="C53" s="26">
        <v>4.2999999999999998</v>
      </c>
      <c r="D53" s="8"/>
      <c r="E53" s="26">
        <v>8.6999999999999993</v>
      </c>
      <c r="F53" s="8"/>
      <c r="G53" s="26">
        <v>6.7999999999999998</v>
      </c>
      <c r="H53" s="8"/>
      <c r="I53" s="26">
        <v>9</v>
      </c>
      <c r="J53" s="8"/>
      <c r="K53" s="26">
        <v>6.5</v>
      </c>
      <c r="L53" s="8"/>
      <c r="M53" s="26">
        <v>5.2000000000000002</v>
      </c>
      <c r="N53" s="8"/>
      <c r="O53" s="26">
        <v>3.6000000000000001</v>
      </c>
      <c r="P53" s="8"/>
      <c r="Q53" s="26">
        <v>1.5</v>
      </c>
      <c r="R53" s="8"/>
      <c r="S53" s="26">
        <v>2.2999999999999998</v>
      </c>
      <c r="T53" s="8"/>
      <c r="U53" s="26">
        <v>1.7</v>
      </c>
      <c r="V53" s="8"/>
      <c r="W53" s="26">
        <v>1</v>
      </c>
      <c r="X53" s="8"/>
      <c r="Y53" s="26">
        <v>3.7999999999999998</v>
      </c>
      <c r="Z53" s="8"/>
      <c r="AA53" s="26">
        <v>3.1000000000000001</v>
      </c>
      <c r="AB53" s="8"/>
      <c r="AC53" s="8"/>
    </row>
    <row r="54" ht="12" customHeight="1">
      <c r="A54" s="8" t="s">
        <v>169</v>
      </c>
      <c r="B54" s="8" t="s">
        <v>890</v>
      </c>
      <c r="C54" s="26">
        <v>13.800000000000001</v>
      </c>
      <c r="D54" s="8"/>
      <c r="E54" s="26">
        <v>14.9</v>
      </c>
      <c r="F54" s="8"/>
      <c r="G54" s="26">
        <v>14.1</v>
      </c>
      <c r="H54" s="8"/>
      <c r="I54" s="26">
        <v>9.5999999999999996</v>
      </c>
      <c r="J54" s="8"/>
      <c r="K54" s="26">
        <v>6.2000000000000002</v>
      </c>
      <c r="L54" s="8"/>
      <c r="M54" s="26">
        <v>8.9000000000000004</v>
      </c>
      <c r="N54" s="8"/>
      <c r="O54" s="26">
        <v>3.6000000000000001</v>
      </c>
      <c r="P54" s="8"/>
      <c r="Q54" s="26">
        <v>-0.59999999999999998</v>
      </c>
      <c r="R54" s="8"/>
      <c r="S54" s="26">
        <v>0.29999999999999999</v>
      </c>
      <c r="T54" s="8"/>
      <c r="U54" s="26">
        <v>-3.8999999999999999</v>
      </c>
      <c r="V54" s="8"/>
      <c r="W54" s="26">
        <v>3.7999999999999998</v>
      </c>
      <c r="X54" s="8"/>
      <c r="Y54" s="26">
        <v>6.7000000000000002</v>
      </c>
      <c r="Z54" s="8"/>
      <c r="AA54" s="26">
        <v>6.7999999999999998</v>
      </c>
      <c r="AB54" s="8"/>
      <c r="AC54" s="8"/>
    </row>
    <row r="55" ht="12" customHeight="1">
      <c r="A55" s="11" t="s">
        <v>171</v>
      </c>
      <c r="B55" s="8" t="s">
        <v>891</v>
      </c>
      <c r="C55" s="26">
        <v>2.8999999999999999</v>
      </c>
      <c r="D55" s="8"/>
      <c r="E55" s="26">
        <v>3.6000000000000001</v>
      </c>
      <c r="F55" s="8"/>
      <c r="G55" s="26">
        <v>3.6000000000000001</v>
      </c>
      <c r="H55" s="8"/>
      <c r="I55" s="26">
        <v>3.3999999999999999</v>
      </c>
      <c r="J55" s="8"/>
      <c r="K55" s="26">
        <v>3.3999999999999999</v>
      </c>
      <c r="L55" s="8"/>
      <c r="M55" s="26">
        <v>4</v>
      </c>
      <c r="N55" s="8"/>
      <c r="O55" s="26">
        <v>4</v>
      </c>
      <c r="P55" s="8"/>
      <c r="Q55" s="26">
        <v>-5.4000000000000004</v>
      </c>
      <c r="R55" s="8"/>
      <c r="S55" s="26">
        <v>-5.4000000000000004</v>
      </c>
      <c r="T55" s="8"/>
      <c r="U55" s="26">
        <v>1.8999999999999999</v>
      </c>
      <c r="V55" s="8"/>
      <c r="W55" s="26">
        <v>1.8999999999999999</v>
      </c>
      <c r="X55" s="8"/>
      <c r="Y55" s="26">
        <v>11.199999999999999</v>
      </c>
      <c r="Z55" s="8"/>
      <c r="AA55" s="26">
        <v>11.199999999999999</v>
      </c>
      <c r="AB55" s="8"/>
      <c r="AC55" s="8"/>
    </row>
    <row r="56" ht="12" customHeight="1">
      <c r="A56" s="8" t="s">
        <v>173</v>
      </c>
      <c r="B56" s="8" t="s">
        <v>892</v>
      </c>
      <c r="C56" s="26">
        <v>3.8999999999999999</v>
      </c>
      <c r="D56" s="8"/>
      <c r="E56" s="26">
        <v>3.8999999999999999</v>
      </c>
      <c r="F56" s="8"/>
      <c r="G56" s="26">
        <v>3.8999999999999999</v>
      </c>
      <c r="H56" s="8"/>
      <c r="I56" s="26">
        <v>3.5</v>
      </c>
      <c r="J56" s="8"/>
      <c r="K56" s="26">
        <v>3.5</v>
      </c>
      <c r="L56" s="8"/>
      <c r="M56" s="26">
        <v>3.5</v>
      </c>
      <c r="N56" s="8"/>
      <c r="O56" s="26">
        <v>3.5</v>
      </c>
      <c r="P56" s="8"/>
      <c r="Q56" s="26">
        <v>-19.100000000000001</v>
      </c>
      <c r="R56" s="8"/>
      <c r="S56" s="26">
        <v>-19.100000000000001</v>
      </c>
      <c r="T56" s="8"/>
      <c r="U56" s="26">
        <v>-19.100000000000001</v>
      </c>
      <c r="V56" s="8"/>
      <c r="W56" s="26">
        <v>-19.100000000000001</v>
      </c>
      <c r="X56" s="8"/>
      <c r="Y56" s="26">
        <v>2.5</v>
      </c>
      <c r="Z56" s="8"/>
      <c r="AA56" s="26">
        <v>2.5</v>
      </c>
      <c r="AB56" s="8"/>
      <c r="AC56" s="8"/>
    </row>
    <row r="57" ht="12" customHeight="1">
      <c r="A57" s="8" t="s">
        <v>175</v>
      </c>
      <c r="B57" s="8" t="s">
        <v>893</v>
      </c>
      <c r="C57" s="26">
        <v>3.1000000000000001</v>
      </c>
      <c r="D57" s="8"/>
      <c r="E57" s="26">
        <v>1.8</v>
      </c>
      <c r="F57" s="8"/>
      <c r="G57" s="26">
        <v>1.8</v>
      </c>
      <c r="H57" s="8"/>
      <c r="I57" s="26">
        <v>1.8</v>
      </c>
      <c r="J57" s="8"/>
      <c r="K57" s="26">
        <v>1.8</v>
      </c>
      <c r="L57" s="8"/>
      <c r="M57" s="26">
        <v>3.3999999999999999</v>
      </c>
      <c r="N57" s="8"/>
      <c r="O57" s="26">
        <v>3.3999999999999999</v>
      </c>
      <c r="P57" s="8"/>
      <c r="Q57" s="26">
        <v>3.3999999999999999</v>
      </c>
      <c r="R57" s="8"/>
      <c r="S57" s="26">
        <v>3.3999999999999999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  <c r="AC57" s="8"/>
    </row>
    <row r="58" ht="12" customHeight="1">
      <c r="A58" s="8" t="s">
        <v>177</v>
      </c>
      <c r="B58" s="8" t="s">
        <v>894</v>
      </c>
      <c r="C58" s="26">
        <v>1.3999999999999999</v>
      </c>
      <c r="D58" s="8"/>
      <c r="E58" s="26">
        <v>5.0999999999999996</v>
      </c>
      <c r="F58" s="8"/>
      <c r="G58" s="26">
        <v>5.0999999999999996</v>
      </c>
      <c r="H58" s="8"/>
      <c r="I58" s="26">
        <v>5.0999999999999996</v>
      </c>
      <c r="J58" s="8"/>
      <c r="K58" s="26">
        <v>5.0999999999999996</v>
      </c>
      <c r="L58" s="8"/>
      <c r="M58" s="26">
        <v>5.7999999999999998</v>
      </c>
      <c r="N58" s="8"/>
      <c r="O58" s="26">
        <v>5.7999999999999998</v>
      </c>
      <c r="P58" s="8"/>
      <c r="Q58" s="26">
        <v>5.7999999999999998</v>
      </c>
      <c r="R58" s="8"/>
      <c r="S58" s="26">
        <v>5.7999999999999998</v>
      </c>
      <c r="T58" s="8"/>
      <c r="U58" s="26">
        <v>22.600000000000001</v>
      </c>
      <c r="V58" s="8"/>
      <c r="W58" s="26">
        <v>22.600000000000001</v>
      </c>
      <c r="X58" s="8"/>
      <c r="Y58" s="26">
        <v>22.600000000000001</v>
      </c>
      <c r="Z58" s="8"/>
      <c r="AA58" s="26">
        <v>22.600000000000001</v>
      </c>
      <c r="AB58" s="8"/>
      <c r="AC58" s="8"/>
    </row>
    <row r="59" ht="12" customHeight="1">
      <c r="A59" s="8" t="s">
        <v>179</v>
      </c>
      <c r="B59" s="8" t="s">
        <v>895</v>
      </c>
      <c r="C59" s="26">
        <v>0.90000000000000002</v>
      </c>
      <c r="D59" s="8"/>
      <c r="E59" s="26">
        <v>5.5999999999999996</v>
      </c>
      <c r="F59" s="8"/>
      <c r="G59" s="26">
        <v>5.5999999999999996</v>
      </c>
      <c r="H59" s="8"/>
      <c r="I59" s="26">
        <v>5.5999999999999996</v>
      </c>
      <c r="J59" s="8"/>
      <c r="K59" s="26">
        <v>5.5999999999999996</v>
      </c>
      <c r="L59" s="8"/>
      <c r="M59" s="26">
        <v>4.5999999999999996</v>
      </c>
      <c r="N59" s="8"/>
      <c r="O59" s="26">
        <v>4.5999999999999996</v>
      </c>
      <c r="P59" s="8"/>
      <c r="Q59" s="26">
        <v>4.5999999999999996</v>
      </c>
      <c r="R59" s="8"/>
      <c r="S59" s="26">
        <v>4.5999999999999996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896</v>
      </c>
      <c r="C60" s="26">
        <v>4.5999999999999996</v>
      </c>
      <c r="D60" s="8"/>
      <c r="E60" s="26">
        <v>5.5</v>
      </c>
      <c r="F60" s="8"/>
      <c r="G60" s="26">
        <v>7.0999999999999996</v>
      </c>
      <c r="H60" s="8"/>
      <c r="I60" s="26">
        <v>8.4000000000000004</v>
      </c>
      <c r="J60" s="8"/>
      <c r="K60" s="26">
        <v>8.9000000000000004</v>
      </c>
      <c r="L60" s="8"/>
      <c r="M60" s="26">
        <v>9.6999999999999993</v>
      </c>
      <c r="N60" s="8"/>
      <c r="O60" s="26">
        <v>9.5</v>
      </c>
      <c r="P60" s="8"/>
      <c r="Q60" s="26">
        <v>8.6999999999999993</v>
      </c>
      <c r="R60" s="8"/>
      <c r="S60" s="26">
        <v>8</v>
      </c>
      <c r="T60" s="8"/>
      <c r="U60" s="26">
        <v>6.2999999999999998</v>
      </c>
      <c r="V60" s="8"/>
      <c r="W60" s="26">
        <v>5</v>
      </c>
      <c r="X60" s="8"/>
      <c r="Y60" s="26">
        <v>3.8999999999999999</v>
      </c>
      <c r="Z60" s="8"/>
      <c r="AA60" s="26">
        <v>2.8999999999999999</v>
      </c>
      <c r="AB60" s="8"/>
      <c r="AC60" s="8"/>
    </row>
    <row r="61" ht="12" customHeight="1">
      <c r="A61" s="8" t="s">
        <v>183</v>
      </c>
      <c r="B61" s="8" t="s">
        <v>897</v>
      </c>
      <c r="C61" s="26">
        <v>7.5</v>
      </c>
      <c r="D61" s="8"/>
      <c r="E61" s="26">
        <v>7.7000000000000002</v>
      </c>
      <c r="F61" s="8"/>
      <c r="G61" s="26">
        <v>7.9000000000000004</v>
      </c>
      <c r="H61" s="8"/>
      <c r="I61" s="26">
        <v>6.2000000000000002</v>
      </c>
      <c r="J61" s="8"/>
      <c r="K61" s="26">
        <v>2.7000000000000002</v>
      </c>
      <c r="L61" s="8"/>
      <c r="M61" s="26">
        <v>1</v>
      </c>
      <c r="N61" s="8"/>
      <c r="O61" s="26">
        <v>-1.3999999999999999</v>
      </c>
      <c r="P61" s="8"/>
      <c r="Q61" s="26">
        <v>-1.2</v>
      </c>
      <c r="R61" s="8"/>
      <c r="S61" s="26">
        <v>-0.29999999999999999</v>
      </c>
      <c r="T61" s="8"/>
      <c r="U61" s="26">
        <v>-0.20000000000000001</v>
      </c>
      <c r="V61" s="8"/>
      <c r="W61" s="26">
        <v>0.90000000000000002</v>
      </c>
      <c r="X61" s="8"/>
      <c r="Y61" s="26">
        <v>1.6000000000000001</v>
      </c>
      <c r="Z61" s="8"/>
      <c r="AA61" s="26">
        <v>1.6000000000000001</v>
      </c>
      <c r="AB61" s="8"/>
      <c r="AC61" s="8"/>
    </row>
    <row r="62" ht="12" customHeight="1">
      <c r="A62" s="8" t="s">
        <v>185</v>
      </c>
      <c r="B62" s="8" t="s">
        <v>898</v>
      </c>
      <c r="C62" s="26">
        <v>6.7999999999999998</v>
      </c>
      <c r="D62" s="8"/>
      <c r="E62" s="26">
        <v>7</v>
      </c>
      <c r="F62" s="8"/>
      <c r="G62" s="26">
        <v>2.8999999999999999</v>
      </c>
      <c r="H62" s="8"/>
      <c r="I62" s="26">
        <v>0.90000000000000002</v>
      </c>
      <c r="J62" s="8"/>
      <c r="K62" s="26">
        <v>0.59999999999999998</v>
      </c>
      <c r="L62" s="8"/>
      <c r="M62" s="26">
        <v>1.3</v>
      </c>
      <c r="N62" s="8"/>
      <c r="O62" s="26">
        <v>5</v>
      </c>
      <c r="P62" s="8"/>
      <c r="Q62" s="26">
        <v>6</v>
      </c>
      <c r="R62" s="8"/>
      <c r="S62" s="26">
        <v>5.2999999999999998</v>
      </c>
      <c r="T62" s="8"/>
      <c r="U62" s="26">
        <v>5.2999999999999998</v>
      </c>
      <c r="V62" s="8"/>
      <c r="W62" s="26">
        <v>6.2999999999999998</v>
      </c>
      <c r="X62" s="8"/>
      <c r="Y62" s="26">
        <v>5.9000000000000004</v>
      </c>
      <c r="Z62" s="8"/>
      <c r="AA62" s="26">
        <v>8.3000000000000007</v>
      </c>
      <c r="AB62" s="8"/>
      <c r="AC62" s="8"/>
    </row>
    <row r="63" ht="12" customHeight="1">
      <c r="A63" s="8" t="s">
        <v>187</v>
      </c>
      <c r="B63" s="8" t="s">
        <v>899</v>
      </c>
      <c r="C63" s="26">
        <v>3.2000000000000002</v>
      </c>
      <c r="D63" s="8"/>
      <c r="E63" s="26">
        <v>4.7999999999999998</v>
      </c>
      <c r="F63" s="8"/>
      <c r="G63" s="26">
        <v>8.3000000000000007</v>
      </c>
      <c r="H63" s="8"/>
      <c r="I63" s="26">
        <v>12.199999999999999</v>
      </c>
      <c r="J63" s="8"/>
      <c r="K63" s="26">
        <v>14.9</v>
      </c>
      <c r="L63" s="8"/>
      <c r="M63" s="26">
        <v>17.300000000000001</v>
      </c>
      <c r="N63" s="8"/>
      <c r="O63" s="26">
        <v>17.300000000000001</v>
      </c>
      <c r="P63" s="8"/>
      <c r="Q63" s="26">
        <v>15.9</v>
      </c>
      <c r="R63" s="8"/>
      <c r="S63" s="26">
        <v>13.800000000000001</v>
      </c>
      <c r="T63" s="8"/>
      <c r="U63" s="26">
        <v>10.5</v>
      </c>
      <c r="V63" s="8"/>
      <c r="W63" s="26">
        <v>7.5</v>
      </c>
      <c r="X63" s="8"/>
      <c r="Y63" s="26">
        <v>5.2999999999999998</v>
      </c>
      <c r="Z63" s="8"/>
      <c r="AA63" s="26">
        <v>3.3999999999999999</v>
      </c>
      <c r="AB63" s="8"/>
      <c r="AC63" s="8"/>
    </row>
    <row r="64" ht="12" customHeight="1">
      <c r="A64" s="8" t="s">
        <v>189</v>
      </c>
      <c r="B64" s="8" t="s">
        <v>900</v>
      </c>
      <c r="C64" s="26">
        <v>-3</v>
      </c>
      <c r="D64" s="8"/>
      <c r="E64" s="26">
        <v>-4.2000000000000002</v>
      </c>
      <c r="F64" s="8"/>
      <c r="G64" s="26">
        <v>2.6000000000000001</v>
      </c>
      <c r="H64" s="8"/>
      <c r="I64" s="26">
        <v>-3.3999999999999999</v>
      </c>
      <c r="J64" s="8"/>
      <c r="K64" s="26">
        <v>-1.3</v>
      </c>
      <c r="L64" s="8"/>
      <c r="M64" s="26">
        <v>0</v>
      </c>
      <c r="N64" s="8"/>
      <c r="O64" s="26">
        <v>0</v>
      </c>
      <c r="P64" s="8"/>
      <c r="Q64" s="26">
        <v>-2.7000000000000002</v>
      </c>
      <c r="R64" s="8"/>
      <c r="S64" s="26">
        <v>-4.0999999999999996</v>
      </c>
      <c r="T64" s="8"/>
      <c r="U64" s="26">
        <v>-4.0999999999999996</v>
      </c>
      <c r="V64" s="8"/>
      <c r="W64" s="26">
        <v>-4.7999999999999998</v>
      </c>
      <c r="X64" s="8"/>
      <c r="Y64" s="26">
        <v>-2.2000000000000002</v>
      </c>
      <c r="Z64" s="8"/>
      <c r="AA64" s="26">
        <v>-0.69999999999999996</v>
      </c>
      <c r="AB64" s="8"/>
      <c r="AC64" s="8"/>
    </row>
    <row r="65" ht="12" customHeight="1">
      <c r="A65" s="8" t="s">
        <v>191</v>
      </c>
      <c r="B65" s="8" t="s">
        <v>901</v>
      </c>
      <c r="C65" s="26">
        <v>5.4000000000000004</v>
      </c>
      <c r="D65" s="8"/>
      <c r="E65" s="26">
        <v>4.5</v>
      </c>
      <c r="F65" s="8"/>
      <c r="G65" s="26">
        <v>2.6000000000000001</v>
      </c>
      <c r="H65" s="8"/>
      <c r="I65" s="26">
        <v>3</v>
      </c>
      <c r="J65" s="8"/>
      <c r="K65" s="26">
        <v>3.7000000000000002</v>
      </c>
      <c r="L65" s="8"/>
      <c r="M65" s="26">
        <v>3.5</v>
      </c>
      <c r="N65" s="8"/>
      <c r="O65" s="26">
        <v>4.2000000000000002</v>
      </c>
      <c r="P65" s="8"/>
      <c r="Q65" s="26">
        <v>3.2999999999999998</v>
      </c>
      <c r="R65" s="8"/>
      <c r="S65" s="26">
        <v>3.2999999999999998</v>
      </c>
      <c r="T65" s="8"/>
      <c r="U65" s="26">
        <v>3.2000000000000002</v>
      </c>
      <c r="V65" s="8"/>
      <c r="W65" s="26">
        <v>3</v>
      </c>
      <c r="X65" s="8"/>
      <c r="Y65" s="26">
        <v>2.2999999999999998</v>
      </c>
      <c r="Z65" s="8"/>
      <c r="AA65" s="26">
        <v>1.6000000000000001</v>
      </c>
      <c r="AB65" s="8"/>
      <c r="AC65" s="8"/>
    </row>
    <row r="66" ht="12" customHeight="1">
      <c r="A66" s="11" t="s">
        <v>193</v>
      </c>
      <c r="B66" s="8" t="s">
        <v>902</v>
      </c>
      <c r="C66" s="26">
        <v>45.200000000000003</v>
      </c>
      <c r="D66" s="8"/>
      <c r="E66" s="26">
        <v>37.799999999999997</v>
      </c>
      <c r="F66" s="8"/>
      <c r="G66" s="26">
        <v>28.899999999999999</v>
      </c>
      <c r="H66" s="8"/>
      <c r="I66" s="26">
        <v>27.300000000000001</v>
      </c>
      <c r="J66" s="8"/>
      <c r="K66" s="26">
        <v>31.199999999999999</v>
      </c>
      <c r="L66" s="8"/>
      <c r="M66" s="26">
        <v>28.300000000000001</v>
      </c>
      <c r="N66" s="8"/>
      <c r="O66" s="26">
        <v>26.800000000000001</v>
      </c>
      <c r="P66" s="8"/>
      <c r="Q66" s="26">
        <v>18.199999999999999</v>
      </c>
      <c r="R66" s="8"/>
      <c r="S66" s="26">
        <v>7.0999999999999996</v>
      </c>
      <c r="T66" s="8"/>
      <c r="U66" s="26">
        <v>0.5</v>
      </c>
      <c r="V66" s="8"/>
      <c r="W66" s="26">
        <v>-7.5999999999999996</v>
      </c>
      <c r="X66" s="8"/>
      <c r="Y66" s="26">
        <v>-14.199999999999999</v>
      </c>
      <c r="Z66" s="8"/>
      <c r="AA66" s="26">
        <v>-17.199999999999999</v>
      </c>
      <c r="AB66" s="8"/>
      <c r="AC66" s="8"/>
    </row>
    <row r="67" ht="12" customHeight="1">
      <c r="A67" s="8" t="s">
        <v>195</v>
      </c>
      <c r="B67" s="8" t="s">
        <v>903</v>
      </c>
      <c r="C67" s="26">
        <v>45.200000000000003</v>
      </c>
      <c r="D67" s="8"/>
      <c r="E67" s="26">
        <v>37.799999999999997</v>
      </c>
      <c r="F67" s="8"/>
      <c r="G67" s="26">
        <v>28.899999999999999</v>
      </c>
      <c r="H67" s="8"/>
      <c r="I67" s="26">
        <v>27.300000000000001</v>
      </c>
      <c r="J67" s="8"/>
      <c r="K67" s="26">
        <v>31.199999999999999</v>
      </c>
      <c r="L67" s="8"/>
      <c r="M67" s="26">
        <v>28.300000000000001</v>
      </c>
      <c r="N67" s="8"/>
      <c r="O67" s="26">
        <v>26.800000000000001</v>
      </c>
      <c r="P67" s="8"/>
      <c r="Q67" s="26">
        <v>18.199999999999999</v>
      </c>
      <c r="R67" s="8"/>
      <c r="S67" s="26">
        <v>7.0999999999999996</v>
      </c>
      <c r="T67" s="8"/>
      <c r="U67" s="26">
        <v>0.5</v>
      </c>
      <c r="V67" s="8"/>
      <c r="W67" s="26">
        <v>-7.5999999999999996</v>
      </c>
      <c r="X67" s="8"/>
      <c r="Y67" s="26">
        <v>-14.199999999999999</v>
      </c>
      <c r="Z67" s="8"/>
      <c r="AA67" s="26">
        <v>-17.199999999999999</v>
      </c>
      <c r="AB67" s="8"/>
      <c r="AC67" s="8"/>
    </row>
    <row r="68" ht="12" customHeight="1">
      <c r="A68" s="13" t="s">
        <v>69</v>
      </c>
      <c r="B68" s="10" t="s">
        <v>62</v>
      </c>
      <c r="C68" s="27">
        <v>8.5</v>
      </c>
      <c r="D68" s="10"/>
      <c r="E68" s="27">
        <v>7.7999999999999998</v>
      </c>
      <c r="F68" s="10"/>
      <c r="G68" s="27">
        <v>7.2999999999999998</v>
      </c>
      <c r="H68" s="10"/>
      <c r="I68" s="27">
        <v>7.4000000000000004</v>
      </c>
      <c r="J68" s="10"/>
      <c r="K68" s="27">
        <v>7.0999999999999996</v>
      </c>
      <c r="L68" s="10"/>
      <c r="M68" s="27">
        <v>6.2000000000000002</v>
      </c>
      <c r="N68" s="10"/>
      <c r="O68" s="27">
        <v>5.4000000000000004</v>
      </c>
      <c r="P68" s="10"/>
      <c r="Q68" s="27">
        <v>3.7000000000000002</v>
      </c>
      <c r="R68" s="10"/>
      <c r="S68" s="27">
        <v>2.7999999999999998</v>
      </c>
      <c r="T68" s="10"/>
      <c r="U68" s="27">
        <v>2.8999999999999999</v>
      </c>
      <c r="V68" s="10"/>
      <c r="W68" s="27">
        <v>2.5</v>
      </c>
      <c r="X68" s="10"/>
      <c r="Y68" s="27">
        <v>2.2000000000000002</v>
      </c>
      <c r="Z68" s="10"/>
      <c r="AA68" s="27">
        <v>2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906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907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908</v>
      </c>
      <c r="C8" s="19">
        <v>1243</v>
      </c>
      <c r="D8" s="19"/>
      <c r="E8" s="19">
        <v>1289</v>
      </c>
      <c r="F8" s="19"/>
      <c r="G8" s="19">
        <v>1319</v>
      </c>
      <c r="H8" s="19"/>
      <c r="I8" s="19">
        <v>1331</v>
      </c>
      <c r="J8" s="19"/>
      <c r="K8" s="19">
        <v>1316</v>
      </c>
      <c r="L8" s="19"/>
      <c r="M8" s="19">
        <v>1321</v>
      </c>
      <c r="N8" s="19"/>
      <c r="O8" s="19">
        <v>1322</v>
      </c>
      <c r="P8" s="19"/>
      <c r="Q8" s="19">
        <v>1340</v>
      </c>
      <c r="R8" s="19"/>
      <c r="S8" s="19">
        <v>1331</v>
      </c>
      <c r="T8" s="19"/>
      <c r="U8" s="19">
        <v>1354</v>
      </c>
      <c r="V8" s="19"/>
      <c r="W8" s="19">
        <v>1375</v>
      </c>
      <c r="X8" s="19"/>
      <c r="Y8" s="19">
        <v>1399</v>
      </c>
      <c r="Z8" s="19"/>
      <c r="AA8" s="19">
        <v>1388</v>
      </c>
      <c r="AB8" s="18"/>
      <c r="AC8" s="18"/>
      <c r="AE8" s="18"/>
      <c r="AG8" s="18"/>
    </row>
    <row r="9" ht="12" customHeight="1">
      <c r="A9" s="8" t="s">
        <v>79</v>
      </c>
      <c r="B9" s="8" t="s">
        <v>909</v>
      </c>
      <c r="C9" s="24">
        <v>1376</v>
      </c>
      <c r="D9" s="8"/>
      <c r="E9" s="24">
        <v>1506</v>
      </c>
      <c r="F9" s="8"/>
      <c r="G9" s="24">
        <v>1509</v>
      </c>
      <c r="H9" s="8"/>
      <c r="I9" s="24">
        <v>1535</v>
      </c>
      <c r="J9" s="8"/>
      <c r="K9" s="24">
        <v>1425</v>
      </c>
      <c r="L9" s="8"/>
      <c r="M9" s="24">
        <v>1393</v>
      </c>
      <c r="N9" s="8"/>
      <c r="O9" s="24">
        <v>1304</v>
      </c>
      <c r="P9" s="8"/>
      <c r="Q9" s="24">
        <v>1388</v>
      </c>
      <c r="R9" s="8"/>
      <c r="S9" s="24">
        <v>1302</v>
      </c>
      <c r="T9" s="8"/>
      <c r="U9" s="24">
        <v>1322</v>
      </c>
      <c r="V9" s="8"/>
      <c r="W9" s="24">
        <v>1360</v>
      </c>
      <c r="X9" s="8"/>
      <c r="Y9" s="24">
        <v>1472</v>
      </c>
      <c r="Z9" s="8"/>
      <c r="AA9" s="24">
        <v>1353</v>
      </c>
      <c r="AB9" s="8"/>
      <c r="AC9" s="8"/>
      <c r="AE9" s="8"/>
      <c r="AG9" s="8"/>
    </row>
    <row r="10" ht="12" customHeight="1">
      <c r="A10" s="8" t="s">
        <v>81</v>
      </c>
      <c r="B10" s="8" t="s">
        <v>910</v>
      </c>
      <c r="C10" s="24">
        <v>1231</v>
      </c>
      <c r="D10" s="8"/>
      <c r="E10" s="24">
        <v>1249</v>
      </c>
      <c r="F10" s="8"/>
      <c r="G10" s="24">
        <v>1272</v>
      </c>
      <c r="H10" s="8"/>
      <c r="I10" s="24">
        <v>1275</v>
      </c>
      <c r="J10" s="8"/>
      <c r="K10" s="24">
        <v>1263</v>
      </c>
      <c r="L10" s="8"/>
      <c r="M10" s="24">
        <v>1257</v>
      </c>
      <c r="N10" s="8"/>
      <c r="O10" s="24">
        <v>1261</v>
      </c>
      <c r="P10" s="8"/>
      <c r="Q10" s="24">
        <v>1274</v>
      </c>
      <c r="R10" s="8"/>
      <c r="S10" s="24">
        <v>1283</v>
      </c>
      <c r="T10" s="8"/>
      <c r="U10" s="24">
        <v>1302</v>
      </c>
      <c r="V10" s="8"/>
      <c r="W10" s="24">
        <v>1319</v>
      </c>
      <c r="X10" s="8"/>
      <c r="Y10" s="24">
        <v>1365</v>
      </c>
      <c r="Z10" s="8"/>
      <c r="AA10" s="24">
        <v>1375</v>
      </c>
      <c r="AB10" s="8"/>
      <c r="AC10" s="8"/>
      <c r="AE10" s="8"/>
      <c r="AG10" s="8"/>
    </row>
    <row r="11" ht="12" customHeight="1">
      <c r="A11" s="8" t="s">
        <v>83</v>
      </c>
      <c r="B11" s="8" t="s">
        <v>911</v>
      </c>
      <c r="C11" s="24">
        <v>1169</v>
      </c>
      <c r="D11" s="8"/>
      <c r="E11" s="24">
        <v>1220</v>
      </c>
      <c r="F11" s="8"/>
      <c r="G11" s="24">
        <v>1253</v>
      </c>
      <c r="H11" s="8"/>
      <c r="I11" s="24">
        <v>1256</v>
      </c>
      <c r="J11" s="8"/>
      <c r="K11" s="24">
        <v>1248</v>
      </c>
      <c r="L11" s="8"/>
      <c r="M11" s="24">
        <v>1263</v>
      </c>
      <c r="N11" s="8"/>
      <c r="O11" s="24">
        <v>1274</v>
      </c>
      <c r="P11" s="8"/>
      <c r="Q11" s="24">
        <v>1282</v>
      </c>
      <c r="R11" s="8"/>
      <c r="S11" s="24">
        <v>1277</v>
      </c>
      <c r="T11" s="8"/>
      <c r="U11" s="24">
        <v>1314</v>
      </c>
      <c r="V11" s="8"/>
      <c r="W11" s="24">
        <v>1334</v>
      </c>
      <c r="X11" s="8"/>
      <c r="Y11" s="24">
        <v>1339</v>
      </c>
      <c r="Z11" s="8"/>
      <c r="AA11" s="24">
        <v>1334</v>
      </c>
      <c r="AB11" s="8"/>
      <c r="AC11" s="8"/>
      <c r="AE11" s="8"/>
      <c r="AG11" s="8"/>
    </row>
    <row r="12" ht="12" customHeight="1">
      <c r="A12" s="8" t="s">
        <v>85</v>
      </c>
      <c r="B12" s="8" t="s">
        <v>912</v>
      </c>
      <c r="C12" s="24">
        <v>1145</v>
      </c>
      <c r="D12" s="8"/>
      <c r="E12" s="24">
        <v>1171</v>
      </c>
      <c r="F12" s="8"/>
      <c r="G12" s="24">
        <v>1205</v>
      </c>
      <c r="H12" s="8"/>
      <c r="I12" s="24">
        <v>1211</v>
      </c>
      <c r="J12" s="8"/>
      <c r="K12" s="24">
        <v>1211</v>
      </c>
      <c r="L12" s="8"/>
      <c r="M12" s="24">
        <v>1221</v>
      </c>
      <c r="N12" s="8"/>
      <c r="O12" s="24">
        <v>1249</v>
      </c>
      <c r="P12" s="8"/>
      <c r="Q12" s="24">
        <v>1258</v>
      </c>
      <c r="R12" s="8"/>
      <c r="S12" s="24">
        <v>1256</v>
      </c>
      <c r="T12" s="8"/>
      <c r="U12" s="24">
        <v>1287</v>
      </c>
      <c r="V12" s="8"/>
      <c r="W12" s="24">
        <v>1321</v>
      </c>
      <c r="X12" s="8"/>
      <c r="Y12" s="24">
        <v>1311</v>
      </c>
      <c r="Z12" s="8"/>
      <c r="AA12" s="24">
        <v>1319</v>
      </c>
      <c r="AB12" s="8"/>
      <c r="AC12" s="8"/>
      <c r="AE12" s="8"/>
      <c r="AG12" s="8"/>
    </row>
    <row r="13" ht="12" customHeight="1">
      <c r="A13" s="8" t="s">
        <v>87</v>
      </c>
      <c r="B13" s="8" t="s">
        <v>913</v>
      </c>
      <c r="C13" s="24">
        <v>1336</v>
      </c>
      <c r="D13" s="8"/>
      <c r="E13" s="24">
        <v>1359</v>
      </c>
      <c r="F13" s="8"/>
      <c r="G13" s="24">
        <v>1399</v>
      </c>
      <c r="H13" s="8"/>
      <c r="I13" s="24">
        <v>1423</v>
      </c>
      <c r="J13" s="8"/>
      <c r="K13" s="24">
        <v>1435</v>
      </c>
      <c r="L13" s="8"/>
      <c r="M13" s="24">
        <v>1448</v>
      </c>
      <c r="N13" s="8"/>
      <c r="O13" s="24">
        <v>1467</v>
      </c>
      <c r="P13" s="8"/>
      <c r="Q13" s="24">
        <v>1474</v>
      </c>
      <c r="R13" s="8"/>
      <c r="S13" s="24">
        <v>1481</v>
      </c>
      <c r="T13" s="8"/>
      <c r="U13" s="24">
        <v>1484</v>
      </c>
      <c r="V13" s="8"/>
      <c r="W13" s="24">
        <v>1498</v>
      </c>
      <c r="X13" s="8"/>
      <c r="Y13" s="24">
        <v>1509</v>
      </c>
      <c r="Z13" s="8"/>
      <c r="AA13" s="24">
        <v>1516</v>
      </c>
      <c r="AB13" s="8"/>
      <c r="AC13" s="8"/>
      <c r="AE13" s="8"/>
      <c r="AG13" s="8"/>
    </row>
    <row r="14" ht="12" customHeight="1">
      <c r="A14" s="11" t="s">
        <v>89</v>
      </c>
      <c r="B14" s="8" t="s">
        <v>914</v>
      </c>
      <c r="C14" s="24">
        <v>1380</v>
      </c>
      <c r="D14" s="8"/>
      <c r="E14" s="24">
        <v>1430</v>
      </c>
      <c r="F14" s="8"/>
      <c r="G14" s="24">
        <v>1450</v>
      </c>
      <c r="H14" s="8"/>
      <c r="I14" s="24">
        <v>1469</v>
      </c>
      <c r="J14" s="8"/>
      <c r="K14" s="24">
        <v>1485</v>
      </c>
      <c r="L14" s="8"/>
      <c r="M14" s="24">
        <v>1527</v>
      </c>
      <c r="N14" s="8"/>
      <c r="O14" s="24">
        <v>1542</v>
      </c>
      <c r="P14" s="8"/>
      <c r="Q14" s="24">
        <v>1551</v>
      </c>
      <c r="R14" s="8"/>
      <c r="S14" s="24">
        <v>1553</v>
      </c>
      <c r="T14" s="8"/>
      <c r="U14" s="24">
        <v>1580</v>
      </c>
      <c r="V14" s="8"/>
      <c r="W14" s="24">
        <v>1575</v>
      </c>
      <c r="X14" s="8"/>
      <c r="Y14" s="24">
        <v>1584</v>
      </c>
      <c r="Z14" s="8"/>
      <c r="AA14" s="24">
        <v>1583</v>
      </c>
      <c r="AB14" s="8"/>
      <c r="AC14" s="8"/>
      <c r="AE14" s="8"/>
      <c r="AG14" s="8"/>
    </row>
    <row r="15" ht="12" customHeight="1">
      <c r="A15" s="8" t="s">
        <v>91</v>
      </c>
      <c r="B15" s="8" t="s">
        <v>915</v>
      </c>
      <c r="C15" s="24">
        <v>1149</v>
      </c>
      <c r="D15" s="8"/>
      <c r="E15" s="24">
        <v>1168</v>
      </c>
      <c r="F15" s="8"/>
      <c r="G15" s="24">
        <v>1193</v>
      </c>
      <c r="H15" s="8"/>
      <c r="I15" s="24">
        <v>1213</v>
      </c>
      <c r="J15" s="8"/>
      <c r="K15" s="24">
        <v>1214</v>
      </c>
      <c r="L15" s="8"/>
      <c r="M15" s="24">
        <v>1225</v>
      </c>
      <c r="N15" s="8"/>
      <c r="O15" s="24">
        <v>1244</v>
      </c>
      <c r="P15" s="8"/>
      <c r="Q15" s="24">
        <v>1252</v>
      </c>
      <c r="R15" s="8"/>
      <c r="S15" s="24">
        <v>1251</v>
      </c>
      <c r="T15" s="8"/>
      <c r="U15" s="24">
        <v>1260</v>
      </c>
      <c r="V15" s="8"/>
      <c r="W15" s="24">
        <v>1254</v>
      </c>
      <c r="X15" s="8"/>
      <c r="Y15" s="24">
        <v>1264</v>
      </c>
      <c r="Z15" s="8"/>
      <c r="AA15" s="24">
        <v>1255</v>
      </c>
      <c r="AB15" s="8"/>
      <c r="AC15" s="8"/>
      <c r="AE15" s="8"/>
      <c r="AG15" s="8"/>
    </row>
    <row r="16" ht="12" customHeight="1">
      <c r="A16" s="8" t="s">
        <v>93</v>
      </c>
      <c r="B16" s="8" t="s">
        <v>916</v>
      </c>
      <c r="C16" s="24">
        <v>1959</v>
      </c>
      <c r="D16" s="8"/>
      <c r="E16" s="24">
        <v>2105</v>
      </c>
      <c r="F16" s="8"/>
      <c r="G16" s="24">
        <v>2108</v>
      </c>
      <c r="H16" s="8"/>
      <c r="I16" s="24">
        <v>2120</v>
      </c>
      <c r="J16" s="8"/>
      <c r="K16" s="24">
        <v>2180</v>
      </c>
      <c r="L16" s="8"/>
      <c r="M16" s="24">
        <v>2320</v>
      </c>
      <c r="N16" s="8"/>
      <c r="O16" s="24">
        <v>2321</v>
      </c>
      <c r="P16" s="8"/>
      <c r="Q16" s="24">
        <v>2330</v>
      </c>
      <c r="R16" s="8"/>
      <c r="S16" s="24">
        <v>2346</v>
      </c>
      <c r="T16" s="8"/>
      <c r="U16" s="24">
        <v>2437</v>
      </c>
      <c r="V16" s="8"/>
      <c r="W16" s="24">
        <v>2443</v>
      </c>
      <c r="X16" s="8"/>
      <c r="Y16" s="24">
        <v>2442</v>
      </c>
      <c r="Z16" s="8"/>
      <c r="AA16" s="24">
        <v>2480</v>
      </c>
      <c r="AB16" s="8"/>
      <c r="AC16" s="8"/>
      <c r="AE16" s="8"/>
      <c r="AG16" s="8"/>
    </row>
    <row r="17" ht="12" customHeight="1">
      <c r="A17" s="11" t="s">
        <v>95</v>
      </c>
      <c r="B17" s="8" t="s">
        <v>917</v>
      </c>
      <c r="C17" s="24">
        <v>1048</v>
      </c>
      <c r="D17" s="8"/>
      <c r="E17" s="24">
        <v>1046</v>
      </c>
      <c r="F17" s="8"/>
      <c r="G17" s="24">
        <v>1076</v>
      </c>
      <c r="H17" s="8"/>
      <c r="I17" s="24">
        <v>1076</v>
      </c>
      <c r="J17" s="8"/>
      <c r="K17" s="24">
        <v>1084</v>
      </c>
      <c r="L17" s="8"/>
      <c r="M17" s="24">
        <v>1086</v>
      </c>
      <c r="N17" s="8"/>
      <c r="O17" s="24">
        <v>1092</v>
      </c>
      <c r="P17" s="8"/>
      <c r="Q17" s="24">
        <v>1088</v>
      </c>
      <c r="R17" s="8"/>
      <c r="S17" s="24">
        <v>1077</v>
      </c>
      <c r="T17" s="8"/>
      <c r="U17" s="24">
        <v>1080</v>
      </c>
      <c r="V17" s="8"/>
      <c r="W17" s="24">
        <v>1082</v>
      </c>
      <c r="X17" s="8"/>
      <c r="Y17" s="24">
        <v>1088</v>
      </c>
      <c r="Z17" s="8"/>
      <c r="AA17" s="24">
        <v>1097</v>
      </c>
      <c r="AB17" s="8"/>
      <c r="AC17" s="8"/>
      <c r="AE17" s="8"/>
      <c r="AG17" s="8"/>
    </row>
    <row r="18" ht="12" customHeight="1">
      <c r="A18" s="8" t="s">
        <v>97</v>
      </c>
      <c r="B18" s="8" t="s">
        <v>918</v>
      </c>
      <c r="C18" s="24">
        <v>1039</v>
      </c>
      <c r="D18" s="8"/>
      <c r="E18" s="24">
        <v>1036</v>
      </c>
      <c r="F18" s="8"/>
      <c r="G18" s="24">
        <v>1069</v>
      </c>
      <c r="H18" s="8"/>
      <c r="I18" s="24">
        <v>1069</v>
      </c>
      <c r="J18" s="8"/>
      <c r="K18" s="24">
        <v>1079</v>
      </c>
      <c r="L18" s="8"/>
      <c r="M18" s="24">
        <v>1082</v>
      </c>
      <c r="N18" s="8"/>
      <c r="O18" s="24">
        <v>1085</v>
      </c>
      <c r="P18" s="8"/>
      <c r="Q18" s="24">
        <v>1081</v>
      </c>
      <c r="R18" s="8"/>
      <c r="S18" s="24">
        <v>1067</v>
      </c>
      <c r="T18" s="8"/>
      <c r="U18" s="24">
        <v>1066</v>
      </c>
      <c r="V18" s="8"/>
      <c r="W18" s="24">
        <v>1073</v>
      </c>
      <c r="X18" s="8"/>
      <c r="Y18" s="24">
        <v>1076</v>
      </c>
      <c r="Z18" s="8"/>
      <c r="AA18" s="24">
        <v>1088</v>
      </c>
      <c r="AB18" s="8"/>
      <c r="AC18" s="8"/>
      <c r="AE18" s="8"/>
      <c r="AG18" s="8"/>
    </row>
    <row r="19" ht="12" customHeight="1">
      <c r="A19" s="8" t="s">
        <v>99</v>
      </c>
      <c r="B19" s="8" t="s">
        <v>919</v>
      </c>
      <c r="C19" s="24">
        <v>1090</v>
      </c>
      <c r="D19" s="8"/>
      <c r="E19" s="24">
        <v>1100</v>
      </c>
      <c r="F19" s="8"/>
      <c r="G19" s="24">
        <v>1113</v>
      </c>
      <c r="H19" s="8"/>
      <c r="I19" s="24">
        <v>1107</v>
      </c>
      <c r="J19" s="8"/>
      <c r="K19" s="24">
        <v>1110</v>
      </c>
      <c r="L19" s="8"/>
      <c r="M19" s="24">
        <v>1103</v>
      </c>
      <c r="N19" s="8"/>
      <c r="O19" s="24">
        <v>1125</v>
      </c>
      <c r="P19" s="8"/>
      <c r="Q19" s="24">
        <v>1125</v>
      </c>
      <c r="R19" s="8"/>
      <c r="S19" s="24">
        <v>1124</v>
      </c>
      <c r="T19" s="8"/>
      <c r="U19" s="24">
        <v>1150</v>
      </c>
      <c r="V19" s="8"/>
      <c r="W19" s="24">
        <v>1124</v>
      </c>
      <c r="X19" s="8"/>
      <c r="Y19" s="24">
        <v>1146</v>
      </c>
      <c r="Z19" s="8"/>
      <c r="AA19" s="24">
        <v>1142</v>
      </c>
      <c r="AB19" s="8"/>
      <c r="AC19" s="8"/>
      <c r="AE19" s="8"/>
      <c r="AG19" s="8"/>
    </row>
    <row r="20" ht="12" customHeight="1">
      <c r="A20" s="11" t="s">
        <v>101</v>
      </c>
      <c r="B20" s="8" t="s">
        <v>920</v>
      </c>
      <c r="C20" s="24">
        <v>1297</v>
      </c>
      <c r="D20" s="8"/>
      <c r="E20" s="24">
        <v>1311</v>
      </c>
      <c r="F20" s="8"/>
      <c r="G20" s="24">
        <v>1328</v>
      </c>
      <c r="H20" s="8"/>
      <c r="I20" s="24">
        <v>1359</v>
      </c>
      <c r="J20" s="8"/>
      <c r="K20" s="24">
        <v>1371</v>
      </c>
      <c r="L20" s="8"/>
      <c r="M20" s="24">
        <v>1381</v>
      </c>
      <c r="N20" s="8"/>
      <c r="O20" s="24">
        <v>1399</v>
      </c>
      <c r="P20" s="8"/>
      <c r="Q20" s="24">
        <v>1442</v>
      </c>
      <c r="R20" s="8"/>
      <c r="S20" s="24">
        <v>1450</v>
      </c>
      <c r="T20" s="8"/>
      <c r="U20" s="24">
        <v>1462</v>
      </c>
      <c r="V20" s="8"/>
      <c r="W20" s="24">
        <v>1480</v>
      </c>
      <c r="X20" s="8"/>
      <c r="Y20" s="24">
        <v>1510</v>
      </c>
      <c r="Z20" s="8"/>
      <c r="AA20" s="24">
        <v>1516</v>
      </c>
      <c r="AB20" s="8"/>
      <c r="AC20" s="8"/>
      <c r="AE20" s="8"/>
      <c r="AG20" s="8"/>
    </row>
    <row r="21" ht="12" customHeight="1">
      <c r="A21" s="8" t="s">
        <v>103</v>
      </c>
      <c r="B21" s="8" t="s">
        <v>921</v>
      </c>
      <c r="C21" s="24">
        <v>1283</v>
      </c>
      <c r="D21" s="8"/>
      <c r="E21" s="24">
        <v>1298</v>
      </c>
      <c r="F21" s="8"/>
      <c r="G21" s="24">
        <v>1314</v>
      </c>
      <c r="H21" s="8"/>
      <c r="I21" s="24">
        <v>1331</v>
      </c>
      <c r="J21" s="8"/>
      <c r="K21" s="24">
        <v>1346</v>
      </c>
      <c r="L21" s="8"/>
      <c r="M21" s="24">
        <v>1362</v>
      </c>
      <c r="N21" s="8"/>
      <c r="O21" s="24">
        <v>1379</v>
      </c>
      <c r="P21" s="8"/>
      <c r="Q21" s="24">
        <v>1392</v>
      </c>
      <c r="R21" s="8"/>
      <c r="S21" s="24">
        <v>1403</v>
      </c>
      <c r="T21" s="8"/>
      <c r="U21" s="24">
        <v>1413</v>
      </c>
      <c r="V21" s="8"/>
      <c r="W21" s="24">
        <v>1425</v>
      </c>
      <c r="X21" s="8"/>
      <c r="Y21" s="24">
        <v>1429</v>
      </c>
      <c r="Z21" s="8"/>
      <c r="AA21" s="24">
        <v>1431</v>
      </c>
      <c r="AB21" s="8"/>
      <c r="AC21" s="8"/>
      <c r="AE21" s="8"/>
      <c r="AG21" s="8"/>
    </row>
    <row r="22" ht="12" customHeight="1">
      <c r="A22" s="8" t="s">
        <v>105</v>
      </c>
      <c r="B22" s="8" t="s">
        <v>922</v>
      </c>
      <c r="C22" s="24">
        <v>1283</v>
      </c>
      <c r="D22" s="8"/>
      <c r="E22" s="24">
        <v>1298</v>
      </c>
      <c r="F22" s="8"/>
      <c r="G22" s="24">
        <v>1314</v>
      </c>
      <c r="H22" s="8"/>
      <c r="I22" s="24">
        <v>1331</v>
      </c>
      <c r="J22" s="8"/>
      <c r="K22" s="24">
        <v>1346</v>
      </c>
      <c r="L22" s="8"/>
      <c r="M22" s="24">
        <v>1362</v>
      </c>
      <c r="N22" s="8"/>
      <c r="O22" s="24">
        <v>1379</v>
      </c>
      <c r="P22" s="8"/>
      <c r="Q22" s="24">
        <v>1392</v>
      </c>
      <c r="R22" s="8"/>
      <c r="S22" s="24">
        <v>1403</v>
      </c>
      <c r="T22" s="8"/>
      <c r="U22" s="24">
        <v>1413</v>
      </c>
      <c r="V22" s="8"/>
      <c r="W22" s="24">
        <v>1425</v>
      </c>
      <c r="X22" s="8"/>
      <c r="Y22" s="24">
        <v>1429</v>
      </c>
      <c r="Z22" s="8"/>
      <c r="AA22" s="24">
        <v>1431</v>
      </c>
      <c r="AB22" s="8"/>
      <c r="AC22" s="8"/>
      <c r="AE22" s="8"/>
      <c r="AG22" s="8"/>
    </row>
    <row r="23" ht="12" customHeight="1">
      <c r="A23" s="8" t="s">
        <v>107</v>
      </c>
      <c r="B23" s="8" t="s">
        <v>923</v>
      </c>
      <c r="C23" s="24">
        <v>1360</v>
      </c>
      <c r="D23" s="8"/>
      <c r="E23" s="24">
        <v>1357</v>
      </c>
      <c r="F23" s="8"/>
      <c r="G23" s="24">
        <v>1383</v>
      </c>
      <c r="H23" s="8"/>
      <c r="I23" s="24">
        <v>1393</v>
      </c>
      <c r="J23" s="8"/>
      <c r="K23" s="24">
        <v>1395</v>
      </c>
      <c r="L23" s="8"/>
      <c r="M23" s="24">
        <v>1396</v>
      </c>
      <c r="N23" s="8"/>
      <c r="O23" s="24">
        <v>1418</v>
      </c>
      <c r="P23" s="8"/>
      <c r="Q23" s="24">
        <v>1434</v>
      </c>
      <c r="R23" s="8"/>
      <c r="S23" s="24">
        <v>1429</v>
      </c>
      <c r="T23" s="8"/>
      <c r="U23" s="24">
        <v>1436</v>
      </c>
      <c r="V23" s="8"/>
      <c r="W23" s="24">
        <v>1441</v>
      </c>
      <c r="X23" s="8"/>
      <c r="Y23" s="24">
        <v>1450</v>
      </c>
      <c r="Z23" s="8"/>
      <c r="AA23" s="24">
        <v>1462</v>
      </c>
      <c r="AB23" s="8"/>
      <c r="AC23" s="8"/>
      <c r="AE23" s="8"/>
      <c r="AG23" s="8"/>
    </row>
    <row r="24" ht="12" customHeight="1">
      <c r="A24" s="8" t="s">
        <v>109</v>
      </c>
      <c r="B24" s="8" t="s">
        <v>924</v>
      </c>
      <c r="C24" s="24">
        <v>1514</v>
      </c>
      <c r="D24" s="8"/>
      <c r="E24" s="24">
        <v>1515</v>
      </c>
      <c r="F24" s="8"/>
      <c r="G24" s="24">
        <v>1516</v>
      </c>
      <c r="H24" s="8"/>
      <c r="I24" s="24">
        <v>1659</v>
      </c>
      <c r="J24" s="8"/>
      <c r="K24" s="24">
        <v>1659</v>
      </c>
      <c r="L24" s="8"/>
      <c r="M24" s="24">
        <v>1660</v>
      </c>
      <c r="N24" s="8"/>
      <c r="O24" s="24">
        <v>1661</v>
      </c>
      <c r="P24" s="8"/>
      <c r="Q24" s="24">
        <v>1854</v>
      </c>
      <c r="R24" s="8"/>
      <c r="S24" s="24">
        <v>1857</v>
      </c>
      <c r="T24" s="8"/>
      <c r="U24" s="24">
        <v>1857</v>
      </c>
      <c r="V24" s="8"/>
      <c r="W24" s="24">
        <v>1857</v>
      </c>
      <c r="X24" s="8"/>
      <c r="Y24" s="24">
        <v>2009</v>
      </c>
      <c r="Z24" s="8"/>
      <c r="AA24" s="24">
        <v>2009</v>
      </c>
      <c r="AB24" s="8"/>
      <c r="AC24" s="8"/>
      <c r="AE24" s="8"/>
      <c r="AG24" s="8"/>
    </row>
    <row r="25" ht="12" customHeight="1">
      <c r="A25" s="8" t="s">
        <v>111</v>
      </c>
      <c r="B25" s="8" t="s">
        <v>925</v>
      </c>
      <c r="C25" s="24">
        <v>1544</v>
      </c>
      <c r="D25" s="8"/>
      <c r="E25" s="24">
        <v>1544</v>
      </c>
      <c r="F25" s="8"/>
      <c r="G25" s="24">
        <v>1544</v>
      </c>
      <c r="H25" s="8"/>
      <c r="I25" s="24">
        <v>1694</v>
      </c>
      <c r="J25" s="8"/>
      <c r="K25" s="24">
        <v>1694</v>
      </c>
      <c r="L25" s="8"/>
      <c r="M25" s="24">
        <v>1694</v>
      </c>
      <c r="N25" s="8"/>
      <c r="O25" s="24">
        <v>1694</v>
      </c>
      <c r="P25" s="8"/>
      <c r="Q25" s="24">
        <v>1897</v>
      </c>
      <c r="R25" s="8"/>
      <c r="S25" s="24">
        <v>1897</v>
      </c>
      <c r="T25" s="8"/>
      <c r="U25" s="24">
        <v>1897</v>
      </c>
      <c r="V25" s="8"/>
      <c r="W25" s="24">
        <v>1897</v>
      </c>
      <c r="X25" s="8"/>
      <c r="Y25" s="24">
        <v>2064</v>
      </c>
      <c r="Z25" s="8"/>
      <c r="AA25" s="24">
        <v>2064</v>
      </c>
      <c r="AB25" s="8"/>
      <c r="AC25" s="8"/>
      <c r="AE25" s="8"/>
      <c r="AG25" s="8"/>
    </row>
    <row r="26" ht="12" customHeight="1">
      <c r="A26" s="8" t="s">
        <v>113</v>
      </c>
      <c r="B26" s="8" t="s">
        <v>926</v>
      </c>
      <c r="C26" s="24">
        <v>1120</v>
      </c>
      <c r="D26" s="8"/>
      <c r="E26" s="24">
        <v>1147</v>
      </c>
      <c r="F26" s="8"/>
      <c r="G26" s="24">
        <v>1178</v>
      </c>
      <c r="H26" s="8"/>
      <c r="I26" s="24">
        <v>1163</v>
      </c>
      <c r="J26" s="8"/>
      <c r="K26" s="24">
        <v>1184</v>
      </c>
      <c r="L26" s="8"/>
      <c r="M26" s="24">
        <v>1186</v>
      </c>
      <c r="N26" s="8"/>
      <c r="O26" s="24">
        <v>1219</v>
      </c>
      <c r="P26" s="8"/>
      <c r="Q26" s="24">
        <v>1229</v>
      </c>
      <c r="R26" s="8"/>
      <c r="S26" s="24">
        <v>1239</v>
      </c>
      <c r="T26" s="8"/>
      <c r="U26" s="24">
        <v>1269</v>
      </c>
      <c r="V26" s="8"/>
      <c r="W26" s="24">
        <v>1329</v>
      </c>
      <c r="X26" s="8"/>
      <c r="Y26" s="24">
        <v>1368</v>
      </c>
      <c r="Z26" s="8"/>
      <c r="AA26" s="24">
        <v>1391</v>
      </c>
      <c r="AB26" s="8"/>
      <c r="AC26" s="8"/>
      <c r="AE26" s="8"/>
      <c r="AG26" s="8"/>
    </row>
    <row r="27" ht="12" customHeight="1">
      <c r="A27" s="8" t="s">
        <v>115</v>
      </c>
      <c r="B27" s="8" t="s">
        <v>927</v>
      </c>
      <c r="C27" s="24">
        <v>1103</v>
      </c>
      <c r="D27" s="8"/>
      <c r="E27" s="24">
        <v>1129</v>
      </c>
      <c r="F27" s="8"/>
      <c r="G27" s="24">
        <v>1158</v>
      </c>
      <c r="H27" s="8"/>
      <c r="I27" s="24">
        <v>1137</v>
      </c>
      <c r="J27" s="8"/>
      <c r="K27" s="24">
        <v>1156</v>
      </c>
      <c r="L27" s="8"/>
      <c r="M27" s="24">
        <v>1159</v>
      </c>
      <c r="N27" s="8"/>
      <c r="O27" s="24">
        <v>1194</v>
      </c>
      <c r="P27" s="8"/>
      <c r="Q27" s="24">
        <v>1201</v>
      </c>
      <c r="R27" s="8"/>
      <c r="S27" s="24">
        <v>1207</v>
      </c>
      <c r="T27" s="8"/>
      <c r="U27" s="24">
        <v>1233</v>
      </c>
      <c r="V27" s="8"/>
      <c r="W27" s="24">
        <v>1295</v>
      </c>
      <c r="X27" s="8"/>
      <c r="Y27" s="24">
        <v>1336</v>
      </c>
      <c r="Z27" s="8"/>
      <c r="AA27" s="24">
        <v>1353</v>
      </c>
      <c r="AB27" s="8"/>
      <c r="AC27" s="8"/>
      <c r="AE27" s="8"/>
      <c r="AG27" s="8"/>
    </row>
    <row r="28" ht="12" customHeight="1">
      <c r="A28" s="11" t="s">
        <v>117</v>
      </c>
      <c r="B28" s="8" t="s">
        <v>928</v>
      </c>
      <c r="C28" s="24">
        <v>1150</v>
      </c>
      <c r="D28" s="8"/>
      <c r="E28" s="24">
        <v>1140</v>
      </c>
      <c r="F28" s="8"/>
      <c r="G28" s="24">
        <v>1176</v>
      </c>
      <c r="H28" s="8"/>
      <c r="I28" s="24">
        <v>1158</v>
      </c>
      <c r="J28" s="8"/>
      <c r="K28" s="24">
        <v>1164</v>
      </c>
      <c r="L28" s="8"/>
      <c r="M28" s="24">
        <v>1149</v>
      </c>
      <c r="N28" s="8"/>
      <c r="O28" s="24">
        <v>1153</v>
      </c>
      <c r="P28" s="8"/>
      <c r="Q28" s="24">
        <v>1155</v>
      </c>
      <c r="R28" s="8"/>
      <c r="S28" s="24">
        <v>1147</v>
      </c>
      <c r="T28" s="8"/>
      <c r="U28" s="24">
        <v>1142</v>
      </c>
      <c r="V28" s="8"/>
      <c r="W28" s="24">
        <v>1144</v>
      </c>
      <c r="X28" s="8"/>
      <c r="Y28" s="24">
        <v>1133</v>
      </c>
      <c r="Z28" s="8"/>
      <c r="AA28" s="24">
        <v>1139</v>
      </c>
      <c r="AB28" s="8"/>
      <c r="AC28" s="8"/>
      <c r="AE28" s="8"/>
      <c r="AG28" s="8"/>
    </row>
    <row r="29" ht="12" customHeight="1">
      <c r="A29" s="8" t="s">
        <v>119</v>
      </c>
      <c r="B29" s="8" t="s">
        <v>929</v>
      </c>
      <c r="C29" s="24">
        <v>1225</v>
      </c>
      <c r="D29" s="8"/>
      <c r="E29" s="24">
        <v>1181</v>
      </c>
      <c r="F29" s="8"/>
      <c r="G29" s="24">
        <v>1221</v>
      </c>
      <c r="H29" s="8"/>
      <c r="I29" s="24">
        <v>1209</v>
      </c>
      <c r="J29" s="8"/>
      <c r="K29" s="24">
        <v>1188</v>
      </c>
      <c r="L29" s="8"/>
      <c r="M29" s="24">
        <v>1132</v>
      </c>
      <c r="N29" s="8"/>
      <c r="O29" s="24">
        <v>1141</v>
      </c>
      <c r="P29" s="8"/>
      <c r="Q29" s="24">
        <v>1184</v>
      </c>
      <c r="R29" s="8"/>
      <c r="S29" s="24">
        <v>1169</v>
      </c>
      <c r="T29" s="8"/>
      <c r="U29" s="24">
        <v>1155</v>
      </c>
      <c r="V29" s="8"/>
      <c r="W29" s="24">
        <v>1137</v>
      </c>
      <c r="X29" s="8"/>
      <c r="Y29" s="24">
        <v>1112</v>
      </c>
      <c r="Z29" s="8"/>
      <c r="AA29" s="24">
        <v>1160</v>
      </c>
      <c r="AB29" s="8"/>
      <c r="AC29" s="8"/>
      <c r="AE29" s="8"/>
      <c r="AG29" s="8"/>
    </row>
    <row r="30" ht="12" customHeight="1">
      <c r="A30" s="8" t="s">
        <v>121</v>
      </c>
      <c r="B30" s="8" t="s">
        <v>930</v>
      </c>
      <c r="C30" s="24">
        <v>1089</v>
      </c>
      <c r="D30" s="8"/>
      <c r="E30" s="24">
        <v>1109</v>
      </c>
      <c r="F30" s="8"/>
      <c r="G30" s="24">
        <v>1118</v>
      </c>
      <c r="H30" s="8"/>
      <c r="I30" s="24">
        <v>1076</v>
      </c>
      <c r="J30" s="8"/>
      <c r="K30" s="24">
        <v>1151</v>
      </c>
      <c r="L30" s="8"/>
      <c r="M30" s="24">
        <v>1116</v>
      </c>
      <c r="N30" s="8"/>
      <c r="O30" s="24">
        <v>1221</v>
      </c>
      <c r="P30" s="8"/>
      <c r="Q30" s="24">
        <v>1169</v>
      </c>
      <c r="R30" s="8"/>
      <c r="S30" s="24">
        <v>1087</v>
      </c>
      <c r="T30" s="8"/>
      <c r="U30" s="24">
        <v>1134</v>
      </c>
      <c r="V30" s="8"/>
      <c r="W30" s="24">
        <v>1176</v>
      </c>
      <c r="X30" s="8"/>
      <c r="Y30" s="24">
        <v>1164</v>
      </c>
      <c r="Z30" s="8"/>
      <c r="AA30" s="24">
        <v>1140</v>
      </c>
      <c r="AB30" s="8"/>
      <c r="AC30" s="8"/>
      <c r="AE30" s="8"/>
      <c r="AG30" s="8"/>
    </row>
    <row r="31" ht="12" customHeight="1">
      <c r="A31" s="8" t="s">
        <v>123</v>
      </c>
      <c r="B31" s="8" t="s">
        <v>931</v>
      </c>
      <c r="C31" s="24">
        <v>1065</v>
      </c>
      <c r="D31" s="8"/>
      <c r="E31" s="24">
        <v>1054</v>
      </c>
      <c r="F31" s="8"/>
      <c r="G31" s="24">
        <v>1091</v>
      </c>
      <c r="H31" s="8"/>
      <c r="I31" s="24">
        <v>1065</v>
      </c>
      <c r="J31" s="8"/>
      <c r="K31" s="24">
        <v>1058</v>
      </c>
      <c r="L31" s="8"/>
      <c r="M31" s="24">
        <v>1039</v>
      </c>
      <c r="N31" s="8"/>
      <c r="O31" s="24">
        <v>1033</v>
      </c>
      <c r="P31" s="8"/>
      <c r="Q31" s="24">
        <v>1019</v>
      </c>
      <c r="R31" s="8"/>
      <c r="S31" s="24">
        <v>1035</v>
      </c>
      <c r="T31" s="8"/>
      <c r="U31" s="24">
        <v>1020</v>
      </c>
      <c r="V31" s="8"/>
      <c r="W31" s="24">
        <v>1026</v>
      </c>
      <c r="X31" s="8"/>
      <c r="Y31" s="24">
        <v>1021</v>
      </c>
      <c r="Z31" s="8"/>
      <c r="AA31" s="24">
        <v>1020</v>
      </c>
      <c r="AB31" s="8"/>
      <c r="AC31" s="8"/>
      <c r="AE31" s="8"/>
      <c r="AG31" s="8"/>
    </row>
    <row r="32" ht="12" customHeight="1">
      <c r="A32" s="8" t="s">
        <v>125</v>
      </c>
      <c r="B32" s="8" t="s">
        <v>932</v>
      </c>
      <c r="C32" s="24">
        <v>1086</v>
      </c>
      <c r="D32" s="8"/>
      <c r="E32" s="24">
        <v>1045</v>
      </c>
      <c r="F32" s="8"/>
      <c r="G32" s="24">
        <v>1083</v>
      </c>
      <c r="H32" s="8"/>
      <c r="I32" s="24">
        <v>1057</v>
      </c>
      <c r="J32" s="8"/>
      <c r="K32" s="24">
        <v>1128</v>
      </c>
      <c r="L32" s="8"/>
      <c r="M32" s="24">
        <v>1141</v>
      </c>
      <c r="N32" s="8"/>
      <c r="O32" s="24">
        <v>1130</v>
      </c>
      <c r="P32" s="8"/>
      <c r="Q32" s="24">
        <v>1103</v>
      </c>
      <c r="R32" s="8"/>
      <c r="S32" s="24">
        <v>1105</v>
      </c>
      <c r="T32" s="8"/>
      <c r="U32" s="24">
        <v>1125</v>
      </c>
      <c r="V32" s="8"/>
      <c r="W32" s="24">
        <v>1110</v>
      </c>
      <c r="X32" s="8"/>
      <c r="Y32" s="24">
        <v>1100</v>
      </c>
      <c r="Z32" s="8"/>
      <c r="AA32" s="24">
        <v>1074</v>
      </c>
      <c r="AB32" s="8"/>
      <c r="AC32" s="8"/>
      <c r="AE32" s="8"/>
      <c r="AG32" s="8"/>
    </row>
    <row r="33" ht="12" customHeight="1">
      <c r="A33" s="8" t="s">
        <v>127</v>
      </c>
      <c r="B33" s="8" t="s">
        <v>933</v>
      </c>
      <c r="C33" s="24">
        <v>1124</v>
      </c>
      <c r="D33" s="8"/>
      <c r="E33" s="24">
        <v>1127</v>
      </c>
      <c r="F33" s="8"/>
      <c r="G33" s="24">
        <v>1176</v>
      </c>
      <c r="H33" s="8"/>
      <c r="I33" s="24">
        <v>1175</v>
      </c>
      <c r="J33" s="8"/>
      <c r="K33" s="24">
        <v>1175</v>
      </c>
      <c r="L33" s="8"/>
      <c r="M33" s="24">
        <v>1187</v>
      </c>
      <c r="N33" s="8"/>
      <c r="O33" s="24">
        <v>1142</v>
      </c>
      <c r="P33" s="8"/>
      <c r="Q33" s="24">
        <v>1134</v>
      </c>
      <c r="R33" s="8"/>
      <c r="S33" s="24">
        <v>1134</v>
      </c>
      <c r="T33" s="8"/>
      <c r="U33" s="24">
        <v>1123</v>
      </c>
      <c r="V33" s="8"/>
      <c r="W33" s="24">
        <v>1125</v>
      </c>
      <c r="X33" s="8"/>
      <c r="Y33" s="24">
        <v>1124</v>
      </c>
      <c r="Z33" s="8"/>
      <c r="AA33" s="24">
        <v>1101</v>
      </c>
      <c r="AB33" s="8"/>
      <c r="AC33" s="8"/>
      <c r="AE33" s="8"/>
      <c r="AG33" s="8"/>
    </row>
    <row r="34" ht="12" customHeight="1">
      <c r="A34" s="8" t="s">
        <v>129</v>
      </c>
      <c r="B34" s="8" t="s">
        <v>934</v>
      </c>
      <c r="C34" s="24">
        <v>1220</v>
      </c>
      <c r="D34" s="8"/>
      <c r="E34" s="24">
        <v>1243</v>
      </c>
      <c r="F34" s="8"/>
      <c r="G34" s="24">
        <v>1276</v>
      </c>
      <c r="H34" s="8"/>
      <c r="I34" s="24">
        <v>1265</v>
      </c>
      <c r="J34" s="8"/>
      <c r="K34" s="24">
        <v>1256</v>
      </c>
      <c r="L34" s="8"/>
      <c r="M34" s="24">
        <v>1262</v>
      </c>
      <c r="N34" s="8"/>
      <c r="O34" s="24">
        <v>1270</v>
      </c>
      <c r="P34" s="8"/>
      <c r="Q34" s="24">
        <v>1289</v>
      </c>
      <c r="R34" s="8"/>
      <c r="S34" s="24">
        <v>1281</v>
      </c>
      <c r="T34" s="8"/>
      <c r="U34" s="24">
        <v>1268</v>
      </c>
      <c r="V34" s="8"/>
      <c r="W34" s="24">
        <v>1287</v>
      </c>
      <c r="X34" s="8"/>
      <c r="Y34" s="24">
        <v>1282</v>
      </c>
      <c r="Z34" s="8"/>
      <c r="AA34" s="24">
        <v>1279</v>
      </c>
      <c r="AB34" s="8"/>
      <c r="AC34" s="8"/>
      <c r="AE34" s="8"/>
      <c r="AG34" s="8"/>
    </row>
    <row r="35" ht="12" customHeight="1">
      <c r="A35" s="11" t="s">
        <v>131</v>
      </c>
      <c r="B35" s="8" t="s">
        <v>935</v>
      </c>
      <c r="C35" s="24">
        <v>1178</v>
      </c>
      <c r="D35" s="8"/>
      <c r="E35" s="24">
        <v>1185</v>
      </c>
      <c r="F35" s="8"/>
      <c r="G35" s="24">
        <v>1202</v>
      </c>
      <c r="H35" s="8"/>
      <c r="I35" s="24">
        <v>1185</v>
      </c>
      <c r="J35" s="8"/>
      <c r="K35" s="24">
        <v>1203</v>
      </c>
      <c r="L35" s="8"/>
      <c r="M35" s="24">
        <v>1225</v>
      </c>
      <c r="N35" s="8"/>
      <c r="O35" s="24">
        <v>1229</v>
      </c>
      <c r="P35" s="8"/>
      <c r="Q35" s="24">
        <v>1274</v>
      </c>
      <c r="R35" s="8"/>
      <c r="S35" s="24">
        <v>1266</v>
      </c>
      <c r="T35" s="8"/>
      <c r="U35" s="24">
        <v>1270</v>
      </c>
      <c r="V35" s="8"/>
      <c r="W35" s="24">
        <v>1272</v>
      </c>
      <c r="X35" s="8"/>
      <c r="Y35" s="24">
        <v>1274</v>
      </c>
      <c r="Z35" s="8"/>
      <c r="AA35" s="24">
        <v>1270</v>
      </c>
      <c r="AB35" s="8"/>
      <c r="AC35" s="8"/>
      <c r="AE35" s="8"/>
      <c r="AG35" s="8"/>
    </row>
    <row r="36" ht="12" customHeight="1">
      <c r="A36" s="8" t="s">
        <v>133</v>
      </c>
      <c r="B36" s="8" t="s">
        <v>936</v>
      </c>
      <c r="C36" s="24">
        <v>1042</v>
      </c>
      <c r="D36" s="8"/>
      <c r="E36" s="24">
        <v>1046</v>
      </c>
      <c r="F36" s="8"/>
      <c r="G36" s="24">
        <v>1062</v>
      </c>
      <c r="H36" s="8"/>
      <c r="I36" s="24">
        <v>995</v>
      </c>
      <c r="J36" s="8"/>
      <c r="K36" s="24">
        <v>997</v>
      </c>
      <c r="L36" s="8"/>
      <c r="M36" s="24">
        <v>991</v>
      </c>
      <c r="N36" s="8"/>
      <c r="O36" s="24">
        <v>997</v>
      </c>
      <c r="P36" s="8"/>
      <c r="Q36" s="24">
        <v>1093</v>
      </c>
      <c r="R36" s="8"/>
      <c r="S36" s="24">
        <v>1056</v>
      </c>
      <c r="T36" s="8"/>
      <c r="U36" s="24">
        <v>1058</v>
      </c>
      <c r="V36" s="8"/>
      <c r="W36" s="24">
        <v>1052</v>
      </c>
      <c r="X36" s="8"/>
      <c r="Y36" s="24">
        <v>1010</v>
      </c>
      <c r="Z36" s="8"/>
      <c r="AA36" s="24">
        <v>972</v>
      </c>
      <c r="AB36" s="8"/>
      <c r="AC36" s="8"/>
      <c r="AE36" s="8"/>
      <c r="AG36" s="8"/>
    </row>
    <row r="37" ht="12" customHeight="1">
      <c r="A37" s="8" t="s">
        <v>135</v>
      </c>
      <c r="B37" s="8" t="s">
        <v>937</v>
      </c>
      <c r="C37" s="24">
        <v>1258</v>
      </c>
      <c r="D37" s="8"/>
      <c r="E37" s="24">
        <v>1266</v>
      </c>
      <c r="F37" s="8"/>
      <c r="G37" s="24">
        <v>1284</v>
      </c>
      <c r="H37" s="8"/>
      <c r="I37" s="24">
        <v>1299</v>
      </c>
      <c r="J37" s="8"/>
      <c r="K37" s="24">
        <v>1327</v>
      </c>
      <c r="L37" s="8"/>
      <c r="M37" s="24">
        <v>1367</v>
      </c>
      <c r="N37" s="8"/>
      <c r="O37" s="24">
        <v>1370</v>
      </c>
      <c r="P37" s="8"/>
      <c r="Q37" s="24">
        <v>1381</v>
      </c>
      <c r="R37" s="8"/>
      <c r="S37" s="24">
        <v>1392</v>
      </c>
      <c r="T37" s="8"/>
      <c r="U37" s="24">
        <v>1398</v>
      </c>
      <c r="V37" s="8"/>
      <c r="W37" s="24">
        <v>1403</v>
      </c>
      <c r="X37" s="8"/>
      <c r="Y37" s="24">
        <v>1427</v>
      </c>
      <c r="Z37" s="8"/>
      <c r="AA37" s="24">
        <v>1439</v>
      </c>
      <c r="AB37" s="8"/>
      <c r="AC37" s="8"/>
      <c r="AE37" s="8"/>
      <c r="AG37" s="8"/>
    </row>
    <row r="38" ht="12" customHeight="1">
      <c r="A38" s="8" t="s">
        <v>137</v>
      </c>
      <c r="B38" s="8" t="s">
        <v>938</v>
      </c>
      <c r="C38" s="24">
        <v>1349</v>
      </c>
      <c r="D38" s="8"/>
      <c r="E38" s="24">
        <v>1371</v>
      </c>
      <c r="F38" s="8"/>
      <c r="G38" s="24">
        <v>1409</v>
      </c>
      <c r="H38" s="8"/>
      <c r="I38" s="24">
        <v>1459</v>
      </c>
      <c r="J38" s="8"/>
      <c r="K38" s="24">
        <v>1521</v>
      </c>
      <c r="L38" s="8"/>
      <c r="M38" s="24">
        <v>1558</v>
      </c>
      <c r="N38" s="8"/>
      <c r="O38" s="24">
        <v>1570</v>
      </c>
      <c r="P38" s="8"/>
      <c r="Q38" s="24">
        <v>1675</v>
      </c>
      <c r="R38" s="8"/>
      <c r="S38" s="24">
        <v>1691</v>
      </c>
      <c r="T38" s="8"/>
      <c r="U38" s="24">
        <v>1692</v>
      </c>
      <c r="V38" s="8"/>
      <c r="W38" s="24">
        <v>1707</v>
      </c>
      <c r="X38" s="8"/>
      <c r="Y38" s="24">
        <v>1732</v>
      </c>
      <c r="Z38" s="8"/>
      <c r="AA38" s="24">
        <v>1750</v>
      </c>
      <c r="AB38" s="8"/>
      <c r="AC38" s="8"/>
      <c r="AE38" s="8"/>
      <c r="AG38" s="8"/>
    </row>
    <row r="39" ht="12" customHeight="1">
      <c r="A39" s="11" t="s">
        <v>139</v>
      </c>
      <c r="B39" s="8" t="s">
        <v>939</v>
      </c>
      <c r="C39" s="24">
        <v>1169</v>
      </c>
      <c r="D39" s="8"/>
      <c r="E39" s="24">
        <v>1157</v>
      </c>
      <c r="F39" s="8"/>
      <c r="G39" s="24">
        <v>1139</v>
      </c>
      <c r="H39" s="8"/>
      <c r="I39" s="24">
        <v>1226</v>
      </c>
      <c r="J39" s="8"/>
      <c r="K39" s="24">
        <v>1223</v>
      </c>
      <c r="L39" s="8"/>
      <c r="M39" s="24">
        <v>1197</v>
      </c>
      <c r="N39" s="8"/>
      <c r="O39" s="24">
        <v>1196</v>
      </c>
      <c r="P39" s="8"/>
      <c r="Q39" s="24">
        <v>1165</v>
      </c>
      <c r="R39" s="8"/>
      <c r="S39" s="24">
        <v>1179</v>
      </c>
      <c r="T39" s="8"/>
      <c r="U39" s="24">
        <v>1191</v>
      </c>
      <c r="V39" s="8"/>
      <c r="W39" s="24">
        <v>1177</v>
      </c>
      <c r="X39" s="8"/>
      <c r="Y39" s="24">
        <v>1183</v>
      </c>
      <c r="Z39" s="8"/>
      <c r="AA39" s="24">
        <v>1209</v>
      </c>
      <c r="AB39" s="8"/>
      <c r="AC39" s="8"/>
      <c r="AE39" s="8"/>
      <c r="AG39" s="8"/>
    </row>
    <row r="40" ht="12" customHeight="1">
      <c r="A40" s="8" t="s">
        <v>141</v>
      </c>
      <c r="B40" s="8" t="s">
        <v>940</v>
      </c>
      <c r="C40" s="24">
        <v>1096</v>
      </c>
      <c r="D40" s="8"/>
      <c r="E40" s="24">
        <v>1106</v>
      </c>
      <c r="F40" s="8"/>
      <c r="G40" s="24">
        <v>1120</v>
      </c>
      <c r="H40" s="8"/>
      <c r="I40" s="24">
        <v>1149</v>
      </c>
      <c r="J40" s="8"/>
      <c r="K40" s="24">
        <v>1123</v>
      </c>
      <c r="L40" s="8"/>
      <c r="M40" s="24">
        <v>1111</v>
      </c>
      <c r="N40" s="8"/>
      <c r="O40" s="24">
        <v>1077</v>
      </c>
      <c r="P40" s="8"/>
      <c r="Q40" s="24">
        <v>1055</v>
      </c>
      <c r="R40" s="8"/>
      <c r="S40" s="24">
        <v>1080</v>
      </c>
      <c r="T40" s="8"/>
      <c r="U40" s="24">
        <v>1082</v>
      </c>
      <c r="V40" s="8"/>
      <c r="W40" s="24">
        <v>1093</v>
      </c>
      <c r="X40" s="8"/>
      <c r="Y40" s="24">
        <v>1092</v>
      </c>
      <c r="Z40" s="8"/>
      <c r="AA40" s="24">
        <v>1094</v>
      </c>
      <c r="AB40" s="8"/>
      <c r="AC40" s="8"/>
      <c r="AE40" s="8"/>
      <c r="AG40" s="8"/>
    </row>
    <row r="41" ht="12" customHeight="1">
      <c r="A41" s="8" t="s">
        <v>143</v>
      </c>
      <c r="B41" s="8" t="s">
        <v>941</v>
      </c>
      <c r="C41" s="24">
        <v>1149</v>
      </c>
      <c r="D41" s="8"/>
      <c r="E41" s="24">
        <v>1127</v>
      </c>
      <c r="F41" s="8"/>
      <c r="G41" s="24">
        <v>1114</v>
      </c>
      <c r="H41" s="8"/>
      <c r="I41" s="24">
        <v>1246</v>
      </c>
      <c r="J41" s="8"/>
      <c r="K41" s="24">
        <v>1254</v>
      </c>
      <c r="L41" s="8"/>
      <c r="M41" s="24">
        <v>1236</v>
      </c>
      <c r="N41" s="8"/>
      <c r="O41" s="24">
        <v>1260</v>
      </c>
      <c r="P41" s="8"/>
      <c r="Q41" s="24">
        <v>1207</v>
      </c>
      <c r="R41" s="8"/>
      <c r="S41" s="24">
        <v>1196</v>
      </c>
      <c r="T41" s="8"/>
      <c r="U41" s="24">
        <v>1234</v>
      </c>
      <c r="V41" s="8"/>
      <c r="W41" s="24">
        <v>1212</v>
      </c>
      <c r="X41" s="8"/>
      <c r="Y41" s="24">
        <v>1217</v>
      </c>
      <c r="Z41" s="8"/>
      <c r="AA41" s="24">
        <v>1238</v>
      </c>
      <c r="AB41" s="8"/>
      <c r="AC41" s="8"/>
      <c r="AE41" s="8"/>
      <c r="AG41" s="8"/>
    </row>
    <row r="42" ht="12" customHeight="1">
      <c r="A42" s="8" t="s">
        <v>145</v>
      </c>
      <c r="B42" s="8" t="s">
        <v>942</v>
      </c>
      <c r="C42" s="24">
        <v>1194</v>
      </c>
      <c r="D42" s="8"/>
      <c r="E42" s="24">
        <v>1164</v>
      </c>
      <c r="F42" s="8"/>
      <c r="G42" s="24">
        <v>1146</v>
      </c>
      <c r="H42" s="8"/>
      <c r="I42" s="24">
        <v>1335</v>
      </c>
      <c r="J42" s="8"/>
      <c r="K42" s="24">
        <v>1336</v>
      </c>
      <c r="L42" s="8"/>
      <c r="M42" s="24">
        <v>1306</v>
      </c>
      <c r="N42" s="8"/>
      <c r="O42" s="24">
        <v>1316</v>
      </c>
      <c r="P42" s="8"/>
      <c r="Q42" s="24">
        <v>1229</v>
      </c>
      <c r="R42" s="8"/>
      <c r="S42" s="24">
        <v>1211</v>
      </c>
      <c r="T42" s="8"/>
      <c r="U42" s="24">
        <v>1267</v>
      </c>
      <c r="V42" s="8"/>
      <c r="W42" s="24">
        <v>1207</v>
      </c>
      <c r="X42" s="8"/>
      <c r="Y42" s="24">
        <v>1208</v>
      </c>
      <c r="Z42" s="8"/>
      <c r="AA42" s="24">
        <v>1238</v>
      </c>
      <c r="AB42" s="8"/>
      <c r="AC42" s="8"/>
      <c r="AE42" s="8"/>
      <c r="AG42" s="8"/>
    </row>
    <row r="43" ht="12" customHeight="1">
      <c r="A43" s="8" t="s">
        <v>147</v>
      </c>
      <c r="B43" s="8" t="s">
        <v>943</v>
      </c>
      <c r="C43" s="24">
        <v>1312</v>
      </c>
      <c r="D43" s="8"/>
      <c r="E43" s="24">
        <v>1292</v>
      </c>
      <c r="F43" s="8"/>
      <c r="G43" s="24">
        <v>1202</v>
      </c>
      <c r="H43" s="8"/>
      <c r="I43" s="24">
        <v>1239</v>
      </c>
      <c r="J43" s="8"/>
      <c r="K43" s="24">
        <v>1242</v>
      </c>
      <c r="L43" s="8"/>
      <c r="M43" s="24">
        <v>1171</v>
      </c>
      <c r="N43" s="8"/>
      <c r="O43" s="24">
        <v>1143</v>
      </c>
      <c r="P43" s="8"/>
      <c r="Q43" s="24">
        <v>1169</v>
      </c>
      <c r="R43" s="8"/>
      <c r="S43" s="24">
        <v>1243</v>
      </c>
      <c r="T43" s="8"/>
      <c r="U43" s="24">
        <v>1198</v>
      </c>
      <c r="V43" s="8"/>
      <c r="W43" s="24">
        <v>1171</v>
      </c>
      <c r="X43" s="8"/>
      <c r="Y43" s="24">
        <v>1190</v>
      </c>
      <c r="Z43" s="8"/>
      <c r="AA43" s="24">
        <v>1259</v>
      </c>
      <c r="AB43" s="8"/>
      <c r="AC43" s="8"/>
      <c r="AE43" s="8"/>
      <c r="AG43" s="8"/>
    </row>
    <row r="44" ht="12" customHeight="1">
      <c r="A44" s="11" t="s">
        <v>149</v>
      </c>
      <c r="B44" s="8" t="s">
        <v>944</v>
      </c>
      <c r="C44" s="24">
        <v>788</v>
      </c>
      <c r="D44" s="8"/>
      <c r="E44" s="24">
        <v>790</v>
      </c>
      <c r="F44" s="8"/>
      <c r="G44" s="24">
        <v>796</v>
      </c>
      <c r="H44" s="8"/>
      <c r="I44" s="24">
        <v>808</v>
      </c>
      <c r="J44" s="8"/>
      <c r="K44" s="24">
        <v>820</v>
      </c>
      <c r="L44" s="8"/>
      <c r="M44" s="24">
        <v>823</v>
      </c>
      <c r="N44" s="8"/>
      <c r="O44" s="24">
        <v>827</v>
      </c>
      <c r="P44" s="8"/>
      <c r="Q44" s="24">
        <v>838</v>
      </c>
      <c r="R44" s="8"/>
      <c r="S44" s="24">
        <v>854</v>
      </c>
      <c r="T44" s="8"/>
      <c r="U44" s="24">
        <v>856</v>
      </c>
      <c r="V44" s="8"/>
      <c r="W44" s="24">
        <v>853</v>
      </c>
      <c r="X44" s="8"/>
      <c r="Y44" s="24">
        <v>857</v>
      </c>
      <c r="Z44" s="8"/>
      <c r="AA44" s="24">
        <v>893</v>
      </c>
      <c r="AB44" s="8"/>
      <c r="AC44" s="8"/>
      <c r="AE44" s="8"/>
      <c r="AG44" s="8"/>
    </row>
    <row r="45" ht="12" customHeight="1">
      <c r="A45" s="8" t="s">
        <v>151</v>
      </c>
      <c r="B45" s="8" t="s">
        <v>945</v>
      </c>
      <c r="C45" s="24">
        <v>1376</v>
      </c>
      <c r="D45" s="8"/>
      <c r="E45" s="24">
        <v>1383</v>
      </c>
      <c r="F45" s="8"/>
      <c r="G45" s="24">
        <v>1374</v>
      </c>
      <c r="H45" s="8"/>
      <c r="I45" s="24">
        <v>1475</v>
      </c>
      <c r="J45" s="8"/>
      <c r="K45" s="24">
        <v>1490</v>
      </c>
      <c r="L45" s="8"/>
      <c r="M45" s="24">
        <v>1471</v>
      </c>
      <c r="N45" s="8"/>
      <c r="O45" s="24">
        <v>1470</v>
      </c>
      <c r="P45" s="8"/>
      <c r="Q45" s="24">
        <v>1510</v>
      </c>
      <c r="R45" s="8"/>
      <c r="S45" s="24">
        <v>1513</v>
      </c>
      <c r="T45" s="8"/>
      <c r="U45" s="24">
        <v>1507</v>
      </c>
      <c r="V45" s="8"/>
      <c r="W45" s="24">
        <v>1522</v>
      </c>
      <c r="X45" s="8"/>
      <c r="Y45" s="24">
        <v>1636</v>
      </c>
      <c r="Z45" s="8"/>
      <c r="AA45" s="24">
        <v>1640</v>
      </c>
      <c r="AB45" s="8"/>
      <c r="AC45" s="8"/>
      <c r="AE45" s="8"/>
      <c r="AG45" s="8"/>
    </row>
    <row r="46" ht="12" customHeight="1">
      <c r="A46" s="8" t="s">
        <v>153</v>
      </c>
      <c r="B46" s="8" t="s">
        <v>946</v>
      </c>
      <c r="C46" s="24">
        <v>293</v>
      </c>
      <c r="D46" s="8"/>
      <c r="E46" s="24">
        <v>298</v>
      </c>
      <c r="F46" s="8"/>
      <c r="G46" s="24">
        <v>268</v>
      </c>
      <c r="H46" s="8"/>
      <c r="I46" s="24">
        <v>251</v>
      </c>
      <c r="J46" s="8"/>
      <c r="K46" s="24">
        <v>291</v>
      </c>
      <c r="L46" s="8"/>
      <c r="M46" s="24">
        <v>283</v>
      </c>
      <c r="N46" s="8"/>
      <c r="O46" s="24">
        <v>306</v>
      </c>
      <c r="P46" s="8"/>
      <c r="Q46" s="24">
        <v>260</v>
      </c>
      <c r="R46" s="8"/>
      <c r="S46" s="24">
        <v>260</v>
      </c>
      <c r="T46" s="8"/>
      <c r="U46" s="24">
        <v>246</v>
      </c>
      <c r="V46" s="8"/>
      <c r="W46" s="24">
        <v>229</v>
      </c>
      <c r="X46" s="8"/>
      <c r="Y46" s="24">
        <v>220</v>
      </c>
      <c r="Z46" s="8"/>
      <c r="AA46" s="24">
        <v>245</v>
      </c>
      <c r="AB46" s="8"/>
      <c r="AC46" s="8"/>
      <c r="AE46" s="8"/>
      <c r="AG46" s="8"/>
    </row>
    <row r="47" ht="12" customHeight="1">
      <c r="A47" s="8" t="s">
        <v>155</v>
      </c>
      <c r="B47" s="8" t="s">
        <v>947</v>
      </c>
      <c r="C47" s="24">
        <v>832</v>
      </c>
      <c r="D47" s="8"/>
      <c r="E47" s="24">
        <v>834</v>
      </c>
      <c r="F47" s="8"/>
      <c r="G47" s="24">
        <v>842</v>
      </c>
      <c r="H47" s="8"/>
      <c r="I47" s="24">
        <v>855</v>
      </c>
      <c r="J47" s="8"/>
      <c r="K47" s="24">
        <v>865</v>
      </c>
      <c r="L47" s="8"/>
      <c r="M47" s="24">
        <v>870</v>
      </c>
      <c r="N47" s="8"/>
      <c r="O47" s="24">
        <v>872</v>
      </c>
      <c r="P47" s="8"/>
      <c r="Q47" s="24">
        <v>887</v>
      </c>
      <c r="R47" s="8"/>
      <c r="S47" s="24">
        <v>905</v>
      </c>
      <c r="T47" s="8"/>
      <c r="U47" s="24">
        <v>920</v>
      </c>
      <c r="V47" s="8"/>
      <c r="W47" s="24">
        <v>933</v>
      </c>
      <c r="X47" s="8"/>
      <c r="Y47" s="24">
        <v>943</v>
      </c>
      <c r="Z47" s="8"/>
      <c r="AA47" s="24">
        <v>969</v>
      </c>
      <c r="AB47" s="8"/>
      <c r="AC47" s="8"/>
      <c r="AE47" s="8"/>
      <c r="AG47" s="8"/>
    </row>
    <row r="48" ht="12" customHeight="1">
      <c r="A48" s="11" t="s">
        <v>157</v>
      </c>
      <c r="B48" s="8" t="s">
        <v>948</v>
      </c>
      <c r="C48" s="24">
        <v>1140</v>
      </c>
      <c r="D48" s="8"/>
      <c r="E48" s="24">
        <v>1151</v>
      </c>
      <c r="F48" s="8"/>
      <c r="G48" s="24">
        <v>1159</v>
      </c>
      <c r="H48" s="8"/>
      <c r="I48" s="24">
        <v>1171</v>
      </c>
      <c r="J48" s="8"/>
      <c r="K48" s="24">
        <v>1188</v>
      </c>
      <c r="L48" s="8"/>
      <c r="M48" s="24">
        <v>1212</v>
      </c>
      <c r="N48" s="8"/>
      <c r="O48" s="24">
        <v>1187</v>
      </c>
      <c r="P48" s="8"/>
      <c r="Q48" s="24">
        <v>1194</v>
      </c>
      <c r="R48" s="8"/>
      <c r="S48" s="24">
        <v>1218</v>
      </c>
      <c r="T48" s="8"/>
      <c r="U48" s="24">
        <v>1214</v>
      </c>
      <c r="V48" s="8"/>
      <c r="W48" s="24">
        <v>1221</v>
      </c>
      <c r="X48" s="8"/>
      <c r="Y48" s="24">
        <v>1231</v>
      </c>
      <c r="Z48" s="8"/>
      <c r="AA48" s="24">
        <v>1252</v>
      </c>
      <c r="AB48" s="8"/>
      <c r="AC48" s="8"/>
      <c r="AE48" s="8"/>
      <c r="AG48" s="8"/>
    </row>
    <row r="49" ht="12" customHeight="1">
      <c r="A49" s="8" t="s">
        <v>159</v>
      </c>
      <c r="B49" s="8" t="s">
        <v>949</v>
      </c>
      <c r="C49" s="24">
        <v>452</v>
      </c>
      <c r="D49" s="8"/>
      <c r="E49" s="24">
        <v>433</v>
      </c>
      <c r="F49" s="8"/>
      <c r="G49" s="24">
        <v>376</v>
      </c>
      <c r="H49" s="8"/>
      <c r="I49" s="24">
        <v>390</v>
      </c>
      <c r="J49" s="8"/>
      <c r="K49" s="24">
        <v>415</v>
      </c>
      <c r="L49" s="8"/>
      <c r="M49" s="24">
        <v>382</v>
      </c>
      <c r="N49" s="8"/>
      <c r="O49" s="24">
        <v>350</v>
      </c>
      <c r="P49" s="8"/>
      <c r="Q49" s="24">
        <v>365</v>
      </c>
      <c r="R49" s="8"/>
      <c r="S49" s="24">
        <v>388</v>
      </c>
      <c r="T49" s="8"/>
      <c r="U49" s="24">
        <v>362</v>
      </c>
      <c r="V49" s="8"/>
      <c r="W49" s="24">
        <v>316</v>
      </c>
      <c r="X49" s="8"/>
      <c r="Y49" s="24">
        <v>323</v>
      </c>
      <c r="Z49" s="8"/>
      <c r="AA49" s="24">
        <v>349</v>
      </c>
      <c r="AB49" s="8"/>
      <c r="AC49" s="8"/>
      <c r="AE49" s="8"/>
      <c r="AG49" s="8"/>
    </row>
    <row r="50" ht="12" customHeight="1">
      <c r="A50" s="8" t="s">
        <v>161</v>
      </c>
      <c r="B50" s="8" t="s">
        <v>950</v>
      </c>
      <c r="C50" s="24">
        <v>1369</v>
      </c>
      <c r="D50" s="8"/>
      <c r="E50" s="24">
        <v>1380</v>
      </c>
      <c r="F50" s="8"/>
      <c r="G50" s="24">
        <v>1373</v>
      </c>
      <c r="H50" s="8"/>
      <c r="I50" s="24">
        <v>1379</v>
      </c>
      <c r="J50" s="8"/>
      <c r="K50" s="24">
        <v>1373</v>
      </c>
      <c r="L50" s="8"/>
      <c r="M50" s="24">
        <v>1394</v>
      </c>
      <c r="N50" s="8"/>
      <c r="O50" s="24">
        <v>1400</v>
      </c>
      <c r="P50" s="8"/>
      <c r="Q50" s="24">
        <v>1372</v>
      </c>
      <c r="R50" s="8"/>
      <c r="S50" s="24">
        <v>1377</v>
      </c>
      <c r="T50" s="8"/>
      <c r="U50" s="24">
        <v>1388</v>
      </c>
      <c r="V50" s="8"/>
      <c r="W50" s="24">
        <v>1412</v>
      </c>
      <c r="X50" s="8"/>
      <c r="Y50" s="24">
        <v>1407</v>
      </c>
      <c r="Z50" s="8"/>
      <c r="AA50" s="24">
        <v>1418</v>
      </c>
      <c r="AB50" s="8"/>
      <c r="AC50" s="8"/>
      <c r="AE50" s="8"/>
      <c r="AG50" s="8"/>
    </row>
    <row r="51" ht="12" customHeight="1">
      <c r="A51" s="8" t="s">
        <v>163</v>
      </c>
      <c r="B51" s="8" t="s">
        <v>951</v>
      </c>
      <c r="C51" s="24">
        <v>1243</v>
      </c>
      <c r="D51" s="8"/>
      <c r="E51" s="24">
        <v>1250</v>
      </c>
      <c r="F51" s="8"/>
      <c r="G51" s="24">
        <v>1284</v>
      </c>
      <c r="H51" s="8"/>
      <c r="I51" s="24">
        <v>1278</v>
      </c>
      <c r="J51" s="8"/>
      <c r="K51" s="24">
        <v>1283</v>
      </c>
      <c r="L51" s="8"/>
      <c r="M51" s="24">
        <v>1294</v>
      </c>
      <c r="N51" s="8"/>
      <c r="O51" s="24">
        <v>1251</v>
      </c>
      <c r="P51" s="8"/>
      <c r="Q51" s="24">
        <v>1284</v>
      </c>
      <c r="R51" s="8"/>
      <c r="S51" s="24">
        <v>1313</v>
      </c>
      <c r="T51" s="8"/>
      <c r="U51" s="24">
        <v>1294</v>
      </c>
      <c r="V51" s="8"/>
      <c r="W51" s="24">
        <v>1264</v>
      </c>
      <c r="X51" s="8"/>
      <c r="Y51" s="24">
        <v>1282</v>
      </c>
      <c r="Z51" s="8"/>
      <c r="AA51" s="24">
        <v>1293</v>
      </c>
      <c r="AB51" s="8"/>
      <c r="AC51" s="8"/>
      <c r="AE51" s="8"/>
      <c r="AG51" s="8"/>
    </row>
    <row r="52" ht="12" customHeight="1">
      <c r="A52" s="8" t="s">
        <v>165</v>
      </c>
      <c r="B52" s="8" t="s">
        <v>952</v>
      </c>
      <c r="C52" s="24">
        <v>1129</v>
      </c>
      <c r="D52" s="8"/>
      <c r="E52" s="24">
        <v>1142</v>
      </c>
      <c r="F52" s="8"/>
      <c r="G52" s="24">
        <v>1168</v>
      </c>
      <c r="H52" s="8"/>
      <c r="I52" s="24">
        <v>1184</v>
      </c>
      <c r="J52" s="8"/>
      <c r="K52" s="24">
        <v>1203</v>
      </c>
      <c r="L52" s="8"/>
      <c r="M52" s="24">
        <v>1225</v>
      </c>
      <c r="N52" s="8"/>
      <c r="O52" s="24">
        <v>1258</v>
      </c>
      <c r="P52" s="8"/>
      <c r="Q52" s="24">
        <v>1265</v>
      </c>
      <c r="R52" s="8"/>
      <c r="S52" s="24">
        <v>1273</v>
      </c>
      <c r="T52" s="8"/>
      <c r="U52" s="24">
        <v>1277</v>
      </c>
      <c r="V52" s="8"/>
      <c r="W52" s="24">
        <v>1355</v>
      </c>
      <c r="X52" s="8"/>
      <c r="Y52" s="24">
        <v>1360</v>
      </c>
      <c r="Z52" s="8"/>
      <c r="AA52" s="24">
        <v>1362</v>
      </c>
      <c r="AB52" s="8"/>
      <c r="AC52" s="8"/>
      <c r="AE52" s="8"/>
      <c r="AG52" s="8"/>
    </row>
    <row r="53" ht="12" customHeight="1">
      <c r="A53" s="8" t="s">
        <v>167</v>
      </c>
      <c r="B53" s="8" t="s">
        <v>953</v>
      </c>
      <c r="C53" s="24">
        <v>1396</v>
      </c>
      <c r="D53" s="8"/>
      <c r="E53" s="24">
        <v>1423</v>
      </c>
      <c r="F53" s="8"/>
      <c r="G53" s="24">
        <v>1456</v>
      </c>
      <c r="H53" s="8"/>
      <c r="I53" s="24">
        <v>1490</v>
      </c>
      <c r="J53" s="8"/>
      <c r="K53" s="24">
        <v>1492</v>
      </c>
      <c r="L53" s="8"/>
      <c r="M53" s="24">
        <v>1496</v>
      </c>
      <c r="N53" s="8"/>
      <c r="O53" s="24">
        <v>1517</v>
      </c>
      <c r="P53" s="8"/>
      <c r="Q53" s="24">
        <v>1525</v>
      </c>
      <c r="R53" s="8"/>
      <c r="S53" s="24">
        <v>1533</v>
      </c>
      <c r="T53" s="8"/>
      <c r="U53" s="24">
        <v>1523</v>
      </c>
      <c r="V53" s="8"/>
      <c r="W53" s="24">
        <v>1530</v>
      </c>
      <c r="X53" s="8"/>
      <c r="Y53" s="24">
        <v>1567</v>
      </c>
      <c r="Z53" s="8"/>
      <c r="AA53" s="24">
        <v>1585</v>
      </c>
      <c r="AB53" s="8"/>
      <c r="AC53" s="8"/>
      <c r="AE53" s="8"/>
      <c r="AG53" s="8"/>
    </row>
    <row r="54" ht="12" customHeight="1">
      <c r="A54" s="8" t="s">
        <v>169</v>
      </c>
      <c r="B54" s="8" t="s">
        <v>954</v>
      </c>
      <c r="C54" s="24">
        <v>1715</v>
      </c>
      <c r="D54" s="8"/>
      <c r="E54" s="24">
        <v>1760</v>
      </c>
      <c r="F54" s="8"/>
      <c r="G54" s="24">
        <v>1745</v>
      </c>
      <c r="H54" s="8"/>
      <c r="I54" s="24">
        <v>1773</v>
      </c>
      <c r="J54" s="8"/>
      <c r="K54" s="24">
        <v>1802</v>
      </c>
      <c r="L54" s="8"/>
      <c r="M54" s="24">
        <v>1920</v>
      </c>
      <c r="N54" s="8"/>
      <c r="O54" s="24">
        <v>1798</v>
      </c>
      <c r="P54" s="8"/>
      <c r="Q54" s="24">
        <v>1761</v>
      </c>
      <c r="R54" s="8"/>
      <c r="S54" s="24">
        <v>1819</v>
      </c>
      <c r="T54" s="8"/>
      <c r="U54" s="24">
        <v>1857</v>
      </c>
      <c r="V54" s="8"/>
      <c r="W54" s="24">
        <v>1865</v>
      </c>
      <c r="X54" s="8"/>
      <c r="Y54" s="24">
        <v>1873</v>
      </c>
      <c r="Z54" s="8"/>
      <c r="AA54" s="24">
        <v>1942</v>
      </c>
      <c r="AB54" s="8"/>
      <c r="AC54" s="8"/>
      <c r="AE54" s="8"/>
      <c r="AG54" s="8"/>
    </row>
    <row r="55" ht="12" customHeight="1">
      <c r="A55" s="11" t="s">
        <v>171</v>
      </c>
      <c r="B55" s="8" t="s">
        <v>955</v>
      </c>
      <c r="C55" s="24">
        <v>1100</v>
      </c>
      <c r="D55" s="8"/>
      <c r="E55" s="24">
        <v>1129</v>
      </c>
      <c r="F55" s="8"/>
      <c r="G55" s="24">
        <v>1129</v>
      </c>
      <c r="H55" s="8"/>
      <c r="I55" s="24">
        <v>1144</v>
      </c>
      <c r="J55" s="8"/>
      <c r="K55" s="24">
        <v>1144</v>
      </c>
      <c r="L55" s="8"/>
      <c r="M55" s="24">
        <v>1187</v>
      </c>
      <c r="N55" s="8"/>
      <c r="O55" s="24">
        <v>1187</v>
      </c>
      <c r="P55" s="8"/>
      <c r="Q55" s="24">
        <v>1090</v>
      </c>
      <c r="R55" s="8"/>
      <c r="S55" s="24">
        <v>1090</v>
      </c>
      <c r="T55" s="8"/>
      <c r="U55" s="24">
        <v>1209</v>
      </c>
      <c r="V55" s="8"/>
      <c r="W55" s="24">
        <v>1209</v>
      </c>
      <c r="X55" s="8"/>
      <c r="Y55" s="24">
        <v>1216</v>
      </c>
      <c r="Z55" s="8"/>
      <c r="AA55" s="24">
        <v>1216</v>
      </c>
      <c r="AB55" s="8"/>
      <c r="AC55" s="8"/>
      <c r="AE55" s="8"/>
      <c r="AG55" s="8"/>
    </row>
    <row r="56" ht="12" customHeight="1">
      <c r="A56" s="8" t="s">
        <v>173</v>
      </c>
      <c r="B56" s="8" t="s">
        <v>956</v>
      </c>
      <c r="C56" s="24">
        <v>1227</v>
      </c>
      <c r="D56" s="8"/>
      <c r="E56" s="24">
        <v>1227</v>
      </c>
      <c r="F56" s="8"/>
      <c r="G56" s="24">
        <v>1227</v>
      </c>
      <c r="H56" s="8"/>
      <c r="I56" s="24">
        <v>1273</v>
      </c>
      <c r="J56" s="8"/>
      <c r="K56" s="24">
        <v>1273</v>
      </c>
      <c r="L56" s="8"/>
      <c r="M56" s="24">
        <v>1273</v>
      </c>
      <c r="N56" s="8"/>
      <c r="O56" s="24">
        <v>1273</v>
      </c>
      <c r="P56" s="8"/>
      <c r="Q56" s="24">
        <v>969</v>
      </c>
      <c r="R56" s="8"/>
      <c r="S56" s="24">
        <v>969</v>
      </c>
      <c r="T56" s="8"/>
      <c r="U56" s="24">
        <v>969</v>
      </c>
      <c r="V56" s="8"/>
      <c r="W56" s="24">
        <v>969</v>
      </c>
      <c r="X56" s="8"/>
      <c r="Y56" s="24">
        <v>993</v>
      </c>
      <c r="Z56" s="8"/>
      <c r="AA56" s="24">
        <v>993</v>
      </c>
      <c r="AB56" s="8"/>
      <c r="AC56" s="8"/>
      <c r="AE56" s="8"/>
      <c r="AG56" s="8"/>
    </row>
    <row r="57" ht="12" customHeight="1">
      <c r="A57" s="8" t="s">
        <v>175</v>
      </c>
      <c r="B57" s="8" t="s">
        <v>957</v>
      </c>
      <c r="C57" s="24">
        <v>1265</v>
      </c>
      <c r="D57" s="8"/>
      <c r="E57" s="24">
        <v>1308</v>
      </c>
      <c r="F57" s="8"/>
      <c r="G57" s="24">
        <v>1308</v>
      </c>
      <c r="H57" s="8"/>
      <c r="I57" s="24">
        <v>1308</v>
      </c>
      <c r="J57" s="8"/>
      <c r="K57" s="24">
        <v>1308</v>
      </c>
      <c r="L57" s="8"/>
      <c r="M57" s="24">
        <v>1373</v>
      </c>
      <c r="N57" s="8"/>
      <c r="O57" s="24">
        <v>1373</v>
      </c>
      <c r="P57" s="8"/>
      <c r="Q57" s="24">
        <v>1373</v>
      </c>
      <c r="R57" s="8"/>
      <c r="S57" s="24">
        <v>1373</v>
      </c>
      <c r="T57" s="8"/>
      <c r="U57" s="24">
        <v>1429</v>
      </c>
      <c r="V57" s="8"/>
      <c r="W57" s="24">
        <v>1429</v>
      </c>
      <c r="X57" s="8"/>
      <c r="Y57" s="24">
        <v>1429</v>
      </c>
      <c r="Z57" s="8"/>
      <c r="AA57" s="24">
        <v>1429</v>
      </c>
      <c r="AB57" s="8"/>
      <c r="AC57" s="8"/>
      <c r="AE57" s="8"/>
      <c r="AG57" s="8"/>
    </row>
    <row r="58" ht="12" customHeight="1">
      <c r="A58" s="8" t="s">
        <v>177</v>
      </c>
      <c r="B58" s="8" t="s">
        <v>958</v>
      </c>
      <c r="C58" s="24">
        <v>944</v>
      </c>
      <c r="D58" s="8"/>
      <c r="E58" s="24">
        <v>985</v>
      </c>
      <c r="F58" s="8"/>
      <c r="G58" s="24">
        <v>985</v>
      </c>
      <c r="H58" s="8"/>
      <c r="I58" s="24">
        <v>985</v>
      </c>
      <c r="J58" s="8"/>
      <c r="K58" s="24">
        <v>985</v>
      </c>
      <c r="L58" s="8"/>
      <c r="M58" s="24">
        <v>1049</v>
      </c>
      <c r="N58" s="8"/>
      <c r="O58" s="24">
        <v>1049</v>
      </c>
      <c r="P58" s="8"/>
      <c r="Q58" s="24">
        <v>1049</v>
      </c>
      <c r="R58" s="8"/>
      <c r="S58" s="24">
        <v>1049</v>
      </c>
      <c r="T58" s="8"/>
      <c r="U58" s="24">
        <v>1287</v>
      </c>
      <c r="V58" s="8"/>
      <c r="W58" s="24">
        <v>1287</v>
      </c>
      <c r="X58" s="8"/>
      <c r="Y58" s="24">
        <v>1287</v>
      </c>
      <c r="Z58" s="8"/>
      <c r="AA58" s="24">
        <v>1287</v>
      </c>
      <c r="AB58" s="8"/>
      <c r="AC58" s="8"/>
      <c r="AE58" s="8"/>
      <c r="AG58" s="8"/>
    </row>
    <row r="59" ht="12" customHeight="1">
      <c r="A59" s="8" t="s">
        <v>179</v>
      </c>
      <c r="B59" s="8" t="s">
        <v>959</v>
      </c>
      <c r="C59" s="24">
        <v>1106</v>
      </c>
      <c r="D59" s="8"/>
      <c r="E59" s="24">
        <v>1170</v>
      </c>
      <c r="F59" s="8"/>
      <c r="G59" s="24">
        <v>1170</v>
      </c>
      <c r="H59" s="8"/>
      <c r="I59" s="24">
        <v>1170</v>
      </c>
      <c r="J59" s="8"/>
      <c r="K59" s="24">
        <v>1170</v>
      </c>
      <c r="L59" s="8"/>
      <c r="M59" s="24">
        <v>1213</v>
      </c>
      <c r="N59" s="8"/>
      <c r="O59" s="24">
        <v>1213</v>
      </c>
      <c r="P59" s="8"/>
      <c r="Q59" s="24">
        <v>1213</v>
      </c>
      <c r="R59" s="8"/>
      <c r="S59" s="24">
        <v>1213</v>
      </c>
      <c r="T59" s="8"/>
      <c r="U59" s="24">
        <v>1275</v>
      </c>
      <c r="V59" s="8"/>
      <c r="W59" s="24">
        <v>1275</v>
      </c>
      <c r="X59" s="8"/>
      <c r="Y59" s="24">
        <v>1275</v>
      </c>
      <c r="Z59" s="8"/>
      <c r="AA59" s="24">
        <v>1275</v>
      </c>
      <c r="AB59" s="8"/>
      <c r="AC59" s="8"/>
      <c r="AE59" s="8"/>
      <c r="AG59" s="8"/>
    </row>
    <row r="60" ht="12" customHeight="1">
      <c r="A60" s="11" t="s">
        <v>181</v>
      </c>
      <c r="B60" s="8" t="s">
        <v>960</v>
      </c>
      <c r="C60" s="24">
        <v>1283</v>
      </c>
      <c r="D60" s="8"/>
      <c r="E60" s="24">
        <v>1305</v>
      </c>
      <c r="F60" s="8"/>
      <c r="G60" s="24">
        <v>1338</v>
      </c>
      <c r="H60" s="8"/>
      <c r="I60" s="24">
        <v>1368</v>
      </c>
      <c r="J60" s="8"/>
      <c r="K60" s="24">
        <v>1397</v>
      </c>
      <c r="L60" s="8"/>
      <c r="M60" s="24">
        <v>1434</v>
      </c>
      <c r="N60" s="8"/>
      <c r="O60" s="24">
        <v>1469</v>
      </c>
      <c r="P60" s="8"/>
      <c r="Q60" s="24">
        <v>1490</v>
      </c>
      <c r="R60" s="8"/>
      <c r="S60" s="24">
        <v>1510</v>
      </c>
      <c r="T60" s="8"/>
      <c r="U60" s="24">
        <v>1529</v>
      </c>
      <c r="V60" s="8"/>
      <c r="W60" s="24">
        <v>1549</v>
      </c>
      <c r="X60" s="8"/>
      <c r="Y60" s="24">
        <v>1560</v>
      </c>
      <c r="Z60" s="8"/>
      <c r="AA60" s="24">
        <v>1569</v>
      </c>
      <c r="AB60" s="8"/>
      <c r="AC60" s="8"/>
      <c r="AE60" s="8"/>
      <c r="AG60" s="8"/>
    </row>
    <row r="61" ht="12" customHeight="1">
      <c r="A61" s="8" t="s">
        <v>183</v>
      </c>
      <c r="B61" s="8" t="s">
        <v>961</v>
      </c>
      <c r="C61" s="24">
        <v>1142</v>
      </c>
      <c r="D61" s="8"/>
      <c r="E61" s="24">
        <v>1161</v>
      </c>
      <c r="F61" s="8"/>
      <c r="G61" s="24">
        <v>1188</v>
      </c>
      <c r="H61" s="8"/>
      <c r="I61" s="24">
        <v>1184</v>
      </c>
      <c r="J61" s="8"/>
      <c r="K61" s="24">
        <v>1177</v>
      </c>
      <c r="L61" s="8"/>
      <c r="M61" s="24">
        <v>1182</v>
      </c>
      <c r="N61" s="8"/>
      <c r="O61" s="24">
        <v>1185</v>
      </c>
      <c r="P61" s="8"/>
      <c r="Q61" s="24">
        <v>1181</v>
      </c>
      <c r="R61" s="8"/>
      <c r="S61" s="24">
        <v>1183</v>
      </c>
      <c r="T61" s="8"/>
      <c r="U61" s="24">
        <v>1189</v>
      </c>
      <c r="V61" s="8"/>
      <c r="W61" s="24">
        <v>1202</v>
      </c>
      <c r="X61" s="8"/>
      <c r="Y61" s="24">
        <v>1205</v>
      </c>
      <c r="Z61" s="8"/>
      <c r="AA61" s="24">
        <v>1204</v>
      </c>
      <c r="AB61" s="8"/>
      <c r="AC61" s="8"/>
      <c r="AE61" s="8"/>
      <c r="AG61" s="8"/>
    </row>
    <row r="62" ht="12" customHeight="1">
      <c r="A62" s="8" t="s">
        <v>185</v>
      </c>
      <c r="B62" s="8" t="s">
        <v>962</v>
      </c>
      <c r="C62" s="24">
        <v>1176</v>
      </c>
      <c r="D62" s="8"/>
      <c r="E62" s="24">
        <v>1175</v>
      </c>
      <c r="F62" s="8"/>
      <c r="G62" s="24">
        <v>1149</v>
      </c>
      <c r="H62" s="8"/>
      <c r="I62" s="24">
        <v>1167</v>
      </c>
      <c r="J62" s="8"/>
      <c r="K62" s="24">
        <v>1188</v>
      </c>
      <c r="L62" s="8"/>
      <c r="M62" s="24">
        <v>1193</v>
      </c>
      <c r="N62" s="8"/>
      <c r="O62" s="24">
        <v>1213</v>
      </c>
      <c r="P62" s="8"/>
      <c r="Q62" s="24">
        <v>1212</v>
      </c>
      <c r="R62" s="8"/>
      <c r="S62" s="24">
        <v>1207</v>
      </c>
      <c r="T62" s="8"/>
      <c r="U62" s="24">
        <v>1212</v>
      </c>
      <c r="V62" s="8"/>
      <c r="W62" s="24">
        <v>1248</v>
      </c>
      <c r="X62" s="8"/>
      <c r="Y62" s="24">
        <v>1262</v>
      </c>
      <c r="Z62" s="8"/>
      <c r="AA62" s="24">
        <v>1308</v>
      </c>
      <c r="AB62" s="8"/>
      <c r="AC62" s="8"/>
      <c r="AE62" s="8"/>
      <c r="AG62" s="8"/>
    </row>
    <row r="63" ht="12" customHeight="1">
      <c r="A63" s="8" t="s">
        <v>187</v>
      </c>
      <c r="B63" s="8" t="s">
        <v>963</v>
      </c>
      <c r="C63" s="24">
        <v>1360</v>
      </c>
      <c r="D63" s="8"/>
      <c r="E63" s="24">
        <v>1390</v>
      </c>
      <c r="F63" s="8"/>
      <c r="G63" s="24">
        <v>1441</v>
      </c>
      <c r="H63" s="8"/>
      <c r="I63" s="24">
        <v>1497</v>
      </c>
      <c r="J63" s="8"/>
      <c r="K63" s="24">
        <v>1555</v>
      </c>
      <c r="L63" s="8"/>
      <c r="M63" s="24">
        <v>1622</v>
      </c>
      <c r="N63" s="8"/>
      <c r="O63" s="24">
        <v>1682</v>
      </c>
      <c r="P63" s="8"/>
      <c r="Q63" s="24">
        <v>1727</v>
      </c>
      <c r="R63" s="8"/>
      <c r="S63" s="24">
        <v>1766</v>
      </c>
      <c r="T63" s="8"/>
      <c r="U63" s="24">
        <v>1795</v>
      </c>
      <c r="V63" s="8"/>
      <c r="W63" s="24">
        <v>1820</v>
      </c>
      <c r="X63" s="8"/>
      <c r="Y63" s="24">
        <v>1837</v>
      </c>
      <c r="Z63" s="8"/>
      <c r="AA63" s="24">
        <v>1850</v>
      </c>
      <c r="AB63" s="8"/>
      <c r="AC63" s="8"/>
      <c r="AE63" s="8"/>
      <c r="AG63" s="8"/>
    </row>
    <row r="64" ht="12" customHeight="1">
      <c r="A64" s="8" t="s">
        <v>189</v>
      </c>
      <c r="B64" s="8" t="s">
        <v>964</v>
      </c>
      <c r="C64" s="24">
        <v>758</v>
      </c>
      <c r="D64" s="8"/>
      <c r="E64" s="24">
        <v>753</v>
      </c>
      <c r="F64" s="8"/>
      <c r="G64" s="24">
        <v>753</v>
      </c>
      <c r="H64" s="8"/>
      <c r="I64" s="24">
        <v>753</v>
      </c>
      <c r="J64" s="8"/>
      <c r="K64" s="24">
        <v>753</v>
      </c>
      <c r="L64" s="8"/>
      <c r="M64" s="24">
        <v>753</v>
      </c>
      <c r="N64" s="8"/>
      <c r="O64" s="24">
        <v>753</v>
      </c>
      <c r="P64" s="8"/>
      <c r="Q64" s="24">
        <v>736</v>
      </c>
      <c r="R64" s="8"/>
      <c r="S64" s="24">
        <v>730</v>
      </c>
      <c r="T64" s="8"/>
      <c r="U64" s="24">
        <v>730</v>
      </c>
      <c r="V64" s="8"/>
      <c r="W64" s="24">
        <v>725</v>
      </c>
      <c r="X64" s="8"/>
      <c r="Y64" s="24">
        <v>725</v>
      </c>
      <c r="Z64" s="8"/>
      <c r="AA64" s="24">
        <v>725</v>
      </c>
      <c r="AB64" s="8"/>
      <c r="AC64" s="8"/>
      <c r="AE64" s="8"/>
      <c r="AG64" s="8"/>
    </row>
    <row r="65" ht="12" customHeight="1">
      <c r="A65" s="8" t="s">
        <v>191</v>
      </c>
      <c r="B65" s="8" t="s">
        <v>965</v>
      </c>
      <c r="C65" s="24">
        <v>1297</v>
      </c>
      <c r="D65" s="8"/>
      <c r="E65" s="24">
        <v>1310</v>
      </c>
      <c r="F65" s="8"/>
      <c r="G65" s="24">
        <v>1313</v>
      </c>
      <c r="H65" s="8"/>
      <c r="I65" s="24">
        <v>1327</v>
      </c>
      <c r="J65" s="8"/>
      <c r="K65" s="24">
        <v>1336</v>
      </c>
      <c r="L65" s="8"/>
      <c r="M65" s="24">
        <v>1347</v>
      </c>
      <c r="N65" s="8"/>
      <c r="O65" s="24">
        <v>1371</v>
      </c>
      <c r="P65" s="8"/>
      <c r="Q65" s="24">
        <v>1375</v>
      </c>
      <c r="R65" s="8"/>
      <c r="S65" s="24">
        <v>1377</v>
      </c>
      <c r="T65" s="8"/>
      <c r="U65" s="24">
        <v>1386</v>
      </c>
      <c r="V65" s="8"/>
      <c r="W65" s="24">
        <v>1403</v>
      </c>
      <c r="X65" s="8"/>
      <c r="Y65" s="24">
        <v>1395</v>
      </c>
      <c r="Z65" s="8"/>
      <c r="AA65" s="24">
        <v>1397</v>
      </c>
      <c r="AB65" s="8"/>
      <c r="AC65" s="8"/>
      <c r="AE65" s="8"/>
      <c r="AG65" s="8"/>
    </row>
    <row r="66" ht="12" customHeight="1">
      <c r="A66" s="11" t="s">
        <v>193</v>
      </c>
      <c r="B66" s="8" t="s">
        <v>966</v>
      </c>
      <c r="C66" s="24">
        <v>1506</v>
      </c>
      <c r="D66" s="8"/>
      <c r="E66" s="24">
        <v>1608</v>
      </c>
      <c r="F66" s="8"/>
      <c r="G66" s="24">
        <v>1660</v>
      </c>
      <c r="H66" s="8"/>
      <c r="I66" s="24">
        <v>1798</v>
      </c>
      <c r="J66" s="8"/>
      <c r="K66" s="24">
        <v>1974</v>
      </c>
      <c r="L66" s="8"/>
      <c r="M66" s="24">
        <v>2062</v>
      </c>
      <c r="N66" s="8"/>
      <c r="O66" s="24">
        <v>2105</v>
      </c>
      <c r="P66" s="8"/>
      <c r="Q66" s="24">
        <v>2126</v>
      </c>
      <c r="R66" s="8"/>
      <c r="S66" s="24">
        <v>2112</v>
      </c>
      <c r="T66" s="8"/>
      <c r="U66" s="24">
        <v>2072</v>
      </c>
      <c r="V66" s="8"/>
      <c r="W66" s="24">
        <v>1944</v>
      </c>
      <c r="X66" s="8"/>
      <c r="Y66" s="24">
        <v>1824</v>
      </c>
      <c r="Z66" s="8"/>
      <c r="AA66" s="24">
        <v>1751</v>
      </c>
      <c r="AB66" s="8"/>
      <c r="AC66" s="8"/>
      <c r="AE66" s="8"/>
      <c r="AG66" s="8"/>
    </row>
    <row r="67" ht="12" customHeight="1">
      <c r="A67" s="8" t="s">
        <v>195</v>
      </c>
      <c r="B67" s="8" t="s">
        <v>967</v>
      </c>
      <c r="C67" s="24">
        <v>1506</v>
      </c>
      <c r="D67" s="8"/>
      <c r="E67" s="24">
        <v>1608</v>
      </c>
      <c r="F67" s="8"/>
      <c r="G67" s="24">
        <v>1660</v>
      </c>
      <c r="H67" s="8"/>
      <c r="I67" s="24">
        <v>1798</v>
      </c>
      <c r="J67" s="8"/>
      <c r="K67" s="24">
        <v>1974</v>
      </c>
      <c r="L67" s="8"/>
      <c r="M67" s="24">
        <v>2062</v>
      </c>
      <c r="N67" s="8"/>
      <c r="O67" s="24">
        <v>2105</v>
      </c>
      <c r="P67" s="8"/>
      <c r="Q67" s="24">
        <v>2126</v>
      </c>
      <c r="R67" s="8"/>
      <c r="S67" s="24">
        <v>2112</v>
      </c>
      <c r="T67" s="8"/>
      <c r="U67" s="24">
        <v>2072</v>
      </c>
      <c r="V67" s="8"/>
      <c r="W67" s="24">
        <v>1944</v>
      </c>
      <c r="X67" s="8"/>
      <c r="Y67" s="24">
        <v>1824</v>
      </c>
      <c r="Z67" s="8"/>
      <c r="AA67" s="24">
        <v>1751</v>
      </c>
      <c r="AB67" s="8"/>
      <c r="AC67" s="8"/>
      <c r="AE67" s="8"/>
      <c r="AG67" s="8"/>
    </row>
    <row r="68" ht="12" customHeight="1">
      <c r="A68" s="13" t="s">
        <v>69</v>
      </c>
      <c r="B68" s="10" t="s">
        <v>64</v>
      </c>
      <c r="C68" s="25">
        <v>1227</v>
      </c>
      <c r="D68" s="10"/>
      <c r="E68" s="25">
        <v>1248</v>
      </c>
      <c r="F68" s="10"/>
      <c r="G68" s="25">
        <v>1266</v>
      </c>
      <c r="H68" s="10"/>
      <c r="I68" s="25">
        <v>1298</v>
      </c>
      <c r="J68" s="10"/>
      <c r="K68" s="25">
        <v>1314</v>
      </c>
      <c r="L68" s="10"/>
      <c r="M68" s="25">
        <v>1326</v>
      </c>
      <c r="N68" s="10"/>
      <c r="O68" s="25">
        <v>1334</v>
      </c>
      <c r="P68" s="10"/>
      <c r="Q68" s="25">
        <v>1344</v>
      </c>
      <c r="R68" s="10"/>
      <c r="S68" s="25">
        <v>1348</v>
      </c>
      <c r="T68" s="10"/>
      <c r="U68" s="25">
        <v>1359</v>
      </c>
      <c r="V68" s="10"/>
      <c r="W68" s="25">
        <v>1360</v>
      </c>
      <c r="X68" s="10"/>
      <c r="Y68" s="25">
        <v>1367</v>
      </c>
      <c r="Z68" s="10"/>
      <c r="AA68" s="25">
        <v>1372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968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907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149999999999999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908</v>
      </c>
      <c r="C8" s="22">
        <v>1.6000000000000001</v>
      </c>
      <c r="D8" s="22"/>
      <c r="E8" s="22">
        <v>3.7000000000000002</v>
      </c>
      <c r="F8" s="22"/>
      <c r="G8" s="22">
        <v>2.2999999999999998</v>
      </c>
      <c r="H8" s="22"/>
      <c r="I8" s="22">
        <v>0.90000000000000002</v>
      </c>
      <c r="J8" s="22"/>
      <c r="K8" s="22">
        <v>-1.1000000000000001</v>
      </c>
      <c r="L8" s="22"/>
      <c r="M8" s="22">
        <v>0.40000000000000002</v>
      </c>
      <c r="N8" s="22"/>
      <c r="O8" s="22">
        <v>0.10000000000000001</v>
      </c>
      <c r="P8" s="22"/>
      <c r="Q8" s="22">
        <v>1.3999999999999999</v>
      </c>
      <c r="R8" s="22"/>
      <c r="S8" s="22">
        <v>-0.69999999999999996</v>
      </c>
      <c r="T8" s="22"/>
      <c r="U8" s="22">
        <v>1.7</v>
      </c>
      <c r="V8" s="22"/>
      <c r="W8" s="22">
        <v>1.6000000000000001</v>
      </c>
      <c r="X8" s="22"/>
      <c r="Y8" s="22">
        <v>1.7</v>
      </c>
      <c r="Z8" s="22"/>
      <c r="AA8" s="22">
        <v>-0.80000000000000004</v>
      </c>
      <c r="AB8" s="18"/>
      <c r="AC8" s="18"/>
    </row>
    <row r="9" ht="12" customHeight="1">
      <c r="A9" s="8" t="s">
        <v>79</v>
      </c>
      <c r="B9" s="8" t="s">
        <v>909</v>
      </c>
      <c r="C9" s="26">
        <v>-6.5</v>
      </c>
      <c r="D9" s="8"/>
      <c r="E9" s="26">
        <v>9.4000000000000004</v>
      </c>
      <c r="F9" s="8"/>
      <c r="G9" s="26">
        <v>0.20000000000000001</v>
      </c>
      <c r="H9" s="8"/>
      <c r="I9" s="26">
        <v>1.7</v>
      </c>
      <c r="J9" s="8"/>
      <c r="K9" s="26">
        <v>-7.2000000000000002</v>
      </c>
      <c r="L9" s="8"/>
      <c r="M9" s="26">
        <v>-2.2000000000000002</v>
      </c>
      <c r="N9" s="8"/>
      <c r="O9" s="26">
        <v>-6.4000000000000004</v>
      </c>
      <c r="P9" s="8"/>
      <c r="Q9" s="26">
        <v>6.4000000000000004</v>
      </c>
      <c r="R9" s="8"/>
      <c r="S9" s="26">
        <v>-6.2000000000000002</v>
      </c>
      <c r="T9" s="8"/>
      <c r="U9" s="26">
        <v>1.5</v>
      </c>
      <c r="V9" s="8"/>
      <c r="W9" s="26">
        <v>2.8999999999999999</v>
      </c>
      <c r="X9" s="8"/>
      <c r="Y9" s="26">
        <v>8.1999999999999993</v>
      </c>
      <c r="Z9" s="8"/>
      <c r="AA9" s="26">
        <v>-8.0999999999999996</v>
      </c>
      <c r="AB9" s="8"/>
      <c r="AC9" s="8"/>
    </row>
    <row r="10" ht="12" customHeight="1">
      <c r="A10" s="8" t="s">
        <v>81</v>
      </c>
      <c r="B10" s="8" t="s">
        <v>910</v>
      </c>
      <c r="C10" s="26">
        <v>4.2999999999999998</v>
      </c>
      <c r="D10" s="8"/>
      <c r="E10" s="26">
        <v>1.5</v>
      </c>
      <c r="F10" s="8"/>
      <c r="G10" s="26">
        <v>1.8</v>
      </c>
      <c r="H10" s="8"/>
      <c r="I10" s="26">
        <v>0.20000000000000001</v>
      </c>
      <c r="J10" s="8"/>
      <c r="K10" s="26">
        <v>-0.90000000000000002</v>
      </c>
      <c r="L10" s="8"/>
      <c r="M10" s="26">
        <v>-0.5</v>
      </c>
      <c r="N10" s="8"/>
      <c r="O10" s="26">
        <v>0.29999999999999999</v>
      </c>
      <c r="P10" s="8"/>
      <c r="Q10" s="26">
        <v>1</v>
      </c>
      <c r="R10" s="8"/>
      <c r="S10" s="26">
        <v>0.69999999999999996</v>
      </c>
      <c r="T10" s="8"/>
      <c r="U10" s="26">
        <v>1.5</v>
      </c>
      <c r="V10" s="8"/>
      <c r="W10" s="26">
        <v>1.3</v>
      </c>
      <c r="X10" s="8"/>
      <c r="Y10" s="26">
        <v>3.5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911</v>
      </c>
      <c r="C11" s="26">
        <v>3.3999999999999999</v>
      </c>
      <c r="D11" s="8"/>
      <c r="E11" s="26">
        <v>4.4000000000000004</v>
      </c>
      <c r="F11" s="8"/>
      <c r="G11" s="26">
        <v>2.7000000000000002</v>
      </c>
      <c r="H11" s="8"/>
      <c r="I11" s="26">
        <v>0.20000000000000001</v>
      </c>
      <c r="J11" s="8"/>
      <c r="K11" s="26">
        <v>-0.59999999999999998</v>
      </c>
      <c r="L11" s="8"/>
      <c r="M11" s="26">
        <v>1.2</v>
      </c>
      <c r="N11" s="8"/>
      <c r="O11" s="26">
        <v>0.90000000000000002</v>
      </c>
      <c r="P11" s="8"/>
      <c r="Q11" s="26">
        <v>0.59999999999999998</v>
      </c>
      <c r="R11" s="8"/>
      <c r="S11" s="26">
        <v>-0.40000000000000002</v>
      </c>
      <c r="T11" s="8"/>
      <c r="U11" s="26">
        <v>2.8999999999999999</v>
      </c>
      <c r="V11" s="8"/>
      <c r="W11" s="26">
        <v>1.5</v>
      </c>
      <c r="X11" s="8"/>
      <c r="Y11" s="26">
        <v>0.40000000000000002</v>
      </c>
      <c r="Z11" s="8"/>
      <c r="AA11" s="26">
        <v>-0.40000000000000002</v>
      </c>
      <c r="AB11" s="8"/>
      <c r="AC11" s="8"/>
    </row>
    <row r="12" ht="12" customHeight="1">
      <c r="A12" s="8" t="s">
        <v>85</v>
      </c>
      <c r="B12" s="8" t="s">
        <v>912</v>
      </c>
      <c r="C12" s="26">
        <v>3.1000000000000001</v>
      </c>
      <c r="D12" s="8"/>
      <c r="E12" s="26">
        <v>2.2999999999999998</v>
      </c>
      <c r="F12" s="8"/>
      <c r="G12" s="26">
        <v>2.8999999999999999</v>
      </c>
      <c r="H12" s="8"/>
      <c r="I12" s="26">
        <v>0.5</v>
      </c>
      <c r="J12" s="8"/>
      <c r="K12" s="26">
        <v>0</v>
      </c>
      <c r="L12" s="8"/>
      <c r="M12" s="26">
        <v>0.80000000000000004</v>
      </c>
      <c r="N12" s="8"/>
      <c r="O12" s="26">
        <v>2.2999999999999998</v>
      </c>
      <c r="P12" s="8"/>
      <c r="Q12" s="26">
        <v>0.69999999999999996</v>
      </c>
      <c r="R12" s="8"/>
      <c r="S12" s="26">
        <v>-0.20000000000000001</v>
      </c>
      <c r="T12" s="8"/>
      <c r="U12" s="26">
        <v>2.5</v>
      </c>
      <c r="V12" s="8"/>
      <c r="W12" s="26">
        <v>2.6000000000000001</v>
      </c>
      <c r="X12" s="8"/>
      <c r="Y12" s="26">
        <v>-0.80000000000000004</v>
      </c>
      <c r="Z12" s="8"/>
      <c r="AA12" s="26">
        <v>0.59999999999999998</v>
      </c>
      <c r="AB12" s="8"/>
      <c r="AC12" s="8"/>
    </row>
    <row r="13" ht="12" customHeight="1">
      <c r="A13" s="8" t="s">
        <v>87</v>
      </c>
      <c r="B13" s="8" t="s">
        <v>913</v>
      </c>
      <c r="C13" s="26">
        <v>2.1000000000000001</v>
      </c>
      <c r="D13" s="8"/>
      <c r="E13" s="26">
        <v>1.7</v>
      </c>
      <c r="F13" s="8"/>
      <c r="G13" s="26">
        <v>2.8999999999999999</v>
      </c>
      <c r="H13" s="8"/>
      <c r="I13" s="26">
        <v>1.7</v>
      </c>
      <c r="J13" s="8"/>
      <c r="K13" s="26">
        <v>0.80000000000000004</v>
      </c>
      <c r="L13" s="8"/>
      <c r="M13" s="26">
        <v>0.90000000000000002</v>
      </c>
      <c r="N13" s="8"/>
      <c r="O13" s="26">
        <v>1.3</v>
      </c>
      <c r="P13" s="8"/>
      <c r="Q13" s="26">
        <v>0.5</v>
      </c>
      <c r="R13" s="8"/>
      <c r="S13" s="26">
        <v>0.5</v>
      </c>
      <c r="T13" s="8"/>
      <c r="U13" s="26">
        <v>0.20000000000000001</v>
      </c>
      <c r="V13" s="8"/>
      <c r="W13" s="26">
        <v>0.90000000000000002</v>
      </c>
      <c r="X13" s="8"/>
      <c r="Y13" s="26">
        <v>0.69999999999999996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914</v>
      </c>
      <c r="C14" s="26">
        <v>0.69999999999999996</v>
      </c>
      <c r="D14" s="8"/>
      <c r="E14" s="26">
        <v>3.6000000000000001</v>
      </c>
      <c r="F14" s="8"/>
      <c r="G14" s="26">
        <v>1.3999999999999999</v>
      </c>
      <c r="H14" s="8"/>
      <c r="I14" s="26">
        <v>1.3</v>
      </c>
      <c r="J14" s="8"/>
      <c r="K14" s="26">
        <v>1.1000000000000001</v>
      </c>
      <c r="L14" s="8"/>
      <c r="M14" s="26">
        <v>2.7999999999999998</v>
      </c>
      <c r="N14" s="8"/>
      <c r="O14" s="26">
        <v>1</v>
      </c>
      <c r="P14" s="8"/>
      <c r="Q14" s="26">
        <v>0.59999999999999998</v>
      </c>
      <c r="R14" s="8"/>
      <c r="S14" s="26">
        <v>0.10000000000000001</v>
      </c>
      <c r="T14" s="8"/>
      <c r="U14" s="26">
        <v>1.7</v>
      </c>
      <c r="V14" s="8"/>
      <c r="W14" s="26">
        <v>-0.29999999999999999</v>
      </c>
      <c r="X14" s="8"/>
      <c r="Y14" s="26">
        <v>0.59999999999999998</v>
      </c>
      <c r="Z14" s="8"/>
      <c r="AA14" s="26">
        <v>-0.10000000000000001</v>
      </c>
      <c r="AB14" s="8"/>
      <c r="AC14" s="8"/>
    </row>
    <row r="15" ht="12" customHeight="1">
      <c r="A15" s="8" t="s">
        <v>91</v>
      </c>
      <c r="B15" s="8" t="s">
        <v>915</v>
      </c>
      <c r="C15" s="26">
        <v>0.69999999999999996</v>
      </c>
      <c r="D15" s="8"/>
      <c r="E15" s="26">
        <v>1.7</v>
      </c>
      <c r="F15" s="8"/>
      <c r="G15" s="26">
        <v>2.1000000000000001</v>
      </c>
      <c r="H15" s="8"/>
      <c r="I15" s="26">
        <v>1.7</v>
      </c>
      <c r="J15" s="8"/>
      <c r="K15" s="26">
        <v>0.10000000000000001</v>
      </c>
      <c r="L15" s="8"/>
      <c r="M15" s="26">
        <v>0.90000000000000002</v>
      </c>
      <c r="N15" s="8"/>
      <c r="O15" s="26">
        <v>1.6000000000000001</v>
      </c>
      <c r="P15" s="8"/>
      <c r="Q15" s="26">
        <v>0.59999999999999998</v>
      </c>
      <c r="R15" s="8"/>
      <c r="S15" s="26">
        <v>-0.10000000000000001</v>
      </c>
      <c r="T15" s="8"/>
      <c r="U15" s="26">
        <v>0.69999999999999996</v>
      </c>
      <c r="V15" s="8"/>
      <c r="W15" s="26">
        <v>-0.5</v>
      </c>
      <c r="X15" s="8"/>
      <c r="Y15" s="26">
        <v>0.80000000000000004</v>
      </c>
      <c r="Z15" s="8"/>
      <c r="AA15" s="26">
        <v>-0.69999999999999996</v>
      </c>
      <c r="AB15" s="8"/>
      <c r="AC15" s="8"/>
    </row>
    <row r="16" ht="12" customHeight="1">
      <c r="A16" s="8" t="s">
        <v>93</v>
      </c>
      <c r="B16" s="8" t="s">
        <v>916</v>
      </c>
      <c r="C16" s="26">
        <v>0.59999999999999998</v>
      </c>
      <c r="D16" s="8"/>
      <c r="E16" s="26">
        <v>7.5</v>
      </c>
      <c r="F16" s="8"/>
      <c r="G16" s="26">
        <v>0.10000000000000001</v>
      </c>
      <c r="H16" s="8"/>
      <c r="I16" s="26">
        <v>0.59999999999999998</v>
      </c>
      <c r="J16" s="8"/>
      <c r="K16" s="26">
        <v>2.7999999999999998</v>
      </c>
      <c r="L16" s="8"/>
      <c r="M16" s="26">
        <v>6.4000000000000004</v>
      </c>
      <c r="N16" s="8"/>
      <c r="O16" s="26">
        <v>0</v>
      </c>
      <c r="P16" s="8"/>
      <c r="Q16" s="26">
        <v>0.40000000000000002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917</v>
      </c>
      <c r="C17" s="26">
        <v>1.2</v>
      </c>
      <c r="D17" s="8"/>
      <c r="E17" s="26">
        <v>-0.20000000000000001</v>
      </c>
      <c r="F17" s="8"/>
      <c r="G17" s="26">
        <v>2.8999999999999999</v>
      </c>
      <c r="H17" s="8"/>
      <c r="I17" s="26">
        <v>0</v>
      </c>
      <c r="J17" s="8"/>
      <c r="K17" s="26">
        <v>0.69999999999999996</v>
      </c>
      <c r="L17" s="8"/>
      <c r="M17" s="26">
        <v>0.20000000000000001</v>
      </c>
      <c r="N17" s="8"/>
      <c r="O17" s="26">
        <v>0.59999999999999998</v>
      </c>
      <c r="P17" s="8"/>
      <c r="Q17" s="26">
        <v>-0.40000000000000002</v>
      </c>
      <c r="R17" s="8"/>
      <c r="S17" s="26">
        <v>-1</v>
      </c>
      <c r="T17" s="8"/>
      <c r="U17" s="26">
        <v>0.29999999999999999</v>
      </c>
      <c r="V17" s="8"/>
      <c r="W17" s="26">
        <v>0.20000000000000001</v>
      </c>
      <c r="X17" s="8"/>
      <c r="Y17" s="26">
        <v>0.59999999999999998</v>
      </c>
      <c r="Z17" s="8"/>
      <c r="AA17" s="26">
        <v>0.80000000000000004</v>
      </c>
      <c r="AB17" s="8"/>
      <c r="AC17" s="8"/>
    </row>
    <row r="18" ht="12" customHeight="1">
      <c r="A18" s="8" t="s">
        <v>97</v>
      </c>
      <c r="B18" s="8" t="s">
        <v>918</v>
      </c>
      <c r="C18" s="26">
        <v>1.3999999999999999</v>
      </c>
      <c r="D18" s="8"/>
      <c r="E18" s="26">
        <v>-0.29999999999999999</v>
      </c>
      <c r="F18" s="8"/>
      <c r="G18" s="26">
        <v>3.2000000000000002</v>
      </c>
      <c r="H18" s="8"/>
      <c r="I18" s="26">
        <v>0</v>
      </c>
      <c r="J18" s="8"/>
      <c r="K18" s="26">
        <v>0.90000000000000002</v>
      </c>
      <c r="L18" s="8"/>
      <c r="M18" s="26">
        <v>0.29999999999999999</v>
      </c>
      <c r="N18" s="8"/>
      <c r="O18" s="26">
        <v>0.29999999999999999</v>
      </c>
      <c r="P18" s="8"/>
      <c r="Q18" s="26">
        <v>-0.40000000000000002</v>
      </c>
      <c r="R18" s="8"/>
      <c r="S18" s="26">
        <v>-1.3</v>
      </c>
      <c r="T18" s="8"/>
      <c r="U18" s="26">
        <v>-0.10000000000000001</v>
      </c>
      <c r="V18" s="8"/>
      <c r="W18" s="26">
        <v>0.69999999999999996</v>
      </c>
      <c r="X18" s="8"/>
      <c r="Y18" s="26">
        <v>0.29999999999999999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919</v>
      </c>
      <c r="C19" s="26">
        <v>-0.10000000000000001</v>
      </c>
      <c r="D19" s="8"/>
      <c r="E19" s="26">
        <v>0.90000000000000002</v>
      </c>
      <c r="F19" s="8"/>
      <c r="G19" s="26">
        <v>1.2</v>
      </c>
      <c r="H19" s="8"/>
      <c r="I19" s="26">
        <v>-0.5</v>
      </c>
      <c r="J19" s="8"/>
      <c r="K19" s="26">
        <v>0.29999999999999999</v>
      </c>
      <c r="L19" s="8"/>
      <c r="M19" s="26">
        <v>-0.59999999999999998</v>
      </c>
      <c r="N19" s="8"/>
      <c r="O19" s="26">
        <v>2</v>
      </c>
      <c r="P19" s="8"/>
      <c r="Q19" s="26">
        <v>0</v>
      </c>
      <c r="R19" s="8"/>
      <c r="S19" s="26">
        <v>-0.10000000000000001</v>
      </c>
      <c r="T19" s="8"/>
      <c r="U19" s="26">
        <v>2.2999999999999998</v>
      </c>
      <c r="V19" s="8"/>
      <c r="W19" s="26">
        <v>-2.2999999999999998</v>
      </c>
      <c r="X19" s="8"/>
      <c r="Y19" s="26">
        <v>2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920</v>
      </c>
      <c r="C20" s="26">
        <v>0.90000000000000002</v>
      </c>
      <c r="D20" s="8"/>
      <c r="E20" s="26">
        <v>1.1000000000000001</v>
      </c>
      <c r="F20" s="8"/>
      <c r="G20" s="26">
        <v>1.3</v>
      </c>
      <c r="H20" s="8"/>
      <c r="I20" s="26">
        <v>2.2999999999999998</v>
      </c>
      <c r="J20" s="8"/>
      <c r="K20" s="26">
        <v>0.90000000000000002</v>
      </c>
      <c r="L20" s="8"/>
      <c r="M20" s="26">
        <v>0.69999999999999996</v>
      </c>
      <c r="N20" s="8"/>
      <c r="O20" s="26">
        <v>1.3</v>
      </c>
      <c r="P20" s="8"/>
      <c r="Q20" s="26">
        <v>3.1000000000000001</v>
      </c>
      <c r="R20" s="8"/>
      <c r="S20" s="26">
        <v>0.59999999999999998</v>
      </c>
      <c r="T20" s="8"/>
      <c r="U20" s="26">
        <v>0.80000000000000004</v>
      </c>
      <c r="V20" s="8"/>
      <c r="W20" s="26">
        <v>1.2</v>
      </c>
      <c r="X20" s="8"/>
      <c r="Y20" s="26">
        <v>2</v>
      </c>
      <c r="Z20" s="8"/>
      <c r="AA20" s="26">
        <v>0.40000000000000002</v>
      </c>
      <c r="AB20" s="8"/>
      <c r="AC20" s="8"/>
    </row>
    <row r="21" ht="12" customHeight="1">
      <c r="A21" s="8" t="s">
        <v>103</v>
      </c>
      <c r="B21" s="8" t="s">
        <v>921</v>
      </c>
      <c r="C21" s="26">
        <v>1</v>
      </c>
      <c r="D21" s="8"/>
      <c r="E21" s="26">
        <v>1.2</v>
      </c>
      <c r="F21" s="8"/>
      <c r="G21" s="26">
        <v>1.2</v>
      </c>
      <c r="H21" s="8"/>
      <c r="I21" s="26">
        <v>1.3</v>
      </c>
      <c r="J21" s="8"/>
      <c r="K21" s="26">
        <v>1.1000000000000001</v>
      </c>
      <c r="L21" s="8"/>
      <c r="M21" s="26">
        <v>1.2</v>
      </c>
      <c r="N21" s="8"/>
      <c r="O21" s="26">
        <v>1.2</v>
      </c>
      <c r="P21" s="8"/>
      <c r="Q21" s="26">
        <v>0.90000000000000002</v>
      </c>
      <c r="R21" s="8"/>
      <c r="S21" s="26">
        <v>0.80000000000000004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922</v>
      </c>
      <c r="C22" s="26">
        <v>1</v>
      </c>
      <c r="D22" s="8"/>
      <c r="E22" s="26">
        <v>1.2</v>
      </c>
      <c r="F22" s="8"/>
      <c r="G22" s="26">
        <v>1.2</v>
      </c>
      <c r="H22" s="8"/>
      <c r="I22" s="26">
        <v>1.3</v>
      </c>
      <c r="J22" s="8"/>
      <c r="K22" s="26">
        <v>1.1000000000000001</v>
      </c>
      <c r="L22" s="8"/>
      <c r="M22" s="26">
        <v>1.2</v>
      </c>
      <c r="N22" s="8"/>
      <c r="O22" s="26">
        <v>1.2</v>
      </c>
      <c r="P22" s="8"/>
      <c r="Q22" s="26">
        <v>0.90000000000000002</v>
      </c>
      <c r="R22" s="8"/>
      <c r="S22" s="26">
        <v>0.80000000000000004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923</v>
      </c>
      <c r="C23" s="26">
        <v>1.2</v>
      </c>
      <c r="D23" s="8"/>
      <c r="E23" s="26">
        <v>-0.20000000000000001</v>
      </c>
      <c r="F23" s="8"/>
      <c r="G23" s="26">
        <v>1.8999999999999999</v>
      </c>
      <c r="H23" s="8"/>
      <c r="I23" s="26">
        <v>0.69999999999999996</v>
      </c>
      <c r="J23" s="8"/>
      <c r="K23" s="26">
        <v>0.10000000000000001</v>
      </c>
      <c r="L23" s="8"/>
      <c r="M23" s="26">
        <v>0.10000000000000001</v>
      </c>
      <c r="N23" s="8"/>
      <c r="O23" s="26">
        <v>1.6000000000000001</v>
      </c>
      <c r="P23" s="8"/>
      <c r="Q23" s="26">
        <v>1.1000000000000001</v>
      </c>
      <c r="R23" s="8"/>
      <c r="S23" s="26">
        <v>-0.29999999999999999</v>
      </c>
      <c r="T23" s="8"/>
      <c r="U23" s="26">
        <v>0.5</v>
      </c>
      <c r="V23" s="8"/>
      <c r="W23" s="26">
        <v>0.29999999999999999</v>
      </c>
      <c r="X23" s="8"/>
      <c r="Y23" s="26">
        <v>0.59999999999999998</v>
      </c>
      <c r="Z23" s="8"/>
      <c r="AA23" s="26">
        <v>0.80000000000000004</v>
      </c>
      <c r="AB23" s="8"/>
      <c r="AC23" s="8"/>
    </row>
    <row r="24" ht="12" customHeight="1">
      <c r="A24" s="8" t="s">
        <v>109</v>
      </c>
      <c r="B24" s="8" t="s">
        <v>924</v>
      </c>
      <c r="C24" s="26">
        <v>0</v>
      </c>
      <c r="D24" s="8"/>
      <c r="E24" s="26">
        <v>0.10000000000000001</v>
      </c>
      <c r="F24" s="8"/>
      <c r="G24" s="26">
        <v>0.10000000000000001</v>
      </c>
      <c r="H24" s="8"/>
      <c r="I24" s="26">
        <v>9.4000000000000004</v>
      </c>
      <c r="J24" s="8"/>
      <c r="K24" s="26">
        <v>0</v>
      </c>
      <c r="L24" s="8"/>
      <c r="M24" s="26">
        <v>0.10000000000000001</v>
      </c>
      <c r="N24" s="8"/>
      <c r="O24" s="26">
        <v>0.10000000000000001</v>
      </c>
      <c r="P24" s="8"/>
      <c r="Q24" s="26">
        <v>11.6</v>
      </c>
      <c r="R24" s="8"/>
      <c r="S24" s="26">
        <v>0.20000000000000001</v>
      </c>
      <c r="T24" s="8"/>
      <c r="U24" s="26">
        <v>0</v>
      </c>
      <c r="V24" s="8"/>
      <c r="W24" s="26">
        <v>0</v>
      </c>
      <c r="X24" s="8"/>
      <c r="Y24" s="26">
        <v>8.1999999999999993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925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12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926</v>
      </c>
      <c r="C26" s="26">
        <v>1.3</v>
      </c>
      <c r="D26" s="8"/>
      <c r="E26" s="26">
        <v>2.3999999999999999</v>
      </c>
      <c r="F26" s="8"/>
      <c r="G26" s="26">
        <v>2.7000000000000002</v>
      </c>
      <c r="H26" s="8"/>
      <c r="I26" s="26">
        <v>-1.3</v>
      </c>
      <c r="J26" s="8"/>
      <c r="K26" s="26">
        <v>1.8</v>
      </c>
      <c r="L26" s="8"/>
      <c r="M26" s="26">
        <v>0.20000000000000001</v>
      </c>
      <c r="N26" s="8"/>
      <c r="O26" s="26">
        <v>2.7999999999999998</v>
      </c>
      <c r="P26" s="8"/>
      <c r="Q26" s="26">
        <v>0.80000000000000004</v>
      </c>
      <c r="R26" s="8"/>
      <c r="S26" s="26">
        <v>0.80000000000000004</v>
      </c>
      <c r="T26" s="8"/>
      <c r="U26" s="26">
        <v>2.3999999999999999</v>
      </c>
      <c r="V26" s="8"/>
      <c r="W26" s="26">
        <v>4.7000000000000002</v>
      </c>
      <c r="X26" s="8"/>
      <c r="Y26" s="26">
        <v>2.8999999999999999</v>
      </c>
      <c r="Z26" s="8"/>
      <c r="AA26" s="26">
        <v>1.7</v>
      </c>
      <c r="AB26" s="8"/>
      <c r="AC26" s="8"/>
    </row>
    <row r="27" ht="12" customHeight="1">
      <c r="A27" s="8" t="s">
        <v>115</v>
      </c>
      <c r="B27" s="8" t="s">
        <v>927</v>
      </c>
      <c r="C27" s="26">
        <v>1.1000000000000001</v>
      </c>
      <c r="D27" s="8"/>
      <c r="E27" s="26">
        <v>2.3999999999999999</v>
      </c>
      <c r="F27" s="8"/>
      <c r="G27" s="26">
        <v>2.6000000000000001</v>
      </c>
      <c r="H27" s="8"/>
      <c r="I27" s="26">
        <v>-1.8</v>
      </c>
      <c r="J27" s="8"/>
      <c r="K27" s="26">
        <v>1.7</v>
      </c>
      <c r="L27" s="8"/>
      <c r="M27" s="26">
        <v>0.29999999999999999</v>
      </c>
      <c r="N27" s="8"/>
      <c r="O27" s="26">
        <v>3</v>
      </c>
      <c r="P27" s="8"/>
      <c r="Q27" s="26">
        <v>0.59999999999999998</v>
      </c>
      <c r="R27" s="8"/>
      <c r="S27" s="26">
        <v>0.5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928</v>
      </c>
      <c r="C28" s="26">
        <v>3.2999999999999998</v>
      </c>
      <c r="D28" s="8"/>
      <c r="E28" s="26">
        <v>-0.90000000000000002</v>
      </c>
      <c r="F28" s="8"/>
      <c r="G28" s="26">
        <v>3.2000000000000002</v>
      </c>
      <c r="H28" s="8"/>
      <c r="I28" s="26">
        <v>-1.5</v>
      </c>
      <c r="J28" s="8"/>
      <c r="K28" s="26">
        <v>0.5</v>
      </c>
      <c r="L28" s="8"/>
      <c r="M28" s="26">
        <v>-1.3</v>
      </c>
      <c r="N28" s="8"/>
      <c r="O28" s="26">
        <v>0.29999999999999999</v>
      </c>
      <c r="P28" s="8"/>
      <c r="Q28" s="26">
        <v>0.20000000000000001</v>
      </c>
      <c r="R28" s="8"/>
      <c r="S28" s="26">
        <v>-0.69999999999999996</v>
      </c>
      <c r="T28" s="8"/>
      <c r="U28" s="26">
        <v>-0.40000000000000002</v>
      </c>
      <c r="V28" s="8"/>
      <c r="W28" s="26">
        <v>0.20000000000000001</v>
      </c>
      <c r="X28" s="8"/>
      <c r="Y28" s="26">
        <v>-1</v>
      </c>
      <c r="Z28" s="8"/>
      <c r="AA28" s="26">
        <v>0.5</v>
      </c>
      <c r="AB28" s="8"/>
      <c r="AC28" s="8"/>
    </row>
    <row r="29" ht="12" customHeight="1">
      <c r="A29" s="8" t="s">
        <v>119</v>
      </c>
      <c r="B29" s="8" t="s">
        <v>929</v>
      </c>
      <c r="C29" s="26">
        <v>4.7999999999999998</v>
      </c>
      <c r="D29" s="8"/>
      <c r="E29" s="26">
        <v>-3.6000000000000001</v>
      </c>
      <c r="F29" s="8"/>
      <c r="G29" s="26">
        <v>3.3999999999999999</v>
      </c>
      <c r="H29" s="8"/>
      <c r="I29" s="26">
        <v>-1</v>
      </c>
      <c r="J29" s="8"/>
      <c r="K29" s="26">
        <v>-1.7</v>
      </c>
      <c r="L29" s="8"/>
      <c r="M29" s="26">
        <v>-4.7000000000000002</v>
      </c>
      <c r="N29" s="8"/>
      <c r="O29" s="26">
        <v>0.80000000000000004</v>
      </c>
      <c r="P29" s="8"/>
      <c r="Q29" s="26">
        <v>3.7999999999999998</v>
      </c>
      <c r="R29" s="8"/>
      <c r="S29" s="26">
        <v>-1.3</v>
      </c>
      <c r="T29" s="8"/>
      <c r="U29" s="26">
        <v>-1.2</v>
      </c>
      <c r="V29" s="8"/>
      <c r="W29" s="26">
        <v>-1.6000000000000001</v>
      </c>
      <c r="X29" s="8"/>
      <c r="Y29" s="26">
        <v>-2.2000000000000002</v>
      </c>
      <c r="Z29" s="8"/>
      <c r="AA29" s="26">
        <v>4.2999999999999998</v>
      </c>
      <c r="AB29" s="8"/>
      <c r="AC29" s="8"/>
    </row>
    <row r="30" ht="12" customHeight="1">
      <c r="A30" s="8" t="s">
        <v>121</v>
      </c>
      <c r="B30" s="8" t="s">
        <v>930</v>
      </c>
      <c r="C30" s="26">
        <v>2.7999999999999998</v>
      </c>
      <c r="D30" s="8"/>
      <c r="E30" s="26">
        <v>1.8</v>
      </c>
      <c r="F30" s="8"/>
      <c r="G30" s="26">
        <v>0.80000000000000004</v>
      </c>
      <c r="H30" s="8"/>
      <c r="I30" s="26">
        <v>-3.7999999999999998</v>
      </c>
      <c r="J30" s="8"/>
      <c r="K30" s="26">
        <v>7</v>
      </c>
      <c r="L30" s="8"/>
      <c r="M30" s="26">
        <v>-3</v>
      </c>
      <c r="N30" s="8"/>
      <c r="O30" s="26">
        <v>9.4000000000000004</v>
      </c>
      <c r="P30" s="8"/>
      <c r="Q30" s="26">
        <v>-4.2999999999999998</v>
      </c>
      <c r="R30" s="8"/>
      <c r="S30" s="26">
        <v>-7</v>
      </c>
      <c r="T30" s="8"/>
      <c r="U30" s="26">
        <v>4.2999999999999998</v>
      </c>
      <c r="V30" s="8"/>
      <c r="W30" s="26">
        <v>3.7000000000000002</v>
      </c>
      <c r="X30" s="8"/>
      <c r="Y30" s="26">
        <v>-1</v>
      </c>
      <c r="Z30" s="8"/>
      <c r="AA30" s="26">
        <v>-2.1000000000000001</v>
      </c>
      <c r="AB30" s="8"/>
      <c r="AC30" s="8"/>
    </row>
    <row r="31" ht="12" customHeight="1">
      <c r="A31" s="8" t="s">
        <v>123</v>
      </c>
      <c r="B31" s="8" t="s">
        <v>931</v>
      </c>
      <c r="C31" s="26">
        <v>0.90000000000000002</v>
      </c>
      <c r="D31" s="8"/>
      <c r="E31" s="26">
        <v>-1</v>
      </c>
      <c r="F31" s="8"/>
      <c r="G31" s="26">
        <v>3.5</v>
      </c>
      <c r="H31" s="8"/>
      <c r="I31" s="26">
        <v>-2.3999999999999999</v>
      </c>
      <c r="J31" s="8"/>
      <c r="K31" s="26">
        <v>-0.69999999999999996</v>
      </c>
      <c r="L31" s="8"/>
      <c r="M31" s="26">
        <v>-1.8</v>
      </c>
      <c r="N31" s="8"/>
      <c r="O31" s="26">
        <v>-0.59999999999999998</v>
      </c>
      <c r="P31" s="8"/>
      <c r="Q31" s="26">
        <v>-1.3999999999999999</v>
      </c>
      <c r="R31" s="8"/>
      <c r="S31" s="26">
        <v>1.6000000000000001</v>
      </c>
      <c r="T31" s="8"/>
      <c r="U31" s="26">
        <v>-1.3999999999999999</v>
      </c>
      <c r="V31" s="8"/>
      <c r="W31" s="26">
        <v>0.59999999999999998</v>
      </c>
      <c r="X31" s="8"/>
      <c r="Y31" s="26">
        <v>-0.5</v>
      </c>
      <c r="Z31" s="8"/>
      <c r="AA31" s="26">
        <v>-0.10000000000000001</v>
      </c>
      <c r="AB31" s="8"/>
      <c r="AC31" s="8"/>
    </row>
    <row r="32" ht="12" customHeight="1">
      <c r="A32" s="8" t="s">
        <v>125</v>
      </c>
      <c r="B32" s="8" t="s">
        <v>932</v>
      </c>
      <c r="C32" s="26">
        <v>6.7000000000000002</v>
      </c>
      <c r="D32" s="8"/>
      <c r="E32" s="26">
        <v>-3.7999999999999998</v>
      </c>
      <c r="F32" s="8"/>
      <c r="G32" s="26">
        <v>3.6000000000000001</v>
      </c>
      <c r="H32" s="8"/>
      <c r="I32" s="26">
        <v>-2.3999999999999999</v>
      </c>
      <c r="J32" s="8"/>
      <c r="K32" s="26">
        <v>6.7000000000000002</v>
      </c>
      <c r="L32" s="8"/>
      <c r="M32" s="26">
        <v>1.2</v>
      </c>
      <c r="N32" s="8"/>
      <c r="O32" s="26">
        <v>-1</v>
      </c>
      <c r="P32" s="8"/>
      <c r="Q32" s="26">
        <v>-2.3999999999999999</v>
      </c>
      <c r="R32" s="8"/>
      <c r="S32" s="26">
        <v>0.20000000000000001</v>
      </c>
      <c r="T32" s="8"/>
      <c r="U32" s="26">
        <v>1.8</v>
      </c>
      <c r="V32" s="8"/>
      <c r="W32" s="26">
        <v>-1.3</v>
      </c>
      <c r="X32" s="8"/>
      <c r="Y32" s="26">
        <v>-0.90000000000000002</v>
      </c>
      <c r="Z32" s="8"/>
      <c r="AA32" s="26">
        <v>-2.3999999999999999</v>
      </c>
      <c r="AB32" s="8"/>
      <c r="AC32" s="8"/>
    </row>
    <row r="33" ht="12" customHeight="1">
      <c r="A33" s="8" t="s">
        <v>127</v>
      </c>
      <c r="B33" s="8" t="s">
        <v>933</v>
      </c>
      <c r="C33" s="26">
        <v>2.5</v>
      </c>
      <c r="D33" s="8"/>
      <c r="E33" s="26">
        <v>0.29999999999999999</v>
      </c>
      <c r="F33" s="8"/>
      <c r="G33" s="26">
        <v>4.2999999999999998</v>
      </c>
      <c r="H33" s="8"/>
      <c r="I33" s="26">
        <v>-0.10000000000000001</v>
      </c>
      <c r="J33" s="8"/>
      <c r="K33" s="26">
        <v>0</v>
      </c>
      <c r="L33" s="8"/>
      <c r="M33" s="26">
        <v>1</v>
      </c>
      <c r="N33" s="8"/>
      <c r="O33" s="26">
        <v>-3.7999999999999998</v>
      </c>
      <c r="P33" s="8"/>
      <c r="Q33" s="26">
        <v>-0.69999999999999996</v>
      </c>
      <c r="R33" s="8"/>
      <c r="S33" s="26">
        <v>0</v>
      </c>
      <c r="T33" s="8"/>
      <c r="U33" s="26">
        <v>-1</v>
      </c>
      <c r="V33" s="8"/>
      <c r="W33" s="26">
        <v>0.20000000000000001</v>
      </c>
      <c r="X33" s="8"/>
      <c r="Y33" s="26">
        <v>-0.10000000000000001</v>
      </c>
      <c r="Z33" s="8"/>
      <c r="AA33" s="26">
        <v>-2</v>
      </c>
      <c r="AB33" s="8"/>
      <c r="AC33" s="8"/>
    </row>
    <row r="34" ht="12" customHeight="1">
      <c r="A34" s="8" t="s">
        <v>129</v>
      </c>
      <c r="B34" s="8" t="s">
        <v>934</v>
      </c>
      <c r="C34" s="26">
        <v>3</v>
      </c>
      <c r="D34" s="8"/>
      <c r="E34" s="26">
        <v>1.8999999999999999</v>
      </c>
      <c r="F34" s="8"/>
      <c r="G34" s="26">
        <v>2.7000000000000002</v>
      </c>
      <c r="H34" s="8"/>
      <c r="I34" s="26">
        <v>-0.90000000000000002</v>
      </c>
      <c r="J34" s="8"/>
      <c r="K34" s="26">
        <v>-0.69999999999999996</v>
      </c>
      <c r="L34" s="8"/>
      <c r="M34" s="26">
        <v>0.5</v>
      </c>
      <c r="N34" s="8"/>
      <c r="O34" s="26">
        <v>0.59999999999999998</v>
      </c>
      <c r="P34" s="8"/>
      <c r="Q34" s="26">
        <v>1.5</v>
      </c>
      <c r="R34" s="8"/>
      <c r="S34" s="26">
        <v>-0.59999999999999998</v>
      </c>
      <c r="T34" s="8"/>
      <c r="U34" s="26">
        <v>-1</v>
      </c>
      <c r="V34" s="8"/>
      <c r="W34" s="26">
        <v>1.5</v>
      </c>
      <c r="X34" s="8"/>
      <c r="Y34" s="26">
        <v>-0.40000000000000002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935</v>
      </c>
      <c r="C35" s="26">
        <v>1.6000000000000001</v>
      </c>
      <c r="D35" s="8"/>
      <c r="E35" s="26">
        <v>0.59999999999999998</v>
      </c>
      <c r="F35" s="8"/>
      <c r="G35" s="26">
        <v>1.3999999999999999</v>
      </c>
      <c r="H35" s="8"/>
      <c r="I35" s="26">
        <v>-1.3999999999999999</v>
      </c>
      <c r="J35" s="8"/>
      <c r="K35" s="26">
        <v>1.5</v>
      </c>
      <c r="L35" s="8"/>
      <c r="M35" s="26">
        <v>1.8</v>
      </c>
      <c r="N35" s="8"/>
      <c r="O35" s="26">
        <v>0.29999999999999999</v>
      </c>
      <c r="P35" s="8"/>
      <c r="Q35" s="26">
        <v>3.7000000000000002</v>
      </c>
      <c r="R35" s="8"/>
      <c r="S35" s="26">
        <v>-0.59999999999999998</v>
      </c>
      <c r="T35" s="8"/>
      <c r="U35" s="26">
        <v>0.29999999999999999</v>
      </c>
      <c r="V35" s="8"/>
      <c r="W35" s="26">
        <v>0.20000000000000001</v>
      </c>
      <c r="X35" s="8"/>
      <c r="Y35" s="26">
        <v>0.20000000000000001</v>
      </c>
      <c r="Z35" s="8"/>
      <c r="AA35" s="26">
        <v>-0.29999999999999999</v>
      </c>
      <c r="AB35" s="8"/>
      <c r="AC35" s="8"/>
    </row>
    <row r="36" ht="12" customHeight="1">
      <c r="A36" s="8" t="s">
        <v>133</v>
      </c>
      <c r="B36" s="8" t="s">
        <v>936</v>
      </c>
      <c r="C36" s="26">
        <v>1.6000000000000001</v>
      </c>
      <c r="D36" s="8"/>
      <c r="E36" s="26">
        <v>0.40000000000000002</v>
      </c>
      <c r="F36" s="8"/>
      <c r="G36" s="26">
        <v>1.5</v>
      </c>
      <c r="H36" s="8"/>
      <c r="I36" s="26">
        <v>-6.2999999999999998</v>
      </c>
      <c r="J36" s="8"/>
      <c r="K36" s="26">
        <v>0.20000000000000001</v>
      </c>
      <c r="L36" s="8"/>
      <c r="M36" s="26">
        <v>-0.59999999999999998</v>
      </c>
      <c r="N36" s="8"/>
      <c r="O36" s="26">
        <v>0.59999999999999998</v>
      </c>
      <c r="P36" s="8"/>
      <c r="Q36" s="26">
        <v>9.5999999999999996</v>
      </c>
      <c r="R36" s="8"/>
      <c r="S36" s="26">
        <v>-3.3999999999999999</v>
      </c>
      <c r="T36" s="8"/>
      <c r="U36" s="26">
        <v>0.20000000000000001</v>
      </c>
      <c r="V36" s="8"/>
      <c r="W36" s="26">
        <v>-0.59999999999999998</v>
      </c>
      <c r="X36" s="8"/>
      <c r="Y36" s="26">
        <v>-4</v>
      </c>
      <c r="Z36" s="8"/>
      <c r="AA36" s="26">
        <v>-3.7999999999999998</v>
      </c>
      <c r="AB36" s="8"/>
      <c r="AC36" s="8"/>
    </row>
    <row r="37" ht="12" customHeight="1">
      <c r="A37" s="8" t="s">
        <v>135</v>
      </c>
      <c r="B37" s="8" t="s">
        <v>937</v>
      </c>
      <c r="C37" s="26">
        <v>1.5</v>
      </c>
      <c r="D37" s="8"/>
      <c r="E37" s="26">
        <v>0.59999999999999998</v>
      </c>
      <c r="F37" s="8"/>
      <c r="G37" s="26">
        <v>1.3999999999999999</v>
      </c>
      <c r="H37" s="8"/>
      <c r="I37" s="26">
        <v>1.2</v>
      </c>
      <c r="J37" s="8"/>
      <c r="K37" s="26">
        <v>2.2000000000000002</v>
      </c>
      <c r="L37" s="8"/>
      <c r="M37" s="26">
        <v>3</v>
      </c>
      <c r="N37" s="8"/>
      <c r="O37" s="26">
        <v>0.20000000000000001</v>
      </c>
      <c r="P37" s="8"/>
      <c r="Q37" s="26">
        <v>0.80000000000000004</v>
      </c>
      <c r="R37" s="8"/>
      <c r="S37" s="26">
        <v>0.80000000000000004</v>
      </c>
      <c r="T37" s="8"/>
      <c r="U37" s="26">
        <v>0.40000000000000002</v>
      </c>
      <c r="V37" s="8"/>
      <c r="W37" s="26">
        <v>0.40000000000000002</v>
      </c>
      <c r="X37" s="8"/>
      <c r="Y37" s="26">
        <v>1.7</v>
      </c>
      <c r="Z37" s="8"/>
      <c r="AA37" s="26">
        <v>0.80000000000000004</v>
      </c>
      <c r="AB37" s="8"/>
      <c r="AC37" s="8"/>
    </row>
    <row r="38" ht="12" customHeight="1">
      <c r="A38" s="8" t="s">
        <v>137</v>
      </c>
      <c r="B38" s="8" t="s">
        <v>938</v>
      </c>
      <c r="C38" s="26">
        <v>1</v>
      </c>
      <c r="D38" s="8"/>
      <c r="E38" s="26">
        <v>1.6000000000000001</v>
      </c>
      <c r="F38" s="8"/>
      <c r="G38" s="26">
        <v>2.7999999999999998</v>
      </c>
      <c r="H38" s="8"/>
      <c r="I38" s="26">
        <v>3.5</v>
      </c>
      <c r="J38" s="8"/>
      <c r="K38" s="26">
        <v>4.2000000000000002</v>
      </c>
      <c r="L38" s="8"/>
      <c r="M38" s="26">
        <v>2.3999999999999999</v>
      </c>
      <c r="N38" s="8"/>
      <c r="O38" s="26">
        <v>0.80000000000000004</v>
      </c>
      <c r="P38" s="8"/>
      <c r="Q38" s="26">
        <v>6.7000000000000002</v>
      </c>
      <c r="R38" s="8"/>
      <c r="S38" s="26">
        <v>1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939</v>
      </c>
      <c r="C39" s="26">
        <v>-0.10000000000000001</v>
      </c>
      <c r="D39" s="8"/>
      <c r="E39" s="26">
        <v>-1</v>
      </c>
      <c r="F39" s="8"/>
      <c r="G39" s="26">
        <v>-1.6000000000000001</v>
      </c>
      <c r="H39" s="8"/>
      <c r="I39" s="26">
        <v>7.5999999999999996</v>
      </c>
      <c r="J39" s="8"/>
      <c r="K39" s="26">
        <v>-0.20000000000000001</v>
      </c>
      <c r="L39" s="8"/>
      <c r="M39" s="26">
        <v>-2.1000000000000001</v>
      </c>
      <c r="N39" s="8"/>
      <c r="O39" s="26">
        <v>-0.10000000000000001</v>
      </c>
      <c r="P39" s="8"/>
      <c r="Q39" s="26">
        <v>-2.6000000000000001</v>
      </c>
      <c r="R39" s="8"/>
      <c r="S39" s="26">
        <v>1.2</v>
      </c>
      <c r="T39" s="8"/>
      <c r="U39" s="26">
        <v>1</v>
      </c>
      <c r="V39" s="8"/>
      <c r="W39" s="26">
        <v>-1.2</v>
      </c>
      <c r="X39" s="8"/>
      <c r="Y39" s="26">
        <v>0.5</v>
      </c>
      <c r="Z39" s="8"/>
      <c r="AA39" s="26">
        <v>2.2000000000000002</v>
      </c>
      <c r="AB39" s="8"/>
      <c r="AC39" s="8"/>
    </row>
    <row r="40" ht="12" customHeight="1">
      <c r="A40" s="8" t="s">
        <v>141</v>
      </c>
      <c r="B40" s="8" t="s">
        <v>940</v>
      </c>
      <c r="C40" s="26">
        <v>0.10000000000000001</v>
      </c>
      <c r="D40" s="8"/>
      <c r="E40" s="26">
        <v>0.90000000000000002</v>
      </c>
      <c r="F40" s="8"/>
      <c r="G40" s="26">
        <v>1.3</v>
      </c>
      <c r="H40" s="8"/>
      <c r="I40" s="26">
        <v>2.6000000000000001</v>
      </c>
      <c r="J40" s="8"/>
      <c r="K40" s="26">
        <v>-2.2999999999999998</v>
      </c>
      <c r="L40" s="8"/>
      <c r="M40" s="26">
        <v>-1.1000000000000001</v>
      </c>
      <c r="N40" s="8"/>
      <c r="O40" s="26">
        <v>-3.1000000000000001</v>
      </c>
      <c r="P40" s="8"/>
      <c r="Q40" s="26">
        <v>-2</v>
      </c>
      <c r="R40" s="8"/>
      <c r="S40" s="26">
        <v>2.3999999999999999</v>
      </c>
      <c r="T40" s="8"/>
      <c r="U40" s="26">
        <v>0.20000000000000001</v>
      </c>
      <c r="V40" s="8"/>
      <c r="W40" s="26">
        <v>1</v>
      </c>
      <c r="X40" s="8"/>
      <c r="Y40" s="26">
        <v>-0.10000000000000001</v>
      </c>
      <c r="Z40" s="8"/>
      <c r="AA40" s="26">
        <v>0.20000000000000001</v>
      </c>
      <c r="AB40" s="8"/>
      <c r="AC40" s="8"/>
    </row>
    <row r="41" ht="12" customHeight="1">
      <c r="A41" s="8" t="s">
        <v>143</v>
      </c>
      <c r="B41" s="8" t="s">
        <v>941</v>
      </c>
      <c r="C41" s="26">
        <v>-4.2999999999999998</v>
      </c>
      <c r="D41" s="8"/>
      <c r="E41" s="26">
        <v>-1.8999999999999999</v>
      </c>
      <c r="F41" s="8"/>
      <c r="G41" s="26">
        <v>-1.2</v>
      </c>
      <c r="H41" s="8"/>
      <c r="I41" s="26">
        <v>11.800000000000001</v>
      </c>
      <c r="J41" s="8"/>
      <c r="K41" s="26">
        <v>0.59999999999999998</v>
      </c>
      <c r="L41" s="8"/>
      <c r="M41" s="26">
        <v>-1.3999999999999999</v>
      </c>
      <c r="N41" s="8"/>
      <c r="O41" s="26">
        <v>1.8999999999999999</v>
      </c>
      <c r="P41" s="8"/>
      <c r="Q41" s="26">
        <v>-4.2000000000000002</v>
      </c>
      <c r="R41" s="8"/>
      <c r="S41" s="26">
        <v>-0.90000000000000002</v>
      </c>
      <c r="T41" s="8"/>
      <c r="U41" s="26">
        <v>3.2000000000000002</v>
      </c>
      <c r="V41" s="8"/>
      <c r="W41" s="26">
        <v>-1.8</v>
      </c>
      <c r="X41" s="8"/>
      <c r="Y41" s="26">
        <v>0.40000000000000002</v>
      </c>
      <c r="Z41" s="8"/>
      <c r="AA41" s="26">
        <v>1.7</v>
      </c>
      <c r="AB41" s="8"/>
      <c r="AC41" s="8"/>
    </row>
    <row r="42" ht="12" customHeight="1">
      <c r="A42" s="8" t="s">
        <v>145</v>
      </c>
      <c r="B42" s="8" t="s">
        <v>942</v>
      </c>
      <c r="C42" s="26">
        <v>-7.2000000000000002</v>
      </c>
      <c r="D42" s="8"/>
      <c r="E42" s="26">
        <v>-2.5</v>
      </c>
      <c r="F42" s="8"/>
      <c r="G42" s="26">
        <v>-1.5</v>
      </c>
      <c r="H42" s="8"/>
      <c r="I42" s="26">
        <v>16.5</v>
      </c>
      <c r="J42" s="8"/>
      <c r="K42" s="26">
        <v>0.10000000000000001</v>
      </c>
      <c r="L42" s="8"/>
      <c r="M42" s="26">
        <v>-2.2000000000000002</v>
      </c>
      <c r="N42" s="8"/>
      <c r="O42" s="26">
        <v>0.80000000000000004</v>
      </c>
      <c r="P42" s="8"/>
      <c r="Q42" s="26">
        <v>-6.5999999999999996</v>
      </c>
      <c r="R42" s="8"/>
      <c r="S42" s="26">
        <v>-1.5</v>
      </c>
      <c r="T42" s="8"/>
      <c r="U42" s="26">
        <v>4.5999999999999996</v>
      </c>
      <c r="V42" s="8"/>
      <c r="W42" s="26">
        <v>-4.7000000000000002</v>
      </c>
      <c r="X42" s="8"/>
      <c r="Y42" s="26">
        <v>0.10000000000000001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943</v>
      </c>
      <c r="C43" s="26">
        <v>15</v>
      </c>
      <c r="D43" s="8"/>
      <c r="E43" s="26">
        <v>-1.5</v>
      </c>
      <c r="F43" s="8"/>
      <c r="G43" s="26">
        <v>-7</v>
      </c>
      <c r="H43" s="8"/>
      <c r="I43" s="26">
        <v>3.1000000000000001</v>
      </c>
      <c r="J43" s="8"/>
      <c r="K43" s="26">
        <v>0.20000000000000001</v>
      </c>
      <c r="L43" s="8"/>
      <c r="M43" s="26">
        <v>-5.7000000000000002</v>
      </c>
      <c r="N43" s="8"/>
      <c r="O43" s="26">
        <v>-2.3999999999999999</v>
      </c>
      <c r="P43" s="8"/>
      <c r="Q43" s="26">
        <v>2.2999999999999998</v>
      </c>
      <c r="R43" s="8"/>
      <c r="S43" s="26">
        <v>6.2999999999999998</v>
      </c>
      <c r="T43" s="8"/>
      <c r="U43" s="26">
        <v>-3.6000000000000001</v>
      </c>
      <c r="V43" s="8"/>
      <c r="W43" s="26">
        <v>-2.2999999999999998</v>
      </c>
      <c r="X43" s="8"/>
      <c r="Y43" s="26">
        <v>1.6000000000000001</v>
      </c>
      <c r="Z43" s="8"/>
      <c r="AA43" s="26">
        <v>5.7999999999999998</v>
      </c>
      <c r="AB43" s="8"/>
      <c r="AC43" s="8"/>
    </row>
    <row r="44" ht="12" customHeight="1">
      <c r="A44" s="11" t="s">
        <v>149</v>
      </c>
      <c r="B44" s="8" t="s">
        <v>944</v>
      </c>
      <c r="C44" s="26">
        <v>0.10000000000000001</v>
      </c>
      <c r="D44" s="8"/>
      <c r="E44" s="26">
        <v>0.29999999999999999</v>
      </c>
      <c r="F44" s="8"/>
      <c r="G44" s="26">
        <v>0.80000000000000004</v>
      </c>
      <c r="H44" s="8"/>
      <c r="I44" s="26">
        <v>1.5</v>
      </c>
      <c r="J44" s="8"/>
      <c r="K44" s="26">
        <v>1.5</v>
      </c>
      <c r="L44" s="8"/>
      <c r="M44" s="26">
        <v>0.40000000000000002</v>
      </c>
      <c r="N44" s="8"/>
      <c r="O44" s="26">
        <v>0.5</v>
      </c>
      <c r="P44" s="8"/>
      <c r="Q44" s="26">
        <v>1.3</v>
      </c>
      <c r="R44" s="8"/>
      <c r="S44" s="26">
        <v>1.8999999999999999</v>
      </c>
      <c r="T44" s="8"/>
      <c r="U44" s="26">
        <v>0.20000000000000001</v>
      </c>
      <c r="V44" s="8"/>
      <c r="W44" s="26">
        <v>-0.40000000000000002</v>
      </c>
      <c r="X44" s="8"/>
      <c r="Y44" s="26">
        <v>0.5</v>
      </c>
      <c r="Z44" s="8"/>
      <c r="AA44" s="26">
        <v>4.2000000000000002</v>
      </c>
      <c r="AB44" s="8"/>
      <c r="AC44" s="8"/>
    </row>
    <row r="45" ht="12" customHeight="1">
      <c r="A45" s="8" t="s">
        <v>151</v>
      </c>
      <c r="B45" s="8" t="s">
        <v>945</v>
      </c>
      <c r="C45" s="26">
        <v>0.69999999999999996</v>
      </c>
      <c r="D45" s="8"/>
      <c r="E45" s="26">
        <v>0.5</v>
      </c>
      <c r="F45" s="8"/>
      <c r="G45" s="26">
        <v>-0.69999999999999996</v>
      </c>
      <c r="H45" s="8"/>
      <c r="I45" s="26">
        <v>7.4000000000000004</v>
      </c>
      <c r="J45" s="8"/>
      <c r="K45" s="26">
        <v>1</v>
      </c>
      <c r="L45" s="8"/>
      <c r="M45" s="26">
        <v>-1.3</v>
      </c>
      <c r="N45" s="8"/>
      <c r="O45" s="26">
        <v>-0.10000000000000001</v>
      </c>
      <c r="P45" s="8"/>
      <c r="Q45" s="26">
        <v>2.7000000000000002</v>
      </c>
      <c r="R45" s="8"/>
      <c r="S45" s="26">
        <v>0.20000000000000001</v>
      </c>
      <c r="T45" s="8"/>
      <c r="U45" s="26">
        <v>-0.40000000000000002</v>
      </c>
      <c r="V45" s="8"/>
      <c r="W45" s="26">
        <v>1</v>
      </c>
      <c r="X45" s="8"/>
      <c r="Y45" s="26">
        <v>7.5</v>
      </c>
      <c r="Z45" s="8"/>
      <c r="AA45" s="26">
        <v>0.20000000000000001</v>
      </c>
      <c r="AB45" s="8"/>
      <c r="AC45" s="8"/>
    </row>
    <row r="46" ht="12" customHeight="1">
      <c r="A46" s="8" t="s">
        <v>153</v>
      </c>
      <c r="B46" s="8" t="s">
        <v>946</v>
      </c>
      <c r="C46" s="26">
        <v>-0.29999999999999999</v>
      </c>
      <c r="D46" s="8"/>
      <c r="E46" s="26">
        <v>1.7</v>
      </c>
      <c r="F46" s="8"/>
      <c r="G46" s="26">
        <v>-10.1</v>
      </c>
      <c r="H46" s="8"/>
      <c r="I46" s="26">
        <v>-6.2999999999999998</v>
      </c>
      <c r="J46" s="8"/>
      <c r="K46" s="26">
        <v>15.9</v>
      </c>
      <c r="L46" s="8"/>
      <c r="M46" s="26">
        <v>-2.7000000000000002</v>
      </c>
      <c r="N46" s="8"/>
      <c r="O46" s="26">
        <v>8.0999999999999996</v>
      </c>
      <c r="P46" s="8"/>
      <c r="Q46" s="26">
        <v>-15</v>
      </c>
      <c r="R46" s="8"/>
      <c r="S46" s="26">
        <v>0</v>
      </c>
      <c r="T46" s="8"/>
      <c r="U46" s="26">
        <v>-5.4000000000000004</v>
      </c>
      <c r="V46" s="8"/>
      <c r="W46" s="26">
        <v>-6.9000000000000004</v>
      </c>
      <c r="X46" s="8"/>
      <c r="Y46" s="26">
        <v>-3.8999999999999999</v>
      </c>
      <c r="Z46" s="8"/>
      <c r="AA46" s="26">
        <v>11.4</v>
      </c>
      <c r="AB46" s="8"/>
      <c r="AC46" s="8"/>
    </row>
    <row r="47" ht="12" customHeight="1">
      <c r="A47" s="8" t="s">
        <v>155</v>
      </c>
      <c r="B47" s="8" t="s">
        <v>947</v>
      </c>
      <c r="C47" s="26">
        <v>0</v>
      </c>
      <c r="D47" s="8"/>
      <c r="E47" s="26">
        <v>0.20000000000000001</v>
      </c>
      <c r="F47" s="8"/>
      <c r="G47" s="26">
        <v>1</v>
      </c>
      <c r="H47" s="8"/>
      <c r="I47" s="26">
        <v>1.5</v>
      </c>
      <c r="J47" s="8"/>
      <c r="K47" s="26">
        <v>1.2</v>
      </c>
      <c r="L47" s="8"/>
      <c r="M47" s="26">
        <v>0.59999999999999998</v>
      </c>
      <c r="N47" s="8"/>
      <c r="O47" s="26">
        <v>0.20000000000000001</v>
      </c>
      <c r="P47" s="8"/>
      <c r="Q47" s="26">
        <v>1.7</v>
      </c>
      <c r="R47" s="8"/>
      <c r="S47" s="26">
        <v>2</v>
      </c>
      <c r="T47" s="8"/>
      <c r="U47" s="26">
        <v>1.7</v>
      </c>
      <c r="V47" s="8"/>
      <c r="W47" s="26">
        <v>1.3999999999999999</v>
      </c>
      <c r="X47" s="8"/>
      <c r="Y47" s="26">
        <v>1.1000000000000001</v>
      </c>
      <c r="Z47" s="8"/>
      <c r="AA47" s="26">
        <v>2.7999999999999998</v>
      </c>
      <c r="AB47" s="8"/>
      <c r="AC47" s="8"/>
    </row>
    <row r="48" ht="12" customHeight="1">
      <c r="A48" s="11" t="s">
        <v>157</v>
      </c>
      <c r="B48" s="8" t="s">
        <v>948</v>
      </c>
      <c r="C48" s="26">
        <v>3.6000000000000001</v>
      </c>
      <c r="D48" s="8"/>
      <c r="E48" s="26">
        <v>1</v>
      </c>
      <c r="F48" s="8"/>
      <c r="G48" s="26">
        <v>0.69999999999999996</v>
      </c>
      <c r="H48" s="8"/>
      <c r="I48" s="26">
        <v>1</v>
      </c>
      <c r="J48" s="8"/>
      <c r="K48" s="26">
        <v>1.5</v>
      </c>
      <c r="L48" s="8"/>
      <c r="M48" s="26">
        <v>2</v>
      </c>
      <c r="N48" s="8"/>
      <c r="O48" s="26">
        <v>-2.1000000000000001</v>
      </c>
      <c r="P48" s="8"/>
      <c r="Q48" s="26">
        <v>0.59999999999999998</v>
      </c>
      <c r="R48" s="8"/>
      <c r="S48" s="26">
        <v>2</v>
      </c>
      <c r="T48" s="8"/>
      <c r="U48" s="26">
        <v>-0.29999999999999999</v>
      </c>
      <c r="V48" s="8"/>
      <c r="W48" s="26">
        <v>0.59999999999999998</v>
      </c>
      <c r="X48" s="8"/>
      <c r="Y48" s="26">
        <v>0.80000000000000004</v>
      </c>
      <c r="Z48" s="8"/>
      <c r="AA48" s="26">
        <v>1.7</v>
      </c>
      <c r="AB48" s="8"/>
      <c r="AC48" s="8"/>
    </row>
    <row r="49" ht="12" customHeight="1">
      <c r="A49" s="8" t="s">
        <v>159</v>
      </c>
      <c r="B49" s="8" t="s">
        <v>949</v>
      </c>
      <c r="C49" s="26">
        <v>5.0999999999999996</v>
      </c>
      <c r="D49" s="8"/>
      <c r="E49" s="26">
        <v>-4.2000000000000002</v>
      </c>
      <c r="F49" s="8"/>
      <c r="G49" s="26">
        <v>-13.199999999999999</v>
      </c>
      <c r="H49" s="8"/>
      <c r="I49" s="26">
        <v>3.7000000000000002</v>
      </c>
      <c r="J49" s="8"/>
      <c r="K49" s="26">
        <v>6.4000000000000004</v>
      </c>
      <c r="L49" s="8"/>
      <c r="M49" s="26">
        <v>-8</v>
      </c>
      <c r="N49" s="8"/>
      <c r="O49" s="26">
        <v>-8.4000000000000004</v>
      </c>
      <c r="P49" s="8"/>
      <c r="Q49" s="26">
        <v>4.2999999999999998</v>
      </c>
      <c r="R49" s="8"/>
      <c r="S49" s="26">
        <v>6.2999999999999998</v>
      </c>
      <c r="T49" s="8"/>
      <c r="U49" s="26">
        <v>-6.7000000000000002</v>
      </c>
      <c r="V49" s="8"/>
      <c r="W49" s="26">
        <v>-12.699999999999999</v>
      </c>
      <c r="X49" s="8"/>
      <c r="Y49" s="26">
        <v>2.2000000000000002</v>
      </c>
      <c r="Z49" s="8"/>
      <c r="AA49" s="26">
        <v>8</v>
      </c>
      <c r="AB49" s="8"/>
      <c r="AC49" s="8"/>
    </row>
    <row r="50" ht="12" customHeight="1">
      <c r="A50" s="8" t="s">
        <v>161</v>
      </c>
      <c r="B50" s="8" t="s">
        <v>950</v>
      </c>
      <c r="C50" s="26">
        <v>1.7</v>
      </c>
      <c r="D50" s="8"/>
      <c r="E50" s="26">
        <v>0.80000000000000004</v>
      </c>
      <c r="F50" s="8"/>
      <c r="G50" s="26">
        <v>-0.5</v>
      </c>
      <c r="H50" s="8"/>
      <c r="I50" s="26">
        <v>0.40000000000000002</v>
      </c>
      <c r="J50" s="8"/>
      <c r="K50" s="26">
        <v>-0.40000000000000002</v>
      </c>
      <c r="L50" s="8"/>
      <c r="M50" s="26">
        <v>1.5</v>
      </c>
      <c r="N50" s="8"/>
      <c r="O50" s="26">
        <v>0.40000000000000002</v>
      </c>
      <c r="P50" s="8"/>
      <c r="Q50" s="26">
        <v>-2</v>
      </c>
      <c r="R50" s="8"/>
      <c r="S50" s="26">
        <v>0.40000000000000002</v>
      </c>
      <c r="T50" s="8"/>
      <c r="U50" s="26">
        <v>0.80000000000000004</v>
      </c>
      <c r="V50" s="8"/>
      <c r="W50" s="26">
        <v>1.7</v>
      </c>
      <c r="X50" s="8"/>
      <c r="Y50" s="26">
        <v>-0.40000000000000002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951</v>
      </c>
      <c r="C51" s="26">
        <v>3.3999999999999999</v>
      </c>
      <c r="D51" s="8"/>
      <c r="E51" s="26">
        <v>0.59999999999999998</v>
      </c>
      <c r="F51" s="8"/>
      <c r="G51" s="26">
        <v>2.7000000000000002</v>
      </c>
      <c r="H51" s="8"/>
      <c r="I51" s="26">
        <v>-0.5</v>
      </c>
      <c r="J51" s="8"/>
      <c r="K51" s="26">
        <v>0.40000000000000002</v>
      </c>
      <c r="L51" s="8"/>
      <c r="M51" s="26">
        <v>0.90000000000000002</v>
      </c>
      <c r="N51" s="8"/>
      <c r="O51" s="26">
        <v>-3.2999999999999998</v>
      </c>
      <c r="P51" s="8"/>
      <c r="Q51" s="26">
        <v>2.6000000000000001</v>
      </c>
      <c r="R51" s="8"/>
      <c r="S51" s="26">
        <v>2.2999999999999998</v>
      </c>
      <c r="T51" s="8"/>
      <c r="U51" s="26">
        <v>-1.3999999999999999</v>
      </c>
      <c r="V51" s="8"/>
      <c r="W51" s="26">
        <v>-2.2999999999999998</v>
      </c>
      <c r="X51" s="8"/>
      <c r="Y51" s="26">
        <v>1.3999999999999999</v>
      </c>
      <c r="Z51" s="8"/>
      <c r="AA51" s="26">
        <v>0.90000000000000002</v>
      </c>
      <c r="AB51" s="8"/>
      <c r="AC51" s="8"/>
    </row>
    <row r="52" ht="12" customHeight="1">
      <c r="A52" s="8" t="s">
        <v>165</v>
      </c>
      <c r="B52" s="8" t="s">
        <v>952</v>
      </c>
      <c r="C52" s="26">
        <v>2.8999999999999999</v>
      </c>
      <c r="D52" s="8"/>
      <c r="E52" s="26">
        <v>1.2</v>
      </c>
      <c r="F52" s="8"/>
      <c r="G52" s="26">
        <v>2.2999999999999998</v>
      </c>
      <c r="H52" s="8"/>
      <c r="I52" s="26">
        <v>1.3999999999999999</v>
      </c>
      <c r="J52" s="8"/>
      <c r="K52" s="26">
        <v>1.6000000000000001</v>
      </c>
      <c r="L52" s="8"/>
      <c r="M52" s="26">
        <v>1.8</v>
      </c>
      <c r="N52" s="8"/>
      <c r="O52" s="26">
        <v>2.7000000000000002</v>
      </c>
      <c r="P52" s="8"/>
      <c r="Q52" s="26">
        <v>0.59999999999999998</v>
      </c>
      <c r="R52" s="8"/>
      <c r="S52" s="26">
        <v>0.59999999999999998</v>
      </c>
      <c r="T52" s="8"/>
      <c r="U52" s="26">
        <v>0.29999999999999999</v>
      </c>
      <c r="V52" s="8"/>
      <c r="W52" s="26">
        <v>6.0999999999999996</v>
      </c>
      <c r="X52" s="8"/>
      <c r="Y52" s="26">
        <v>0.40000000000000002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953</v>
      </c>
      <c r="C53" s="26">
        <v>3</v>
      </c>
      <c r="D53" s="8"/>
      <c r="E53" s="26">
        <v>1.8999999999999999</v>
      </c>
      <c r="F53" s="8"/>
      <c r="G53" s="26">
        <v>2.2999999999999998</v>
      </c>
      <c r="H53" s="8"/>
      <c r="I53" s="26">
        <v>2.2999999999999998</v>
      </c>
      <c r="J53" s="8"/>
      <c r="K53" s="26">
        <v>0.10000000000000001</v>
      </c>
      <c r="L53" s="8"/>
      <c r="M53" s="26">
        <v>0.29999999999999999</v>
      </c>
      <c r="N53" s="8"/>
      <c r="O53" s="26">
        <v>1.3999999999999999</v>
      </c>
      <c r="P53" s="8"/>
      <c r="Q53" s="26">
        <v>0.5</v>
      </c>
      <c r="R53" s="8"/>
      <c r="S53" s="26">
        <v>0.5</v>
      </c>
      <c r="T53" s="8"/>
      <c r="U53" s="26">
        <v>-0.69999999999999996</v>
      </c>
      <c r="V53" s="8"/>
      <c r="W53" s="26">
        <v>0.5</v>
      </c>
      <c r="X53" s="8"/>
      <c r="Y53" s="26">
        <v>2.3999999999999999</v>
      </c>
      <c r="Z53" s="8"/>
      <c r="AA53" s="26">
        <v>1.1000000000000001</v>
      </c>
      <c r="AB53" s="8"/>
      <c r="AC53" s="8"/>
    </row>
    <row r="54" ht="12" customHeight="1">
      <c r="A54" s="8" t="s">
        <v>169</v>
      </c>
      <c r="B54" s="8" t="s">
        <v>954</v>
      </c>
      <c r="C54" s="26">
        <v>5.7000000000000002</v>
      </c>
      <c r="D54" s="8"/>
      <c r="E54" s="26">
        <v>2.6000000000000001</v>
      </c>
      <c r="F54" s="8"/>
      <c r="G54" s="26">
        <v>-0.90000000000000002</v>
      </c>
      <c r="H54" s="8"/>
      <c r="I54" s="26">
        <v>1.6000000000000001</v>
      </c>
      <c r="J54" s="8"/>
      <c r="K54" s="26">
        <v>1.6000000000000001</v>
      </c>
      <c r="L54" s="8"/>
      <c r="M54" s="26">
        <v>6.5</v>
      </c>
      <c r="N54" s="8"/>
      <c r="O54" s="26">
        <v>-6.4000000000000004</v>
      </c>
      <c r="P54" s="8"/>
      <c r="Q54" s="26">
        <v>-2.1000000000000001</v>
      </c>
      <c r="R54" s="8"/>
      <c r="S54" s="26">
        <v>3.2999999999999998</v>
      </c>
      <c r="T54" s="8"/>
      <c r="U54" s="26">
        <v>2.1000000000000001</v>
      </c>
      <c r="V54" s="8"/>
      <c r="W54" s="26">
        <v>0.40000000000000002</v>
      </c>
      <c r="X54" s="8"/>
      <c r="Y54" s="26">
        <v>0.40000000000000002</v>
      </c>
      <c r="Z54" s="8"/>
      <c r="AA54" s="26">
        <v>3.7000000000000002</v>
      </c>
      <c r="AB54" s="8"/>
      <c r="AC54" s="8"/>
    </row>
    <row r="55" ht="12" customHeight="1">
      <c r="A55" s="11" t="s">
        <v>171</v>
      </c>
      <c r="B55" s="8" t="s">
        <v>955</v>
      </c>
      <c r="C55" s="26">
        <v>0</v>
      </c>
      <c r="D55" s="8"/>
      <c r="E55" s="26">
        <v>2.6000000000000001</v>
      </c>
      <c r="F55" s="8"/>
      <c r="G55" s="26">
        <v>0</v>
      </c>
      <c r="H55" s="8"/>
      <c r="I55" s="26">
        <v>1.3</v>
      </c>
      <c r="J55" s="8"/>
      <c r="K55" s="26">
        <v>0</v>
      </c>
      <c r="L55" s="8"/>
      <c r="M55" s="26">
        <v>3.7999999999999998</v>
      </c>
      <c r="N55" s="8"/>
      <c r="O55" s="26">
        <v>0</v>
      </c>
      <c r="P55" s="8"/>
      <c r="Q55" s="26">
        <v>-8.1999999999999993</v>
      </c>
      <c r="R55" s="8"/>
      <c r="S55" s="26">
        <v>0</v>
      </c>
      <c r="T55" s="8"/>
      <c r="U55" s="26">
        <v>10.9</v>
      </c>
      <c r="V55" s="8"/>
      <c r="W55" s="26">
        <v>0</v>
      </c>
      <c r="X55" s="8"/>
      <c r="Y55" s="26">
        <v>0.59999999999999998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956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3.7000000000000002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-23.899999999999999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2.5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957</v>
      </c>
      <c r="C57" s="26">
        <v>0</v>
      </c>
      <c r="D57" s="8"/>
      <c r="E57" s="26">
        <v>3.3999999999999999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5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958</v>
      </c>
      <c r="C58" s="26">
        <v>0</v>
      </c>
      <c r="D58" s="8"/>
      <c r="E58" s="26">
        <v>4.2999999999999998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6.5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22.699999999999999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959</v>
      </c>
      <c r="C59" s="26">
        <v>0</v>
      </c>
      <c r="D59" s="8"/>
      <c r="E59" s="26">
        <v>5.7999999999999998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3.7000000000000002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960</v>
      </c>
      <c r="C60" s="26">
        <v>1.5</v>
      </c>
      <c r="D60" s="8"/>
      <c r="E60" s="26">
        <v>1.7</v>
      </c>
      <c r="F60" s="8"/>
      <c r="G60" s="26">
        <v>2.5</v>
      </c>
      <c r="H60" s="8"/>
      <c r="I60" s="26">
        <v>2.2000000000000002</v>
      </c>
      <c r="J60" s="8"/>
      <c r="K60" s="26">
        <v>2.1000000000000001</v>
      </c>
      <c r="L60" s="8"/>
      <c r="M60" s="26">
        <v>2.6000000000000001</v>
      </c>
      <c r="N60" s="8"/>
      <c r="O60" s="26">
        <v>2.3999999999999999</v>
      </c>
      <c r="P60" s="8"/>
      <c r="Q60" s="26">
        <v>1.3999999999999999</v>
      </c>
      <c r="R60" s="8"/>
      <c r="S60" s="26">
        <v>1.3</v>
      </c>
      <c r="T60" s="8"/>
      <c r="U60" s="26">
        <v>1.3</v>
      </c>
      <c r="V60" s="8"/>
      <c r="W60" s="26">
        <v>1.3</v>
      </c>
      <c r="X60" s="8"/>
      <c r="Y60" s="26">
        <v>0.69999999999999996</v>
      </c>
      <c r="Z60" s="8"/>
      <c r="AA60" s="26">
        <v>0.59999999999999998</v>
      </c>
      <c r="AB60" s="8"/>
      <c r="AC60" s="8"/>
    </row>
    <row r="61" ht="12" customHeight="1">
      <c r="A61" s="8" t="s">
        <v>183</v>
      </c>
      <c r="B61" s="8" t="s">
        <v>961</v>
      </c>
      <c r="C61" s="26">
        <v>2.1000000000000001</v>
      </c>
      <c r="D61" s="8"/>
      <c r="E61" s="26">
        <v>1.7</v>
      </c>
      <c r="F61" s="8"/>
      <c r="G61" s="26">
        <v>2.2999999999999998</v>
      </c>
      <c r="H61" s="8"/>
      <c r="I61" s="26">
        <v>-0.29999999999999999</v>
      </c>
      <c r="J61" s="8"/>
      <c r="K61" s="26">
        <v>-0.59999999999999998</v>
      </c>
      <c r="L61" s="8"/>
      <c r="M61" s="26">
        <v>0.40000000000000002</v>
      </c>
      <c r="N61" s="8"/>
      <c r="O61" s="26">
        <v>0.29999999999999999</v>
      </c>
      <c r="P61" s="8"/>
      <c r="Q61" s="26">
        <v>-0.29999999999999999</v>
      </c>
      <c r="R61" s="8"/>
      <c r="S61" s="26">
        <v>0.20000000000000001</v>
      </c>
      <c r="T61" s="8"/>
      <c r="U61" s="26">
        <v>0.5</v>
      </c>
      <c r="V61" s="8"/>
      <c r="W61" s="26">
        <v>1.1000000000000001</v>
      </c>
      <c r="X61" s="8"/>
      <c r="Y61" s="26">
        <v>0.20000000000000001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962</v>
      </c>
      <c r="C62" s="26">
        <v>2.3999999999999999</v>
      </c>
      <c r="D62" s="8"/>
      <c r="E62" s="26">
        <v>-0.10000000000000001</v>
      </c>
      <c r="F62" s="8"/>
      <c r="G62" s="26">
        <v>-2.2000000000000002</v>
      </c>
      <c r="H62" s="8"/>
      <c r="I62" s="26">
        <v>1.6000000000000001</v>
      </c>
      <c r="J62" s="8"/>
      <c r="K62" s="26">
        <v>1.8</v>
      </c>
      <c r="L62" s="8"/>
      <c r="M62" s="26">
        <v>0.40000000000000002</v>
      </c>
      <c r="N62" s="8"/>
      <c r="O62" s="26">
        <v>1.7</v>
      </c>
      <c r="P62" s="8"/>
      <c r="Q62" s="26">
        <v>-0.10000000000000001</v>
      </c>
      <c r="R62" s="8"/>
      <c r="S62" s="26">
        <v>-0.40000000000000002</v>
      </c>
      <c r="T62" s="8"/>
      <c r="U62" s="26">
        <v>0.40000000000000002</v>
      </c>
      <c r="V62" s="8"/>
      <c r="W62" s="26">
        <v>3</v>
      </c>
      <c r="X62" s="8"/>
      <c r="Y62" s="26">
        <v>1.1000000000000001</v>
      </c>
      <c r="Z62" s="8"/>
      <c r="AA62" s="26">
        <v>3.6000000000000001</v>
      </c>
      <c r="AB62" s="8"/>
      <c r="AC62" s="8"/>
    </row>
    <row r="63" ht="12" customHeight="1">
      <c r="A63" s="8" t="s">
        <v>187</v>
      </c>
      <c r="B63" s="8" t="s">
        <v>963</v>
      </c>
      <c r="C63" s="26">
        <v>1.5</v>
      </c>
      <c r="D63" s="8"/>
      <c r="E63" s="26">
        <v>2.2000000000000002</v>
      </c>
      <c r="F63" s="8"/>
      <c r="G63" s="26">
        <v>3.7000000000000002</v>
      </c>
      <c r="H63" s="8"/>
      <c r="I63" s="26">
        <v>3.8999999999999999</v>
      </c>
      <c r="J63" s="8"/>
      <c r="K63" s="26">
        <v>3.8999999999999999</v>
      </c>
      <c r="L63" s="8"/>
      <c r="M63" s="26">
        <v>4.2999999999999998</v>
      </c>
      <c r="N63" s="8"/>
      <c r="O63" s="26">
        <v>3.7000000000000002</v>
      </c>
      <c r="P63" s="8"/>
      <c r="Q63" s="26">
        <v>2.7000000000000002</v>
      </c>
      <c r="R63" s="8"/>
      <c r="S63" s="26">
        <v>2.2999999999999998</v>
      </c>
      <c r="T63" s="8"/>
      <c r="U63" s="26">
        <v>1.6000000000000001</v>
      </c>
      <c r="V63" s="8"/>
      <c r="W63" s="26">
        <v>1.3999999999999999</v>
      </c>
      <c r="X63" s="8"/>
      <c r="Y63" s="26">
        <v>0.90000000000000002</v>
      </c>
      <c r="Z63" s="8"/>
      <c r="AA63" s="26">
        <v>0.69999999999999996</v>
      </c>
      <c r="AB63" s="8"/>
      <c r="AC63" s="8"/>
    </row>
    <row r="64" ht="12" customHeight="1">
      <c r="A64" s="8" t="s">
        <v>189</v>
      </c>
      <c r="B64" s="8" t="s">
        <v>964</v>
      </c>
      <c r="C64" s="26">
        <v>-1.7</v>
      </c>
      <c r="D64" s="8"/>
      <c r="E64" s="26">
        <v>-0.69999999999999996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-2.2999999999999998</v>
      </c>
      <c r="R64" s="8"/>
      <c r="S64" s="26">
        <v>-0.80000000000000004</v>
      </c>
      <c r="T64" s="8"/>
      <c r="U64" s="26">
        <v>0</v>
      </c>
      <c r="V64" s="8"/>
      <c r="W64" s="26">
        <v>-0.69999999999999996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965</v>
      </c>
      <c r="C65" s="26">
        <v>-0.40000000000000002</v>
      </c>
      <c r="D65" s="8"/>
      <c r="E65" s="26">
        <v>1</v>
      </c>
      <c r="F65" s="8"/>
      <c r="G65" s="26">
        <v>0.20000000000000001</v>
      </c>
      <c r="H65" s="8"/>
      <c r="I65" s="26">
        <v>1.1000000000000001</v>
      </c>
      <c r="J65" s="8"/>
      <c r="K65" s="26">
        <v>0.69999999999999996</v>
      </c>
      <c r="L65" s="8"/>
      <c r="M65" s="26">
        <v>0.80000000000000004</v>
      </c>
      <c r="N65" s="8"/>
      <c r="O65" s="26">
        <v>1.8</v>
      </c>
      <c r="P65" s="8"/>
      <c r="Q65" s="26">
        <v>0.29999999999999999</v>
      </c>
      <c r="R65" s="8"/>
      <c r="S65" s="26">
        <v>0.10000000000000001</v>
      </c>
      <c r="T65" s="8"/>
      <c r="U65" s="26">
        <v>0.69999999999999996</v>
      </c>
      <c r="V65" s="8"/>
      <c r="W65" s="26">
        <v>1.2</v>
      </c>
      <c r="X65" s="8"/>
      <c r="Y65" s="26">
        <v>-0.59999999999999998</v>
      </c>
      <c r="Z65" s="8"/>
      <c r="AA65" s="26">
        <v>0.10000000000000001</v>
      </c>
      <c r="AB65" s="8"/>
      <c r="AC65" s="8"/>
    </row>
    <row r="66" ht="12" customHeight="1">
      <c r="A66" s="11" t="s">
        <v>193</v>
      </c>
      <c r="B66" s="8" t="s">
        <v>966</v>
      </c>
      <c r="C66" s="26">
        <v>6.4000000000000004</v>
      </c>
      <c r="D66" s="8"/>
      <c r="E66" s="26">
        <v>6.7999999999999998</v>
      </c>
      <c r="F66" s="8"/>
      <c r="G66" s="26">
        <v>3.2000000000000002</v>
      </c>
      <c r="H66" s="8"/>
      <c r="I66" s="26">
        <v>8.3000000000000007</v>
      </c>
      <c r="J66" s="8"/>
      <c r="K66" s="26">
        <v>9.8000000000000007</v>
      </c>
      <c r="L66" s="8"/>
      <c r="M66" s="26">
        <v>4.5</v>
      </c>
      <c r="N66" s="8"/>
      <c r="O66" s="26">
        <v>2.1000000000000001</v>
      </c>
      <c r="P66" s="8"/>
      <c r="Q66" s="26">
        <v>1</v>
      </c>
      <c r="R66" s="8"/>
      <c r="S66" s="26">
        <v>-0.69999999999999996</v>
      </c>
      <c r="T66" s="8"/>
      <c r="U66" s="26">
        <v>-1.8999999999999999</v>
      </c>
      <c r="V66" s="8"/>
      <c r="W66" s="26">
        <v>-6.2000000000000002</v>
      </c>
      <c r="X66" s="8"/>
      <c r="Y66" s="26">
        <v>-6.2000000000000002</v>
      </c>
      <c r="Z66" s="8"/>
      <c r="AA66" s="26">
        <v>-4</v>
      </c>
      <c r="AB66" s="8"/>
      <c r="AC66" s="8"/>
    </row>
    <row r="67" ht="12" customHeight="1">
      <c r="A67" s="8" t="s">
        <v>195</v>
      </c>
      <c r="B67" s="8" t="s">
        <v>967</v>
      </c>
      <c r="C67" s="26">
        <v>6.4000000000000004</v>
      </c>
      <c r="D67" s="8"/>
      <c r="E67" s="26">
        <v>6.7999999999999998</v>
      </c>
      <c r="F67" s="8"/>
      <c r="G67" s="26">
        <v>3.2000000000000002</v>
      </c>
      <c r="H67" s="8"/>
      <c r="I67" s="26">
        <v>8.3000000000000007</v>
      </c>
      <c r="J67" s="8"/>
      <c r="K67" s="26">
        <v>9.8000000000000007</v>
      </c>
      <c r="L67" s="8"/>
      <c r="M67" s="26">
        <v>4.5</v>
      </c>
      <c r="N67" s="8"/>
      <c r="O67" s="26">
        <v>2.1000000000000001</v>
      </c>
      <c r="P67" s="8"/>
      <c r="Q67" s="26">
        <v>1</v>
      </c>
      <c r="R67" s="8"/>
      <c r="S67" s="26">
        <v>-0.69999999999999996</v>
      </c>
      <c r="T67" s="8"/>
      <c r="U67" s="26">
        <v>-1.8999999999999999</v>
      </c>
      <c r="V67" s="8"/>
      <c r="W67" s="26">
        <v>-6.2000000000000002</v>
      </c>
      <c r="X67" s="8"/>
      <c r="Y67" s="26">
        <v>-6.2000000000000002</v>
      </c>
      <c r="Z67" s="8"/>
      <c r="AA67" s="26">
        <v>-4</v>
      </c>
      <c r="AB67" s="8"/>
      <c r="AC67" s="8"/>
    </row>
    <row r="68" ht="12" customHeight="1">
      <c r="A68" s="13" t="s">
        <v>69</v>
      </c>
      <c r="B68" s="10" t="s">
        <v>64</v>
      </c>
      <c r="C68" s="27">
        <v>1.7</v>
      </c>
      <c r="D68" s="10"/>
      <c r="E68" s="27">
        <v>1.7</v>
      </c>
      <c r="F68" s="10"/>
      <c r="G68" s="27">
        <v>1.3999999999999999</v>
      </c>
      <c r="H68" s="10"/>
      <c r="I68" s="27">
        <v>2.5</v>
      </c>
      <c r="J68" s="10"/>
      <c r="K68" s="27">
        <v>1.2</v>
      </c>
      <c r="L68" s="10"/>
      <c r="M68" s="27">
        <v>0.90000000000000002</v>
      </c>
      <c r="N68" s="10"/>
      <c r="O68" s="27">
        <v>0.59999999999999998</v>
      </c>
      <c r="P68" s="10"/>
      <c r="Q68" s="27">
        <v>0.69999999999999996</v>
      </c>
      <c r="R68" s="10"/>
      <c r="S68" s="27">
        <v>0.29999999999999999</v>
      </c>
      <c r="T68" s="10"/>
      <c r="U68" s="27">
        <v>0.80000000000000004</v>
      </c>
      <c r="V68" s="10"/>
      <c r="W68" s="27">
        <v>0.10000000000000001</v>
      </c>
      <c r="X68" s="10"/>
      <c r="Y68" s="27">
        <v>0.5</v>
      </c>
      <c r="Z68" s="10"/>
      <c r="AA68" s="27">
        <v>0.40000000000000002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969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907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908</v>
      </c>
      <c r="C8" s="22">
        <v>10.5</v>
      </c>
      <c r="D8" s="22"/>
      <c r="E8" s="22">
        <v>11.300000000000001</v>
      </c>
      <c r="F8" s="22"/>
      <c r="G8" s="22">
        <v>12.4</v>
      </c>
      <c r="H8" s="22"/>
      <c r="I8" s="22">
        <v>8.8000000000000007</v>
      </c>
      <c r="J8" s="22"/>
      <c r="K8" s="22">
        <v>5.9000000000000004</v>
      </c>
      <c r="L8" s="22"/>
      <c r="M8" s="22">
        <v>2.5</v>
      </c>
      <c r="N8" s="22"/>
      <c r="O8" s="22">
        <v>0.20000000000000001</v>
      </c>
      <c r="P8" s="22"/>
      <c r="Q8" s="22">
        <v>0.69999999999999996</v>
      </c>
      <c r="R8" s="22"/>
      <c r="S8" s="22">
        <v>1.1000000000000001</v>
      </c>
      <c r="T8" s="22"/>
      <c r="U8" s="22">
        <v>2.5</v>
      </c>
      <c r="V8" s="22"/>
      <c r="W8" s="22">
        <v>4</v>
      </c>
      <c r="X8" s="22"/>
      <c r="Y8" s="22">
        <v>4.4000000000000004</v>
      </c>
      <c r="Z8" s="22"/>
      <c r="AA8" s="22">
        <v>4.2999999999999998</v>
      </c>
      <c r="AB8" s="18"/>
      <c r="AC8" s="18"/>
    </row>
    <row r="9" ht="12" customHeight="1">
      <c r="A9" s="8" t="s">
        <v>79</v>
      </c>
      <c r="B9" s="8" t="s">
        <v>909</v>
      </c>
      <c r="C9" s="26">
        <v>19.5</v>
      </c>
      <c r="D9" s="8"/>
      <c r="E9" s="26">
        <v>20.199999999999999</v>
      </c>
      <c r="F9" s="8"/>
      <c r="G9" s="26">
        <v>21.100000000000001</v>
      </c>
      <c r="H9" s="8"/>
      <c r="I9" s="26">
        <v>4.2999999999999998</v>
      </c>
      <c r="J9" s="8"/>
      <c r="K9" s="26">
        <v>3.6000000000000001</v>
      </c>
      <c r="L9" s="8"/>
      <c r="M9" s="26">
        <v>-7.5</v>
      </c>
      <c r="N9" s="8"/>
      <c r="O9" s="26">
        <v>-13.6</v>
      </c>
      <c r="P9" s="8"/>
      <c r="Q9" s="26">
        <v>-9.5999999999999996</v>
      </c>
      <c r="R9" s="8"/>
      <c r="S9" s="26">
        <v>-8.5999999999999996</v>
      </c>
      <c r="T9" s="8"/>
      <c r="U9" s="26">
        <v>-5.0999999999999996</v>
      </c>
      <c r="V9" s="8"/>
      <c r="W9" s="26">
        <v>4.2999999999999998</v>
      </c>
      <c r="X9" s="8"/>
      <c r="Y9" s="26">
        <v>6.0999999999999996</v>
      </c>
      <c r="Z9" s="8"/>
      <c r="AA9" s="26">
        <v>3.8999999999999999</v>
      </c>
      <c r="AB9" s="8"/>
      <c r="AC9" s="8"/>
    </row>
    <row r="10" ht="12" customHeight="1">
      <c r="A10" s="8" t="s">
        <v>81</v>
      </c>
      <c r="B10" s="8" t="s">
        <v>910</v>
      </c>
      <c r="C10" s="26">
        <v>10.6</v>
      </c>
      <c r="D10" s="8"/>
      <c r="E10" s="26">
        <v>8.5</v>
      </c>
      <c r="F10" s="8"/>
      <c r="G10" s="26">
        <v>10.6</v>
      </c>
      <c r="H10" s="8"/>
      <c r="I10" s="26">
        <v>8.0999999999999996</v>
      </c>
      <c r="J10" s="8"/>
      <c r="K10" s="26">
        <v>2.6000000000000001</v>
      </c>
      <c r="L10" s="8"/>
      <c r="M10" s="26">
        <v>0.59999999999999998</v>
      </c>
      <c r="N10" s="8"/>
      <c r="O10" s="26">
        <v>-0.90000000000000002</v>
      </c>
      <c r="P10" s="8"/>
      <c r="Q10" s="26">
        <v>-0.10000000000000001</v>
      </c>
      <c r="R10" s="8"/>
      <c r="S10" s="26">
        <v>1.6000000000000001</v>
      </c>
      <c r="T10" s="8"/>
      <c r="U10" s="26">
        <v>3.6000000000000001</v>
      </c>
      <c r="V10" s="8"/>
      <c r="W10" s="26">
        <v>4.5999999999999996</v>
      </c>
      <c r="X10" s="8"/>
      <c r="Y10" s="26">
        <v>7.0999999999999996</v>
      </c>
      <c r="Z10" s="8"/>
      <c r="AA10" s="26">
        <v>7.2000000000000002</v>
      </c>
      <c r="AB10" s="8"/>
      <c r="AC10" s="8"/>
    </row>
    <row r="11" ht="12" customHeight="1">
      <c r="A11" s="8" t="s">
        <v>83</v>
      </c>
      <c r="B11" s="8" t="s">
        <v>911</v>
      </c>
      <c r="C11" s="26">
        <v>10.300000000000001</v>
      </c>
      <c r="D11" s="8"/>
      <c r="E11" s="26">
        <v>12.4</v>
      </c>
      <c r="F11" s="8"/>
      <c r="G11" s="26">
        <v>13.300000000000001</v>
      </c>
      <c r="H11" s="8"/>
      <c r="I11" s="26">
        <v>11.1</v>
      </c>
      <c r="J11" s="8"/>
      <c r="K11" s="26">
        <v>6.7999999999999998</v>
      </c>
      <c r="L11" s="8"/>
      <c r="M11" s="26">
        <v>3.5</v>
      </c>
      <c r="N11" s="8"/>
      <c r="O11" s="26">
        <v>1.7</v>
      </c>
      <c r="P11" s="8"/>
      <c r="Q11" s="26">
        <v>2.1000000000000001</v>
      </c>
      <c r="R11" s="8"/>
      <c r="S11" s="26">
        <v>2.2999999999999998</v>
      </c>
      <c r="T11" s="8"/>
      <c r="U11" s="26">
        <v>4</v>
      </c>
      <c r="V11" s="8"/>
      <c r="W11" s="26">
        <v>4.7000000000000002</v>
      </c>
      <c r="X11" s="8"/>
      <c r="Y11" s="26">
        <v>4.4000000000000004</v>
      </c>
      <c r="Z11" s="8"/>
      <c r="AA11" s="26">
        <v>4.5</v>
      </c>
      <c r="AB11" s="8"/>
      <c r="AC11" s="8"/>
    </row>
    <row r="12" ht="12" customHeight="1">
      <c r="A12" s="8" t="s">
        <v>85</v>
      </c>
      <c r="B12" s="8" t="s">
        <v>912</v>
      </c>
      <c r="C12" s="26">
        <v>8.3000000000000007</v>
      </c>
      <c r="D12" s="8"/>
      <c r="E12" s="26">
        <v>8.1999999999999993</v>
      </c>
      <c r="F12" s="8"/>
      <c r="G12" s="26">
        <v>10.300000000000001</v>
      </c>
      <c r="H12" s="8"/>
      <c r="I12" s="26">
        <v>9</v>
      </c>
      <c r="J12" s="8"/>
      <c r="K12" s="26">
        <v>5.7999999999999998</v>
      </c>
      <c r="L12" s="8"/>
      <c r="M12" s="26">
        <v>4.2999999999999998</v>
      </c>
      <c r="N12" s="8"/>
      <c r="O12" s="26">
        <v>3.7000000000000002</v>
      </c>
      <c r="P12" s="8"/>
      <c r="Q12" s="26">
        <v>3.8999999999999999</v>
      </c>
      <c r="R12" s="8"/>
      <c r="S12" s="26">
        <v>3.7000000000000002</v>
      </c>
      <c r="T12" s="8"/>
      <c r="U12" s="26">
        <v>5.4000000000000004</v>
      </c>
      <c r="V12" s="8"/>
      <c r="W12" s="26">
        <v>5.7999999999999998</v>
      </c>
      <c r="X12" s="8"/>
      <c r="Y12" s="26">
        <v>4.2000000000000002</v>
      </c>
      <c r="Z12" s="8"/>
      <c r="AA12" s="26">
        <v>5</v>
      </c>
      <c r="AB12" s="8"/>
      <c r="AC12" s="8"/>
    </row>
    <row r="13" ht="12" customHeight="1">
      <c r="A13" s="8" t="s">
        <v>87</v>
      </c>
      <c r="B13" s="8" t="s">
        <v>913</v>
      </c>
      <c r="C13" s="26">
        <v>7.7000000000000002</v>
      </c>
      <c r="D13" s="8"/>
      <c r="E13" s="26">
        <v>8.5</v>
      </c>
      <c r="F13" s="8"/>
      <c r="G13" s="26">
        <v>8.8000000000000007</v>
      </c>
      <c r="H13" s="8"/>
      <c r="I13" s="26">
        <v>8.8000000000000007</v>
      </c>
      <c r="J13" s="8"/>
      <c r="K13" s="26">
        <v>7.4000000000000004</v>
      </c>
      <c r="L13" s="8"/>
      <c r="M13" s="26">
        <v>6.5</v>
      </c>
      <c r="N13" s="8"/>
      <c r="O13" s="26">
        <v>4.9000000000000004</v>
      </c>
      <c r="P13" s="8"/>
      <c r="Q13" s="26">
        <v>3.6000000000000001</v>
      </c>
      <c r="R13" s="8"/>
      <c r="S13" s="26">
        <v>3.2000000000000002</v>
      </c>
      <c r="T13" s="8"/>
      <c r="U13" s="26">
        <v>2.5</v>
      </c>
      <c r="V13" s="8"/>
      <c r="W13" s="26">
        <v>2.1000000000000001</v>
      </c>
      <c r="X13" s="8"/>
      <c r="Y13" s="26">
        <v>2.3999999999999999</v>
      </c>
      <c r="Z13" s="8"/>
      <c r="AA13" s="26">
        <v>2.3999999999999999</v>
      </c>
      <c r="AB13" s="8"/>
      <c r="AC13" s="8"/>
    </row>
    <row r="14" ht="12" customHeight="1">
      <c r="A14" s="11" t="s">
        <v>89</v>
      </c>
      <c r="B14" s="8" t="s">
        <v>914</v>
      </c>
      <c r="C14" s="26">
        <v>5.9000000000000004</v>
      </c>
      <c r="D14" s="8"/>
      <c r="E14" s="26">
        <v>7.2999999999999998</v>
      </c>
      <c r="F14" s="8"/>
      <c r="G14" s="26">
        <v>7.5</v>
      </c>
      <c r="H14" s="8"/>
      <c r="I14" s="26">
        <v>7.0999999999999996</v>
      </c>
      <c r="J14" s="8"/>
      <c r="K14" s="26">
        <v>7.5999999999999996</v>
      </c>
      <c r="L14" s="8"/>
      <c r="M14" s="26">
        <v>6.7999999999999998</v>
      </c>
      <c r="N14" s="8"/>
      <c r="O14" s="26">
        <v>6.2999999999999998</v>
      </c>
      <c r="P14" s="8"/>
      <c r="Q14" s="26">
        <v>5.5999999999999996</v>
      </c>
      <c r="R14" s="8"/>
      <c r="S14" s="26">
        <v>4.5999999999999996</v>
      </c>
      <c r="T14" s="8"/>
      <c r="U14" s="26">
        <v>3.5</v>
      </c>
      <c r="V14" s="8"/>
      <c r="W14" s="26">
        <v>2.1000000000000001</v>
      </c>
      <c r="X14" s="8"/>
      <c r="Y14" s="26">
        <v>2.1000000000000001</v>
      </c>
      <c r="Z14" s="8"/>
      <c r="AA14" s="26">
        <v>1.8999999999999999</v>
      </c>
      <c r="AB14" s="8"/>
      <c r="AC14" s="8"/>
    </row>
    <row r="15" ht="12" customHeight="1">
      <c r="A15" s="8" t="s">
        <v>91</v>
      </c>
      <c r="B15" s="8" t="s">
        <v>915</v>
      </c>
      <c r="C15" s="26">
        <v>6.4000000000000004</v>
      </c>
      <c r="D15" s="8"/>
      <c r="E15" s="26">
        <v>6.7999999999999998</v>
      </c>
      <c r="F15" s="8"/>
      <c r="G15" s="26">
        <v>7.2000000000000002</v>
      </c>
      <c r="H15" s="8"/>
      <c r="I15" s="26">
        <v>6.2999999999999998</v>
      </c>
      <c r="J15" s="8"/>
      <c r="K15" s="26">
        <v>5.7000000000000002</v>
      </c>
      <c r="L15" s="8"/>
      <c r="M15" s="26">
        <v>4.9000000000000004</v>
      </c>
      <c r="N15" s="8"/>
      <c r="O15" s="26">
        <v>4.2999999999999998</v>
      </c>
      <c r="P15" s="8"/>
      <c r="Q15" s="26">
        <v>3.2000000000000002</v>
      </c>
      <c r="R15" s="8"/>
      <c r="S15" s="26">
        <v>3</v>
      </c>
      <c r="T15" s="8"/>
      <c r="U15" s="26">
        <v>2.8999999999999999</v>
      </c>
      <c r="V15" s="8"/>
      <c r="W15" s="26">
        <v>0.80000000000000004</v>
      </c>
      <c r="X15" s="8"/>
      <c r="Y15" s="26">
        <v>1</v>
      </c>
      <c r="Z15" s="8"/>
      <c r="AA15" s="26">
        <v>0.29999999999999999</v>
      </c>
      <c r="AB15" s="8"/>
      <c r="AC15" s="8"/>
    </row>
    <row r="16" ht="12" customHeight="1">
      <c r="A16" s="8" t="s">
        <v>93</v>
      </c>
      <c r="B16" s="8" t="s">
        <v>916</v>
      </c>
      <c r="C16" s="26">
        <v>5</v>
      </c>
      <c r="D16" s="8"/>
      <c r="E16" s="26">
        <v>8.3000000000000007</v>
      </c>
      <c r="F16" s="8"/>
      <c r="G16" s="26">
        <v>8.3000000000000007</v>
      </c>
      <c r="H16" s="8"/>
      <c r="I16" s="26">
        <v>8.9000000000000004</v>
      </c>
      <c r="J16" s="8"/>
      <c r="K16" s="26">
        <v>11.300000000000001</v>
      </c>
      <c r="L16" s="8"/>
      <c r="M16" s="26">
        <v>10.199999999999999</v>
      </c>
      <c r="N16" s="8"/>
      <c r="O16" s="26">
        <v>10.1</v>
      </c>
      <c r="P16" s="8"/>
      <c r="Q16" s="26">
        <v>9.9000000000000004</v>
      </c>
      <c r="R16" s="8"/>
      <c r="S16" s="26">
        <v>7.5999999999999996</v>
      </c>
      <c r="T16" s="8"/>
      <c r="U16" s="26">
        <v>5</v>
      </c>
      <c r="V16" s="8"/>
      <c r="W16" s="26">
        <v>5.2999999999999998</v>
      </c>
      <c r="X16" s="8"/>
      <c r="Y16" s="26">
        <v>4.7999999999999998</v>
      </c>
      <c r="Z16" s="8"/>
      <c r="AA16" s="26">
        <v>5.7000000000000002</v>
      </c>
      <c r="AB16" s="8"/>
      <c r="AC16" s="8"/>
    </row>
    <row r="17" ht="12" customHeight="1">
      <c r="A17" s="11" t="s">
        <v>95</v>
      </c>
      <c r="B17" s="8" t="s">
        <v>917</v>
      </c>
      <c r="C17" s="26">
        <v>2.2999999999999998</v>
      </c>
      <c r="D17" s="8"/>
      <c r="E17" s="26">
        <v>3</v>
      </c>
      <c r="F17" s="8"/>
      <c r="G17" s="26">
        <v>5</v>
      </c>
      <c r="H17" s="8"/>
      <c r="I17" s="26">
        <v>3.8999999999999999</v>
      </c>
      <c r="J17" s="8"/>
      <c r="K17" s="26">
        <v>3.3999999999999999</v>
      </c>
      <c r="L17" s="8"/>
      <c r="M17" s="26">
        <v>3.7999999999999998</v>
      </c>
      <c r="N17" s="8"/>
      <c r="O17" s="26">
        <v>1.5</v>
      </c>
      <c r="P17" s="8"/>
      <c r="Q17" s="26">
        <v>1.1000000000000001</v>
      </c>
      <c r="R17" s="8"/>
      <c r="S17" s="26">
        <v>-0.59999999999999998</v>
      </c>
      <c r="T17" s="8"/>
      <c r="U17" s="26">
        <v>-0.59999999999999998</v>
      </c>
      <c r="V17" s="8"/>
      <c r="W17" s="26">
        <v>-0.90000000000000002</v>
      </c>
      <c r="X17" s="8"/>
      <c r="Y17" s="26">
        <v>0</v>
      </c>
      <c r="Z17" s="8"/>
      <c r="AA17" s="26">
        <v>1.8999999999999999</v>
      </c>
      <c r="AB17" s="8"/>
      <c r="AC17" s="8"/>
    </row>
    <row r="18" ht="12" customHeight="1">
      <c r="A18" s="8" t="s">
        <v>97</v>
      </c>
      <c r="B18" s="8" t="s">
        <v>918</v>
      </c>
      <c r="C18" s="26">
        <v>2.2000000000000002</v>
      </c>
      <c r="D18" s="8"/>
      <c r="E18" s="26">
        <v>2.6000000000000001</v>
      </c>
      <c r="F18" s="8"/>
      <c r="G18" s="26">
        <v>5.2999999999999998</v>
      </c>
      <c r="H18" s="8"/>
      <c r="I18" s="26">
        <v>4.2999999999999998</v>
      </c>
      <c r="J18" s="8"/>
      <c r="K18" s="26">
        <v>3.7999999999999998</v>
      </c>
      <c r="L18" s="8"/>
      <c r="M18" s="26">
        <v>4.4000000000000004</v>
      </c>
      <c r="N18" s="8"/>
      <c r="O18" s="26">
        <v>1.5</v>
      </c>
      <c r="P18" s="8"/>
      <c r="Q18" s="26">
        <v>1.1000000000000001</v>
      </c>
      <c r="R18" s="8"/>
      <c r="S18" s="26">
        <v>-1.1000000000000001</v>
      </c>
      <c r="T18" s="8"/>
      <c r="U18" s="26">
        <v>-1.5</v>
      </c>
      <c r="V18" s="8"/>
      <c r="W18" s="26">
        <v>-1.1000000000000001</v>
      </c>
      <c r="X18" s="8"/>
      <c r="Y18" s="26">
        <v>-0.5</v>
      </c>
      <c r="Z18" s="8"/>
      <c r="AA18" s="26">
        <v>2</v>
      </c>
      <c r="AB18" s="8"/>
      <c r="AC18" s="8"/>
    </row>
    <row r="19" ht="12" customHeight="1">
      <c r="A19" s="8" t="s">
        <v>99</v>
      </c>
      <c r="B19" s="8" t="s">
        <v>919</v>
      </c>
      <c r="C19" s="26">
        <v>3.1000000000000001</v>
      </c>
      <c r="D19" s="8"/>
      <c r="E19" s="26">
        <v>4.9000000000000004</v>
      </c>
      <c r="F19" s="8"/>
      <c r="G19" s="26">
        <v>3.5</v>
      </c>
      <c r="H19" s="8"/>
      <c r="I19" s="26">
        <v>1.5</v>
      </c>
      <c r="J19" s="8"/>
      <c r="K19" s="26">
        <v>1.8</v>
      </c>
      <c r="L19" s="8"/>
      <c r="M19" s="26">
        <v>0.29999999999999999</v>
      </c>
      <c r="N19" s="8"/>
      <c r="O19" s="26">
        <v>1.1000000000000001</v>
      </c>
      <c r="P19" s="8"/>
      <c r="Q19" s="26">
        <v>1.6000000000000001</v>
      </c>
      <c r="R19" s="8"/>
      <c r="S19" s="26">
        <v>1.3</v>
      </c>
      <c r="T19" s="8"/>
      <c r="U19" s="26">
        <v>4.2999999999999998</v>
      </c>
      <c r="V19" s="8"/>
      <c r="W19" s="26">
        <v>-0.10000000000000001</v>
      </c>
      <c r="X19" s="8"/>
      <c r="Y19" s="26">
        <v>1.8999999999999999</v>
      </c>
      <c r="Z19" s="8"/>
      <c r="AA19" s="26">
        <v>1.6000000000000001</v>
      </c>
      <c r="AB19" s="8"/>
      <c r="AC19" s="8"/>
    </row>
    <row r="20" ht="12" customHeight="1">
      <c r="A20" s="11" t="s">
        <v>101</v>
      </c>
      <c r="B20" s="8" t="s">
        <v>920</v>
      </c>
      <c r="C20" s="26">
        <v>5</v>
      </c>
      <c r="D20" s="8"/>
      <c r="E20" s="26">
        <v>5.0999999999999996</v>
      </c>
      <c r="F20" s="8"/>
      <c r="G20" s="26">
        <v>5.0999999999999996</v>
      </c>
      <c r="H20" s="8"/>
      <c r="I20" s="26">
        <v>5.7000000000000002</v>
      </c>
      <c r="J20" s="8"/>
      <c r="K20" s="26">
        <v>5.7000000000000002</v>
      </c>
      <c r="L20" s="8"/>
      <c r="M20" s="26">
        <v>5.2999999999999998</v>
      </c>
      <c r="N20" s="8"/>
      <c r="O20" s="26">
        <v>5.2999999999999998</v>
      </c>
      <c r="P20" s="8"/>
      <c r="Q20" s="26">
        <v>6.0999999999999996</v>
      </c>
      <c r="R20" s="8"/>
      <c r="S20" s="26">
        <v>5.7999999999999998</v>
      </c>
      <c r="T20" s="8"/>
      <c r="U20" s="26">
        <v>5.9000000000000004</v>
      </c>
      <c r="V20" s="8"/>
      <c r="W20" s="26">
        <v>5.7999999999999998</v>
      </c>
      <c r="X20" s="8"/>
      <c r="Y20" s="26">
        <v>4.7000000000000002</v>
      </c>
      <c r="Z20" s="8"/>
      <c r="AA20" s="26">
        <v>4.5999999999999996</v>
      </c>
      <c r="AB20" s="8"/>
      <c r="AC20" s="8"/>
    </row>
    <row r="21" ht="12" customHeight="1">
      <c r="A21" s="8" t="s">
        <v>103</v>
      </c>
      <c r="B21" s="8" t="s">
        <v>921</v>
      </c>
      <c r="C21" s="26">
        <v>4.7000000000000002</v>
      </c>
      <c r="D21" s="8"/>
      <c r="E21" s="26">
        <v>4.7000000000000002</v>
      </c>
      <c r="F21" s="8"/>
      <c r="G21" s="26">
        <v>4.5999999999999996</v>
      </c>
      <c r="H21" s="8"/>
      <c r="I21" s="26">
        <v>4.7999999999999998</v>
      </c>
      <c r="J21" s="8"/>
      <c r="K21" s="26">
        <v>4.9000000000000004</v>
      </c>
      <c r="L21" s="8"/>
      <c r="M21" s="26">
        <v>4.9000000000000004</v>
      </c>
      <c r="N21" s="8"/>
      <c r="O21" s="26">
        <v>4.9000000000000004</v>
      </c>
      <c r="P21" s="8"/>
      <c r="Q21" s="26">
        <v>4.5999999999999996</v>
      </c>
      <c r="R21" s="8"/>
      <c r="S21" s="26">
        <v>4.2000000000000002</v>
      </c>
      <c r="T21" s="8"/>
      <c r="U21" s="26">
        <v>3.7000000000000002</v>
      </c>
      <c r="V21" s="8"/>
      <c r="W21" s="26">
        <v>3.2999999999999998</v>
      </c>
      <c r="X21" s="8"/>
      <c r="Y21" s="26">
        <v>2.7000000000000002</v>
      </c>
      <c r="Z21" s="8"/>
      <c r="AA21" s="26">
        <v>2</v>
      </c>
      <c r="AB21" s="8"/>
      <c r="AC21" s="8"/>
    </row>
    <row r="22" ht="12" customHeight="1">
      <c r="A22" s="8" t="s">
        <v>105</v>
      </c>
      <c r="B22" s="8" t="s">
        <v>922</v>
      </c>
      <c r="C22" s="26">
        <v>4.7000000000000002</v>
      </c>
      <c r="D22" s="8"/>
      <c r="E22" s="26">
        <v>4.7000000000000002</v>
      </c>
      <c r="F22" s="8"/>
      <c r="G22" s="26">
        <v>4.5999999999999996</v>
      </c>
      <c r="H22" s="8"/>
      <c r="I22" s="26">
        <v>4.7999999999999998</v>
      </c>
      <c r="J22" s="8"/>
      <c r="K22" s="26">
        <v>4.9000000000000004</v>
      </c>
      <c r="L22" s="8"/>
      <c r="M22" s="26">
        <v>4.9000000000000004</v>
      </c>
      <c r="N22" s="8"/>
      <c r="O22" s="26">
        <v>4.9000000000000004</v>
      </c>
      <c r="P22" s="8"/>
      <c r="Q22" s="26">
        <v>4.5999999999999996</v>
      </c>
      <c r="R22" s="8"/>
      <c r="S22" s="26">
        <v>4.2000000000000002</v>
      </c>
      <c r="T22" s="8"/>
      <c r="U22" s="26">
        <v>3.7000000000000002</v>
      </c>
      <c r="V22" s="8"/>
      <c r="W22" s="26">
        <v>3.2999999999999998</v>
      </c>
      <c r="X22" s="8"/>
      <c r="Y22" s="26">
        <v>2.7000000000000002</v>
      </c>
      <c r="Z22" s="8"/>
      <c r="AA22" s="26">
        <v>2</v>
      </c>
      <c r="AB22" s="8"/>
      <c r="AC22" s="8"/>
    </row>
    <row r="23" ht="12" customHeight="1">
      <c r="A23" s="8" t="s">
        <v>107</v>
      </c>
      <c r="B23" s="8" t="s">
        <v>923</v>
      </c>
      <c r="C23" s="26">
        <v>6.7000000000000002</v>
      </c>
      <c r="D23" s="8"/>
      <c r="E23" s="26">
        <v>4.7999999999999998</v>
      </c>
      <c r="F23" s="8"/>
      <c r="G23" s="26">
        <v>4.5999999999999996</v>
      </c>
      <c r="H23" s="8"/>
      <c r="I23" s="26">
        <v>3.6000000000000001</v>
      </c>
      <c r="J23" s="8"/>
      <c r="K23" s="26">
        <v>2.6000000000000001</v>
      </c>
      <c r="L23" s="8"/>
      <c r="M23" s="26">
        <v>2.8999999999999999</v>
      </c>
      <c r="N23" s="8"/>
      <c r="O23" s="26">
        <v>2.5</v>
      </c>
      <c r="P23" s="8"/>
      <c r="Q23" s="26">
        <v>2.8999999999999999</v>
      </c>
      <c r="R23" s="8"/>
      <c r="S23" s="26">
        <v>2.3999999999999999</v>
      </c>
      <c r="T23" s="8"/>
      <c r="U23" s="26">
        <v>2.8999999999999999</v>
      </c>
      <c r="V23" s="8"/>
      <c r="W23" s="26">
        <v>1.6000000000000001</v>
      </c>
      <c r="X23" s="8"/>
      <c r="Y23" s="26">
        <v>1.1000000000000001</v>
      </c>
      <c r="Z23" s="8"/>
      <c r="AA23" s="26">
        <v>2.2999999999999998</v>
      </c>
      <c r="AB23" s="8"/>
      <c r="AC23" s="8"/>
    </row>
    <row r="24" ht="12" customHeight="1">
      <c r="A24" s="8" t="s">
        <v>109</v>
      </c>
      <c r="B24" s="8" t="s">
        <v>924</v>
      </c>
      <c r="C24" s="26">
        <v>7.0999999999999996</v>
      </c>
      <c r="D24" s="8"/>
      <c r="E24" s="26">
        <v>7.2000000000000002</v>
      </c>
      <c r="F24" s="8"/>
      <c r="G24" s="26">
        <v>7.2000000000000002</v>
      </c>
      <c r="H24" s="8"/>
      <c r="I24" s="26">
        <v>9.5999999999999996</v>
      </c>
      <c r="J24" s="8"/>
      <c r="K24" s="26">
        <v>9.5999999999999996</v>
      </c>
      <c r="L24" s="8"/>
      <c r="M24" s="26">
        <v>9.5999999999999996</v>
      </c>
      <c r="N24" s="8"/>
      <c r="O24" s="26">
        <v>9.5999999999999996</v>
      </c>
      <c r="P24" s="8"/>
      <c r="Q24" s="26">
        <v>11.800000000000001</v>
      </c>
      <c r="R24" s="8"/>
      <c r="S24" s="26">
        <v>11.9</v>
      </c>
      <c r="T24" s="8"/>
      <c r="U24" s="26">
        <v>11.9</v>
      </c>
      <c r="V24" s="8"/>
      <c r="W24" s="26">
        <v>11.800000000000001</v>
      </c>
      <c r="X24" s="8"/>
      <c r="Y24" s="26">
        <v>8.4000000000000004</v>
      </c>
      <c r="Z24" s="8"/>
      <c r="AA24" s="26">
        <v>8.1999999999999993</v>
      </c>
      <c r="AB24" s="8"/>
      <c r="AC24" s="8"/>
    </row>
    <row r="25" ht="12" customHeight="1">
      <c r="A25" s="8" t="s">
        <v>111</v>
      </c>
      <c r="B25" s="8" t="s">
        <v>925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12</v>
      </c>
      <c r="R25" s="8"/>
      <c r="S25" s="26">
        <v>12</v>
      </c>
      <c r="T25" s="8"/>
      <c r="U25" s="26">
        <v>12</v>
      </c>
      <c r="V25" s="8"/>
      <c r="W25" s="26">
        <v>12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926</v>
      </c>
      <c r="C26" s="26">
        <v>2.8999999999999999</v>
      </c>
      <c r="D26" s="8"/>
      <c r="E26" s="26">
        <v>4</v>
      </c>
      <c r="F26" s="8"/>
      <c r="G26" s="26">
        <v>4.9000000000000004</v>
      </c>
      <c r="H26" s="8"/>
      <c r="I26" s="26">
        <v>5.2000000000000002</v>
      </c>
      <c r="J26" s="8"/>
      <c r="K26" s="26">
        <v>5.7000000000000002</v>
      </c>
      <c r="L26" s="8"/>
      <c r="M26" s="26">
        <v>3.3999999999999999</v>
      </c>
      <c r="N26" s="8"/>
      <c r="O26" s="26">
        <v>3.5</v>
      </c>
      <c r="P26" s="8"/>
      <c r="Q26" s="26">
        <v>5.7000000000000002</v>
      </c>
      <c r="R26" s="8"/>
      <c r="S26" s="26">
        <v>4.5999999999999996</v>
      </c>
      <c r="T26" s="8"/>
      <c r="U26" s="26">
        <v>7</v>
      </c>
      <c r="V26" s="8"/>
      <c r="W26" s="26">
        <v>9</v>
      </c>
      <c r="X26" s="8"/>
      <c r="Y26" s="26">
        <v>11.300000000000001</v>
      </c>
      <c r="Z26" s="8"/>
      <c r="AA26" s="26">
        <v>12.300000000000001</v>
      </c>
      <c r="AB26" s="8"/>
      <c r="AC26" s="8"/>
    </row>
    <row r="27" ht="12" customHeight="1">
      <c r="A27" s="8" t="s">
        <v>115</v>
      </c>
      <c r="B27" s="8" t="s">
        <v>927</v>
      </c>
      <c r="C27" s="26">
        <v>2.5</v>
      </c>
      <c r="D27" s="8"/>
      <c r="E27" s="26">
        <v>3.3999999999999999</v>
      </c>
      <c r="F27" s="8"/>
      <c r="G27" s="26">
        <v>4.2000000000000002</v>
      </c>
      <c r="H27" s="8"/>
      <c r="I27" s="26">
        <v>4.2000000000000002</v>
      </c>
      <c r="J27" s="8"/>
      <c r="K27" s="26">
        <v>4.7999999999999998</v>
      </c>
      <c r="L27" s="8"/>
      <c r="M27" s="26">
        <v>2.7000000000000002</v>
      </c>
      <c r="N27" s="8"/>
      <c r="O27" s="26">
        <v>3.1000000000000001</v>
      </c>
      <c r="P27" s="8"/>
      <c r="Q27" s="26">
        <v>5.5999999999999996</v>
      </c>
      <c r="R27" s="8"/>
      <c r="S27" s="26">
        <v>4.4000000000000004</v>
      </c>
      <c r="T27" s="8"/>
      <c r="U27" s="26">
        <v>6.4000000000000004</v>
      </c>
      <c r="V27" s="8"/>
      <c r="W27" s="26">
        <v>8.5</v>
      </c>
      <c r="X27" s="8"/>
      <c r="Y27" s="26">
        <v>11.199999999999999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928</v>
      </c>
      <c r="C28" s="26">
        <v>8.0999999999999996</v>
      </c>
      <c r="D28" s="8"/>
      <c r="E28" s="26">
        <v>6.5</v>
      </c>
      <c r="F28" s="8"/>
      <c r="G28" s="26">
        <v>7.7000000000000002</v>
      </c>
      <c r="H28" s="8"/>
      <c r="I28" s="26">
        <v>4</v>
      </c>
      <c r="J28" s="8"/>
      <c r="K28" s="26">
        <v>1.2</v>
      </c>
      <c r="L28" s="8"/>
      <c r="M28" s="26">
        <v>0.80000000000000004</v>
      </c>
      <c r="N28" s="8"/>
      <c r="O28" s="26">
        <v>-2</v>
      </c>
      <c r="P28" s="8"/>
      <c r="Q28" s="26">
        <v>-0.29999999999999999</v>
      </c>
      <c r="R28" s="8"/>
      <c r="S28" s="26">
        <v>-1.5</v>
      </c>
      <c r="T28" s="8"/>
      <c r="U28" s="26">
        <v>-0.59999999999999998</v>
      </c>
      <c r="V28" s="8"/>
      <c r="W28" s="26">
        <v>-0.80000000000000004</v>
      </c>
      <c r="X28" s="8"/>
      <c r="Y28" s="26">
        <v>-1.8999999999999999</v>
      </c>
      <c r="Z28" s="8"/>
      <c r="AA28" s="26">
        <v>-0.69999999999999996</v>
      </c>
      <c r="AB28" s="8"/>
      <c r="AC28" s="8"/>
    </row>
    <row r="29" ht="12" customHeight="1">
      <c r="A29" s="8" t="s">
        <v>119</v>
      </c>
      <c r="B29" s="8" t="s">
        <v>929</v>
      </c>
      <c r="C29" s="26">
        <v>7.2999999999999998</v>
      </c>
      <c r="D29" s="8"/>
      <c r="E29" s="26">
        <v>7.0999999999999996</v>
      </c>
      <c r="F29" s="8"/>
      <c r="G29" s="26">
        <v>7.2000000000000002</v>
      </c>
      <c r="H29" s="8"/>
      <c r="I29" s="26">
        <v>3.3999999999999999</v>
      </c>
      <c r="J29" s="8"/>
      <c r="K29" s="26">
        <v>-3</v>
      </c>
      <c r="L29" s="8"/>
      <c r="M29" s="26">
        <v>-4.0999999999999996</v>
      </c>
      <c r="N29" s="8"/>
      <c r="O29" s="26">
        <v>-6.5999999999999996</v>
      </c>
      <c r="P29" s="8"/>
      <c r="Q29" s="26">
        <v>-2.1000000000000001</v>
      </c>
      <c r="R29" s="8"/>
      <c r="S29" s="26">
        <v>-1.6000000000000001</v>
      </c>
      <c r="T29" s="8"/>
      <c r="U29" s="26">
        <v>2</v>
      </c>
      <c r="V29" s="8"/>
      <c r="W29" s="26">
        <v>-0.40000000000000002</v>
      </c>
      <c r="X29" s="8"/>
      <c r="Y29" s="26">
        <v>-6.0999999999999996</v>
      </c>
      <c r="Z29" s="8"/>
      <c r="AA29" s="26">
        <v>-0.80000000000000004</v>
      </c>
      <c r="AB29" s="8"/>
      <c r="AC29" s="8"/>
    </row>
    <row r="30" ht="12" customHeight="1">
      <c r="A30" s="8" t="s">
        <v>121</v>
      </c>
      <c r="B30" s="8" t="s">
        <v>930</v>
      </c>
      <c r="C30" s="26">
        <v>3.2999999999999998</v>
      </c>
      <c r="D30" s="8"/>
      <c r="E30" s="26">
        <v>6.5999999999999996</v>
      </c>
      <c r="F30" s="8"/>
      <c r="G30" s="26">
        <v>2.2000000000000002</v>
      </c>
      <c r="H30" s="8"/>
      <c r="I30" s="26">
        <v>1.6000000000000001</v>
      </c>
      <c r="J30" s="8"/>
      <c r="K30" s="26">
        <v>5.7000000000000002</v>
      </c>
      <c r="L30" s="8"/>
      <c r="M30" s="26">
        <v>0.59999999999999998</v>
      </c>
      <c r="N30" s="8"/>
      <c r="O30" s="26">
        <v>9.1999999999999993</v>
      </c>
      <c r="P30" s="8"/>
      <c r="Q30" s="26">
        <v>8.5999999999999996</v>
      </c>
      <c r="R30" s="8"/>
      <c r="S30" s="26">
        <v>-5.5999999999999996</v>
      </c>
      <c r="T30" s="8"/>
      <c r="U30" s="26">
        <v>1.6000000000000001</v>
      </c>
      <c r="V30" s="8"/>
      <c r="W30" s="26">
        <v>-3.7000000000000002</v>
      </c>
      <c r="X30" s="8"/>
      <c r="Y30" s="26">
        <v>-0.40000000000000002</v>
      </c>
      <c r="Z30" s="8"/>
      <c r="AA30" s="26">
        <v>4.9000000000000004</v>
      </c>
      <c r="AB30" s="8"/>
      <c r="AC30" s="8"/>
    </row>
    <row r="31" ht="12" customHeight="1">
      <c r="A31" s="8" t="s">
        <v>123</v>
      </c>
      <c r="B31" s="8" t="s">
        <v>931</v>
      </c>
      <c r="C31" s="26">
        <v>3.5</v>
      </c>
      <c r="D31" s="8"/>
      <c r="E31" s="26">
        <v>0</v>
      </c>
      <c r="F31" s="8"/>
      <c r="G31" s="26">
        <v>3.2999999999999998</v>
      </c>
      <c r="H31" s="8"/>
      <c r="I31" s="26">
        <v>0.90000000000000002</v>
      </c>
      <c r="J31" s="8"/>
      <c r="K31" s="26">
        <v>-0.69999999999999996</v>
      </c>
      <c r="L31" s="8"/>
      <c r="M31" s="26">
        <v>-1.3999999999999999</v>
      </c>
      <c r="N31" s="8"/>
      <c r="O31" s="26">
        <v>-5.2999999999999998</v>
      </c>
      <c r="P31" s="8"/>
      <c r="Q31" s="26">
        <v>-4.2999999999999998</v>
      </c>
      <c r="R31" s="8"/>
      <c r="S31" s="26">
        <v>-2.2000000000000002</v>
      </c>
      <c r="T31" s="8"/>
      <c r="U31" s="26">
        <v>-1.8</v>
      </c>
      <c r="V31" s="8"/>
      <c r="W31" s="26">
        <v>-0.69999999999999996</v>
      </c>
      <c r="X31" s="8"/>
      <c r="Y31" s="26">
        <v>0.20000000000000001</v>
      </c>
      <c r="Z31" s="8"/>
      <c r="AA31" s="26">
        <v>-1.3999999999999999</v>
      </c>
      <c r="AB31" s="8"/>
      <c r="AC31" s="8"/>
    </row>
    <row r="32" ht="12" customHeight="1">
      <c r="A32" s="8" t="s">
        <v>125</v>
      </c>
      <c r="B32" s="8" t="s">
        <v>932</v>
      </c>
      <c r="C32" s="26">
        <v>11.5</v>
      </c>
      <c r="D32" s="8"/>
      <c r="E32" s="26">
        <v>7.2999999999999998</v>
      </c>
      <c r="F32" s="8"/>
      <c r="G32" s="26">
        <v>10.300000000000001</v>
      </c>
      <c r="H32" s="8"/>
      <c r="I32" s="26">
        <v>3.7999999999999998</v>
      </c>
      <c r="J32" s="8"/>
      <c r="K32" s="26">
        <v>3.8999999999999999</v>
      </c>
      <c r="L32" s="8"/>
      <c r="M32" s="26">
        <v>9.1999999999999993</v>
      </c>
      <c r="N32" s="8"/>
      <c r="O32" s="26">
        <v>4.2999999999999998</v>
      </c>
      <c r="P32" s="8"/>
      <c r="Q32" s="26">
        <v>4.4000000000000004</v>
      </c>
      <c r="R32" s="8"/>
      <c r="S32" s="26">
        <v>-2</v>
      </c>
      <c r="T32" s="8"/>
      <c r="U32" s="26">
        <v>-1.3999999999999999</v>
      </c>
      <c r="V32" s="8"/>
      <c r="W32" s="26">
        <v>-1.8</v>
      </c>
      <c r="X32" s="8"/>
      <c r="Y32" s="26">
        <v>-0.29999999999999999</v>
      </c>
      <c r="Z32" s="8"/>
      <c r="AA32" s="26">
        <v>-2.7999999999999998</v>
      </c>
      <c r="AB32" s="8"/>
      <c r="AC32" s="8"/>
    </row>
    <row r="33" ht="12" customHeight="1">
      <c r="A33" s="8" t="s">
        <v>127</v>
      </c>
      <c r="B33" s="8" t="s">
        <v>933</v>
      </c>
      <c r="C33" s="26">
        <v>10.199999999999999</v>
      </c>
      <c r="D33" s="8"/>
      <c r="E33" s="26">
        <v>8.6999999999999993</v>
      </c>
      <c r="F33" s="8"/>
      <c r="G33" s="26">
        <v>9.5999999999999996</v>
      </c>
      <c r="H33" s="8"/>
      <c r="I33" s="26">
        <v>7.0999999999999996</v>
      </c>
      <c r="J33" s="8"/>
      <c r="K33" s="26">
        <v>4.5</v>
      </c>
      <c r="L33" s="8"/>
      <c r="M33" s="26">
        <v>5.2999999999999998</v>
      </c>
      <c r="N33" s="8"/>
      <c r="O33" s="26">
        <v>-2.8999999999999999</v>
      </c>
      <c r="P33" s="8"/>
      <c r="Q33" s="26">
        <v>-3.5</v>
      </c>
      <c r="R33" s="8"/>
      <c r="S33" s="26">
        <v>-3.5</v>
      </c>
      <c r="T33" s="8"/>
      <c r="U33" s="26">
        <v>-5.4000000000000004</v>
      </c>
      <c r="V33" s="8"/>
      <c r="W33" s="26">
        <v>-1.5</v>
      </c>
      <c r="X33" s="8"/>
      <c r="Y33" s="26">
        <v>-0.90000000000000002</v>
      </c>
      <c r="Z33" s="8"/>
      <c r="AA33" s="26">
        <v>-2.8999999999999999</v>
      </c>
      <c r="AB33" s="8"/>
      <c r="AC33" s="8"/>
    </row>
    <row r="34" ht="12" customHeight="1">
      <c r="A34" s="8" t="s">
        <v>129</v>
      </c>
      <c r="B34" s="8" t="s">
        <v>934</v>
      </c>
      <c r="C34" s="26">
        <v>12.1</v>
      </c>
      <c r="D34" s="8"/>
      <c r="E34" s="26">
        <v>11</v>
      </c>
      <c r="F34" s="8"/>
      <c r="G34" s="26">
        <v>12.199999999999999</v>
      </c>
      <c r="H34" s="8"/>
      <c r="I34" s="26">
        <v>6.7999999999999998</v>
      </c>
      <c r="J34" s="8"/>
      <c r="K34" s="26">
        <v>3</v>
      </c>
      <c r="L34" s="8"/>
      <c r="M34" s="26">
        <v>1.5</v>
      </c>
      <c r="N34" s="8"/>
      <c r="O34" s="26">
        <v>-0.5</v>
      </c>
      <c r="P34" s="8"/>
      <c r="Q34" s="26">
        <v>1.8999999999999999</v>
      </c>
      <c r="R34" s="8"/>
      <c r="S34" s="26">
        <v>2</v>
      </c>
      <c r="T34" s="8"/>
      <c r="U34" s="26">
        <v>0.5</v>
      </c>
      <c r="V34" s="8"/>
      <c r="W34" s="26">
        <v>1.3</v>
      </c>
      <c r="X34" s="8"/>
      <c r="Y34" s="26">
        <v>-0.5</v>
      </c>
      <c r="Z34" s="8"/>
      <c r="AA34" s="26">
        <v>-0.20000000000000001</v>
      </c>
      <c r="AB34" s="8"/>
      <c r="AC34" s="8"/>
    </row>
    <row r="35" ht="12" customHeight="1">
      <c r="A35" s="11" t="s">
        <v>131</v>
      </c>
      <c r="B35" s="8" t="s">
        <v>935</v>
      </c>
      <c r="C35" s="26">
        <v>5.5</v>
      </c>
      <c r="D35" s="8"/>
      <c r="E35" s="26">
        <v>4.7999999999999998</v>
      </c>
      <c r="F35" s="8"/>
      <c r="G35" s="26">
        <v>5.2000000000000002</v>
      </c>
      <c r="H35" s="8"/>
      <c r="I35" s="26">
        <v>2.2000000000000002</v>
      </c>
      <c r="J35" s="8"/>
      <c r="K35" s="26">
        <v>2.1000000000000001</v>
      </c>
      <c r="L35" s="8"/>
      <c r="M35" s="26">
        <v>3.3999999999999999</v>
      </c>
      <c r="N35" s="8"/>
      <c r="O35" s="26">
        <v>2.2000000000000002</v>
      </c>
      <c r="P35" s="8"/>
      <c r="Q35" s="26">
        <v>7.5</v>
      </c>
      <c r="R35" s="8"/>
      <c r="S35" s="26">
        <v>5.2000000000000002</v>
      </c>
      <c r="T35" s="8"/>
      <c r="U35" s="26">
        <v>3.7000000000000002</v>
      </c>
      <c r="V35" s="8"/>
      <c r="W35" s="26">
        <v>3.5</v>
      </c>
      <c r="X35" s="8"/>
      <c r="Y35" s="26">
        <v>0</v>
      </c>
      <c r="Z35" s="8"/>
      <c r="AA35" s="26">
        <v>0.29999999999999999</v>
      </c>
      <c r="AB35" s="8"/>
      <c r="AC35" s="8"/>
    </row>
    <row r="36" ht="12" customHeight="1">
      <c r="A36" s="8" t="s">
        <v>133</v>
      </c>
      <c r="B36" s="8" t="s">
        <v>936</v>
      </c>
      <c r="C36" s="26">
        <v>6</v>
      </c>
      <c r="D36" s="8"/>
      <c r="E36" s="26">
        <v>3.8999999999999999</v>
      </c>
      <c r="F36" s="8"/>
      <c r="G36" s="26">
        <v>5.4000000000000004</v>
      </c>
      <c r="H36" s="8"/>
      <c r="I36" s="26">
        <v>-3</v>
      </c>
      <c r="J36" s="8"/>
      <c r="K36" s="26">
        <v>-4.2999999999999998</v>
      </c>
      <c r="L36" s="8"/>
      <c r="M36" s="26">
        <v>-5.2999999999999998</v>
      </c>
      <c r="N36" s="8"/>
      <c r="O36" s="26">
        <v>-6.0999999999999996</v>
      </c>
      <c r="P36" s="8"/>
      <c r="Q36" s="26">
        <v>9.8000000000000007</v>
      </c>
      <c r="R36" s="8"/>
      <c r="S36" s="26">
        <v>5.9000000000000004</v>
      </c>
      <c r="T36" s="8"/>
      <c r="U36" s="26">
        <v>6.7999999999999998</v>
      </c>
      <c r="V36" s="8"/>
      <c r="W36" s="26">
        <v>5.5</v>
      </c>
      <c r="X36" s="8"/>
      <c r="Y36" s="26">
        <v>-7.5999999999999996</v>
      </c>
      <c r="Z36" s="8"/>
      <c r="AA36" s="26">
        <v>-8</v>
      </c>
      <c r="AB36" s="8"/>
      <c r="AC36" s="8"/>
    </row>
    <row r="37" ht="12" customHeight="1">
      <c r="A37" s="8" t="s">
        <v>135</v>
      </c>
      <c r="B37" s="8" t="s">
        <v>937</v>
      </c>
      <c r="C37" s="26">
        <v>5.2000000000000002</v>
      </c>
      <c r="D37" s="8"/>
      <c r="E37" s="26">
        <v>5.0999999999999996</v>
      </c>
      <c r="F37" s="8"/>
      <c r="G37" s="26">
        <v>5</v>
      </c>
      <c r="H37" s="8"/>
      <c r="I37" s="26">
        <v>4.7999999999999998</v>
      </c>
      <c r="J37" s="8"/>
      <c r="K37" s="26">
        <v>5.5</v>
      </c>
      <c r="L37" s="8"/>
      <c r="M37" s="26">
        <v>8</v>
      </c>
      <c r="N37" s="8"/>
      <c r="O37" s="26">
        <v>6.7000000000000002</v>
      </c>
      <c r="P37" s="8"/>
      <c r="Q37" s="26">
        <v>6.2999999999999998</v>
      </c>
      <c r="R37" s="8"/>
      <c r="S37" s="26">
        <v>4.9000000000000004</v>
      </c>
      <c r="T37" s="8"/>
      <c r="U37" s="26">
        <v>2.2999999999999998</v>
      </c>
      <c r="V37" s="8"/>
      <c r="W37" s="26">
        <v>2.3999999999999999</v>
      </c>
      <c r="X37" s="8"/>
      <c r="Y37" s="26">
        <v>3.2999999999999998</v>
      </c>
      <c r="Z37" s="8"/>
      <c r="AA37" s="26">
        <v>3.3999999999999999</v>
      </c>
      <c r="AB37" s="8"/>
      <c r="AC37" s="8"/>
    </row>
    <row r="38" ht="12" customHeight="1">
      <c r="A38" s="8" t="s">
        <v>137</v>
      </c>
      <c r="B38" s="8" t="s">
        <v>938</v>
      </c>
      <c r="C38" s="26">
        <v>7.7000000000000002</v>
      </c>
      <c r="D38" s="8"/>
      <c r="E38" s="26">
        <v>9.5</v>
      </c>
      <c r="F38" s="8"/>
      <c r="G38" s="26">
        <v>7.5999999999999996</v>
      </c>
      <c r="H38" s="8"/>
      <c r="I38" s="26">
        <v>9.3000000000000007</v>
      </c>
      <c r="J38" s="8"/>
      <c r="K38" s="26">
        <v>12.800000000000001</v>
      </c>
      <c r="L38" s="8"/>
      <c r="M38" s="26">
        <v>13.6</v>
      </c>
      <c r="N38" s="8"/>
      <c r="O38" s="26">
        <v>11.4</v>
      </c>
      <c r="P38" s="8"/>
      <c r="Q38" s="26">
        <v>14.800000000000001</v>
      </c>
      <c r="R38" s="8"/>
      <c r="S38" s="26">
        <v>11.199999999999999</v>
      </c>
      <c r="T38" s="8"/>
      <c r="U38" s="26">
        <v>8.5999999999999996</v>
      </c>
      <c r="V38" s="8"/>
      <c r="W38" s="26">
        <v>8.6999999999999993</v>
      </c>
      <c r="X38" s="8"/>
      <c r="Y38" s="26">
        <v>3.3999999999999999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939</v>
      </c>
      <c r="C39" s="26">
        <v>7</v>
      </c>
      <c r="D39" s="8"/>
      <c r="E39" s="26">
        <v>1.6000000000000001</v>
      </c>
      <c r="F39" s="8"/>
      <c r="G39" s="26">
        <v>-2.1000000000000001</v>
      </c>
      <c r="H39" s="8"/>
      <c r="I39" s="26">
        <v>4.7999999999999998</v>
      </c>
      <c r="J39" s="8"/>
      <c r="K39" s="26">
        <v>4.5999999999999996</v>
      </c>
      <c r="L39" s="8"/>
      <c r="M39" s="26">
        <v>3.5</v>
      </c>
      <c r="N39" s="8"/>
      <c r="O39" s="26">
        <v>5</v>
      </c>
      <c r="P39" s="8"/>
      <c r="Q39" s="26">
        <v>-5</v>
      </c>
      <c r="R39" s="8"/>
      <c r="S39" s="26">
        <v>-3.6000000000000001</v>
      </c>
      <c r="T39" s="8"/>
      <c r="U39" s="26">
        <v>-0.5</v>
      </c>
      <c r="V39" s="8"/>
      <c r="W39" s="26">
        <v>-1.6000000000000001</v>
      </c>
      <c r="X39" s="8"/>
      <c r="Y39" s="26">
        <v>1.5</v>
      </c>
      <c r="Z39" s="8"/>
      <c r="AA39" s="26">
        <v>2.5</v>
      </c>
      <c r="AB39" s="8"/>
      <c r="AC39" s="8"/>
    </row>
    <row r="40" ht="12" customHeight="1">
      <c r="A40" s="8" t="s">
        <v>141</v>
      </c>
      <c r="B40" s="8" t="s">
        <v>940</v>
      </c>
      <c r="C40" s="26">
        <v>2.2999999999999998</v>
      </c>
      <c r="D40" s="8"/>
      <c r="E40" s="26">
        <v>0.5</v>
      </c>
      <c r="F40" s="8"/>
      <c r="G40" s="26">
        <v>1.8</v>
      </c>
      <c r="H40" s="8"/>
      <c r="I40" s="26">
        <v>4.9000000000000004</v>
      </c>
      <c r="J40" s="8"/>
      <c r="K40" s="26">
        <v>2.5</v>
      </c>
      <c r="L40" s="8"/>
      <c r="M40" s="26">
        <v>0.5</v>
      </c>
      <c r="N40" s="8"/>
      <c r="O40" s="26">
        <v>-3.7999999999999998</v>
      </c>
      <c r="P40" s="8"/>
      <c r="Q40" s="26">
        <v>-8.1999999999999993</v>
      </c>
      <c r="R40" s="8"/>
      <c r="S40" s="26">
        <v>-3.7999999999999998</v>
      </c>
      <c r="T40" s="8"/>
      <c r="U40" s="26">
        <v>-2.6000000000000001</v>
      </c>
      <c r="V40" s="8"/>
      <c r="W40" s="26">
        <v>1.5</v>
      </c>
      <c r="X40" s="8"/>
      <c r="Y40" s="26">
        <v>3.5</v>
      </c>
      <c r="Z40" s="8"/>
      <c r="AA40" s="26">
        <v>1.3</v>
      </c>
      <c r="AB40" s="8"/>
      <c r="AC40" s="8"/>
    </row>
    <row r="41" ht="12" customHeight="1">
      <c r="A41" s="8" t="s">
        <v>143</v>
      </c>
      <c r="B41" s="8" t="s">
        <v>941</v>
      </c>
      <c r="C41" s="26">
        <v>4.5</v>
      </c>
      <c r="D41" s="8"/>
      <c r="E41" s="26">
        <v>-3.7999999999999998</v>
      </c>
      <c r="F41" s="8"/>
      <c r="G41" s="26">
        <v>-9.6999999999999993</v>
      </c>
      <c r="H41" s="8"/>
      <c r="I41" s="26">
        <v>3.7000000000000002</v>
      </c>
      <c r="J41" s="8"/>
      <c r="K41" s="26">
        <v>9.0999999999999996</v>
      </c>
      <c r="L41" s="8"/>
      <c r="M41" s="26">
        <v>9.6999999999999993</v>
      </c>
      <c r="N41" s="8"/>
      <c r="O41" s="26">
        <v>13.1</v>
      </c>
      <c r="P41" s="8"/>
      <c r="Q41" s="26">
        <v>-3.1000000000000001</v>
      </c>
      <c r="R41" s="8"/>
      <c r="S41" s="26">
        <v>-4.5999999999999996</v>
      </c>
      <c r="T41" s="8"/>
      <c r="U41" s="26">
        <v>-0.20000000000000001</v>
      </c>
      <c r="V41" s="8"/>
      <c r="W41" s="26">
        <v>-3.7999999999999998</v>
      </c>
      <c r="X41" s="8"/>
      <c r="Y41" s="26">
        <v>0.80000000000000004</v>
      </c>
      <c r="Z41" s="8"/>
      <c r="AA41" s="26">
        <v>3.5</v>
      </c>
      <c r="AB41" s="8"/>
      <c r="AC41" s="8"/>
    </row>
    <row r="42" ht="12" customHeight="1">
      <c r="A42" s="8" t="s">
        <v>145</v>
      </c>
      <c r="B42" s="8" t="s">
        <v>942</v>
      </c>
      <c r="C42" s="26">
        <v>2.2000000000000002</v>
      </c>
      <c r="D42" s="8"/>
      <c r="E42" s="26">
        <v>-8.3000000000000007</v>
      </c>
      <c r="F42" s="8"/>
      <c r="G42" s="26">
        <v>-15</v>
      </c>
      <c r="H42" s="8"/>
      <c r="I42" s="26">
        <v>3.7000000000000002</v>
      </c>
      <c r="J42" s="8"/>
      <c r="K42" s="26">
        <v>11.9</v>
      </c>
      <c r="L42" s="8"/>
      <c r="M42" s="26">
        <v>12.199999999999999</v>
      </c>
      <c r="N42" s="8"/>
      <c r="O42" s="26">
        <v>14.800000000000001</v>
      </c>
      <c r="P42" s="8"/>
      <c r="Q42" s="26">
        <v>-7.9000000000000004</v>
      </c>
      <c r="R42" s="8"/>
      <c r="S42" s="26">
        <v>-9.4000000000000004</v>
      </c>
      <c r="T42" s="8"/>
      <c r="U42" s="26">
        <v>-3</v>
      </c>
      <c r="V42" s="8"/>
      <c r="W42" s="26">
        <v>-8.3000000000000007</v>
      </c>
      <c r="X42" s="8"/>
      <c r="Y42" s="26">
        <v>-1.7</v>
      </c>
      <c r="Z42" s="8"/>
      <c r="AA42" s="26">
        <v>2.2000000000000002</v>
      </c>
      <c r="AB42" s="8"/>
      <c r="AC42" s="8"/>
    </row>
    <row r="43" ht="12" customHeight="1">
      <c r="A43" s="8" t="s">
        <v>147</v>
      </c>
      <c r="B43" s="8" t="s">
        <v>943</v>
      </c>
      <c r="C43" s="26">
        <v>9.5999999999999996</v>
      </c>
      <c r="D43" s="8"/>
      <c r="E43" s="26">
        <v>15.5</v>
      </c>
      <c r="F43" s="8"/>
      <c r="G43" s="26">
        <v>21.800000000000001</v>
      </c>
      <c r="H43" s="8"/>
      <c r="I43" s="26">
        <v>8.5999999999999996</v>
      </c>
      <c r="J43" s="8"/>
      <c r="K43" s="26">
        <v>-5.2999999999999998</v>
      </c>
      <c r="L43" s="8"/>
      <c r="M43" s="26">
        <v>-9.4000000000000004</v>
      </c>
      <c r="N43" s="8"/>
      <c r="O43" s="26">
        <v>-4.9000000000000004</v>
      </c>
      <c r="P43" s="8"/>
      <c r="Q43" s="26">
        <v>-5.5999999999999996</v>
      </c>
      <c r="R43" s="8"/>
      <c r="S43" s="26">
        <v>0.10000000000000001</v>
      </c>
      <c r="T43" s="8"/>
      <c r="U43" s="26">
        <v>2.2999999999999998</v>
      </c>
      <c r="V43" s="8"/>
      <c r="W43" s="26">
        <v>2.3999999999999999</v>
      </c>
      <c r="X43" s="8"/>
      <c r="Y43" s="26">
        <v>1.8</v>
      </c>
      <c r="Z43" s="8"/>
      <c r="AA43" s="26">
        <v>1.3</v>
      </c>
      <c r="AB43" s="8"/>
      <c r="AC43" s="8"/>
    </row>
    <row r="44" ht="12" customHeight="1">
      <c r="A44" s="11" t="s">
        <v>149</v>
      </c>
      <c r="B44" s="8" t="s">
        <v>944</v>
      </c>
      <c r="C44" s="26">
        <v>1.8</v>
      </c>
      <c r="D44" s="8"/>
      <c r="E44" s="26">
        <v>1.5</v>
      </c>
      <c r="F44" s="8"/>
      <c r="G44" s="26">
        <v>3.3999999999999999</v>
      </c>
      <c r="H44" s="8"/>
      <c r="I44" s="26">
        <v>2.7000000000000002</v>
      </c>
      <c r="J44" s="8"/>
      <c r="K44" s="26">
        <v>4.0999999999999996</v>
      </c>
      <c r="L44" s="8"/>
      <c r="M44" s="26">
        <v>4.2000000000000002</v>
      </c>
      <c r="N44" s="8"/>
      <c r="O44" s="26">
        <v>3.8999999999999999</v>
      </c>
      <c r="P44" s="8"/>
      <c r="Q44" s="26">
        <v>3.7000000000000002</v>
      </c>
      <c r="R44" s="8"/>
      <c r="S44" s="26">
        <v>4.0999999999999996</v>
      </c>
      <c r="T44" s="8"/>
      <c r="U44" s="26">
        <v>4</v>
      </c>
      <c r="V44" s="8"/>
      <c r="W44" s="26">
        <v>3.1000000000000001</v>
      </c>
      <c r="X44" s="8"/>
      <c r="Y44" s="26">
        <v>2.2999999999999998</v>
      </c>
      <c r="Z44" s="8"/>
      <c r="AA44" s="26">
        <v>4.5999999999999996</v>
      </c>
      <c r="AB44" s="8"/>
      <c r="AC44" s="8"/>
    </row>
    <row r="45" ht="12" customHeight="1">
      <c r="A45" s="8" t="s">
        <v>151</v>
      </c>
      <c r="B45" s="8" t="s">
        <v>945</v>
      </c>
      <c r="C45" s="26">
        <v>11.1</v>
      </c>
      <c r="D45" s="8"/>
      <c r="E45" s="26">
        <v>10.9</v>
      </c>
      <c r="F45" s="8"/>
      <c r="G45" s="26">
        <v>8.5</v>
      </c>
      <c r="H45" s="8"/>
      <c r="I45" s="26">
        <v>8</v>
      </c>
      <c r="J45" s="8"/>
      <c r="K45" s="26">
        <v>8.3000000000000007</v>
      </c>
      <c r="L45" s="8"/>
      <c r="M45" s="26">
        <v>6.4000000000000004</v>
      </c>
      <c r="N45" s="8"/>
      <c r="O45" s="26">
        <v>7</v>
      </c>
      <c r="P45" s="8"/>
      <c r="Q45" s="26">
        <v>2.3999999999999999</v>
      </c>
      <c r="R45" s="8"/>
      <c r="S45" s="26">
        <v>1.5</v>
      </c>
      <c r="T45" s="8"/>
      <c r="U45" s="26">
        <v>2.3999999999999999</v>
      </c>
      <c r="V45" s="8"/>
      <c r="W45" s="26">
        <v>3.5</v>
      </c>
      <c r="X45" s="8"/>
      <c r="Y45" s="26">
        <v>8.3000000000000007</v>
      </c>
      <c r="Z45" s="8"/>
      <c r="AA45" s="26">
        <v>8.4000000000000004</v>
      </c>
      <c r="AB45" s="8"/>
      <c r="AC45" s="8"/>
    </row>
    <row r="46" ht="12" customHeight="1">
      <c r="A46" s="8" t="s">
        <v>153</v>
      </c>
      <c r="B46" s="8" t="s">
        <v>946</v>
      </c>
      <c r="C46" s="26">
        <v>-15.300000000000001</v>
      </c>
      <c r="D46" s="8"/>
      <c r="E46" s="26">
        <v>-10.199999999999999</v>
      </c>
      <c r="F46" s="8"/>
      <c r="G46" s="26">
        <v>-24.899999999999999</v>
      </c>
      <c r="H46" s="8"/>
      <c r="I46" s="26">
        <v>-14.6</v>
      </c>
      <c r="J46" s="8"/>
      <c r="K46" s="26">
        <v>-0.69999999999999996</v>
      </c>
      <c r="L46" s="8"/>
      <c r="M46" s="26">
        <v>-5</v>
      </c>
      <c r="N46" s="8"/>
      <c r="O46" s="26">
        <v>14.199999999999999</v>
      </c>
      <c r="P46" s="8"/>
      <c r="Q46" s="26">
        <v>3.6000000000000001</v>
      </c>
      <c r="R46" s="8"/>
      <c r="S46" s="26">
        <v>-10.699999999999999</v>
      </c>
      <c r="T46" s="8"/>
      <c r="U46" s="26">
        <v>-13.1</v>
      </c>
      <c r="V46" s="8"/>
      <c r="W46" s="26">
        <v>-25.199999999999999</v>
      </c>
      <c r="X46" s="8"/>
      <c r="Y46" s="26">
        <v>-15.4</v>
      </c>
      <c r="Z46" s="8"/>
      <c r="AA46" s="26">
        <v>-5.7999999999999998</v>
      </c>
      <c r="AB46" s="8"/>
      <c r="AC46" s="8"/>
    </row>
    <row r="47" ht="12" customHeight="1">
      <c r="A47" s="8" t="s">
        <v>155</v>
      </c>
      <c r="B47" s="8" t="s">
        <v>947</v>
      </c>
      <c r="C47" s="26">
        <v>1.8</v>
      </c>
      <c r="D47" s="8"/>
      <c r="E47" s="26">
        <v>1.5</v>
      </c>
      <c r="F47" s="8"/>
      <c r="G47" s="26">
        <v>3.7999999999999998</v>
      </c>
      <c r="H47" s="8"/>
      <c r="I47" s="26">
        <v>2.7999999999999998</v>
      </c>
      <c r="J47" s="8"/>
      <c r="K47" s="26">
        <v>4</v>
      </c>
      <c r="L47" s="8"/>
      <c r="M47" s="26">
        <v>4.2999999999999998</v>
      </c>
      <c r="N47" s="8"/>
      <c r="O47" s="26">
        <v>3.6000000000000001</v>
      </c>
      <c r="P47" s="8"/>
      <c r="Q47" s="26">
        <v>3.7000000000000002</v>
      </c>
      <c r="R47" s="8"/>
      <c r="S47" s="26">
        <v>4.5999999999999996</v>
      </c>
      <c r="T47" s="8"/>
      <c r="U47" s="26">
        <v>5.7000000000000002</v>
      </c>
      <c r="V47" s="8"/>
      <c r="W47" s="26">
        <v>7</v>
      </c>
      <c r="X47" s="8"/>
      <c r="Y47" s="26">
        <v>6.2999999999999998</v>
      </c>
      <c r="Z47" s="8"/>
      <c r="AA47" s="26">
        <v>7.0999999999999996</v>
      </c>
      <c r="AB47" s="8"/>
      <c r="AC47" s="8"/>
    </row>
    <row r="48" ht="12" customHeight="1">
      <c r="A48" s="11" t="s">
        <v>157</v>
      </c>
      <c r="B48" s="8" t="s">
        <v>948</v>
      </c>
      <c r="C48" s="26">
        <v>5.0999999999999996</v>
      </c>
      <c r="D48" s="8"/>
      <c r="E48" s="26">
        <v>7</v>
      </c>
      <c r="F48" s="8"/>
      <c r="G48" s="26">
        <v>7</v>
      </c>
      <c r="H48" s="8"/>
      <c r="I48" s="26">
        <v>6.5</v>
      </c>
      <c r="J48" s="8"/>
      <c r="K48" s="26">
        <v>4.2000000000000002</v>
      </c>
      <c r="L48" s="8"/>
      <c r="M48" s="26">
        <v>5.2999999999999998</v>
      </c>
      <c r="N48" s="8"/>
      <c r="O48" s="26">
        <v>2.3999999999999999</v>
      </c>
      <c r="P48" s="8"/>
      <c r="Q48" s="26">
        <v>2</v>
      </c>
      <c r="R48" s="8"/>
      <c r="S48" s="26">
        <v>2.5</v>
      </c>
      <c r="T48" s="8"/>
      <c r="U48" s="26">
        <v>0.20000000000000001</v>
      </c>
      <c r="V48" s="8"/>
      <c r="W48" s="26">
        <v>2.8999999999999999</v>
      </c>
      <c r="X48" s="8"/>
      <c r="Y48" s="26">
        <v>3.1000000000000001</v>
      </c>
      <c r="Z48" s="8"/>
      <c r="AA48" s="26">
        <v>2.7999999999999998</v>
      </c>
      <c r="AB48" s="8"/>
      <c r="AC48" s="8"/>
    </row>
    <row r="49" ht="12" customHeight="1">
      <c r="A49" s="8" t="s">
        <v>159</v>
      </c>
      <c r="B49" s="8" t="s">
        <v>949</v>
      </c>
      <c r="C49" s="26">
        <v>-6.2000000000000002</v>
      </c>
      <c r="D49" s="8"/>
      <c r="E49" s="26">
        <v>-3.7999999999999998</v>
      </c>
      <c r="F49" s="8"/>
      <c r="G49" s="26">
        <v>-7.2000000000000002</v>
      </c>
      <c r="H49" s="8"/>
      <c r="I49" s="26">
        <v>-9.3000000000000007</v>
      </c>
      <c r="J49" s="8"/>
      <c r="K49" s="26">
        <v>-8.1999999999999993</v>
      </c>
      <c r="L49" s="8"/>
      <c r="M49" s="26">
        <v>-11.800000000000001</v>
      </c>
      <c r="N49" s="8"/>
      <c r="O49" s="26">
        <v>-6.9000000000000004</v>
      </c>
      <c r="P49" s="8"/>
      <c r="Q49" s="26">
        <v>-6.4000000000000004</v>
      </c>
      <c r="R49" s="8"/>
      <c r="S49" s="26">
        <v>-6.5</v>
      </c>
      <c r="T49" s="8"/>
      <c r="U49" s="26">
        <v>-5.2000000000000002</v>
      </c>
      <c r="V49" s="8"/>
      <c r="W49" s="26">
        <v>-9.6999999999999993</v>
      </c>
      <c r="X49" s="8"/>
      <c r="Y49" s="26">
        <v>-11.5</v>
      </c>
      <c r="Z49" s="8"/>
      <c r="AA49" s="26">
        <v>-10.1</v>
      </c>
      <c r="AB49" s="8"/>
      <c r="AC49" s="8"/>
    </row>
    <row r="50" ht="12" customHeight="1">
      <c r="A50" s="8" t="s">
        <v>161</v>
      </c>
      <c r="B50" s="8" t="s">
        <v>950</v>
      </c>
      <c r="C50" s="26">
        <v>7.7999999999999998</v>
      </c>
      <c r="D50" s="8"/>
      <c r="E50" s="26">
        <v>7.7000000000000002</v>
      </c>
      <c r="F50" s="8"/>
      <c r="G50" s="26">
        <v>2.7000000000000002</v>
      </c>
      <c r="H50" s="8"/>
      <c r="I50" s="26">
        <v>2.5</v>
      </c>
      <c r="J50" s="8"/>
      <c r="K50" s="26">
        <v>0.29999999999999999</v>
      </c>
      <c r="L50" s="8"/>
      <c r="M50" s="26">
        <v>1</v>
      </c>
      <c r="N50" s="8"/>
      <c r="O50" s="26">
        <v>2</v>
      </c>
      <c r="P50" s="8"/>
      <c r="Q50" s="26">
        <v>-0.5</v>
      </c>
      <c r="R50" s="8"/>
      <c r="S50" s="26">
        <v>0.29999999999999999</v>
      </c>
      <c r="T50" s="8"/>
      <c r="U50" s="26">
        <v>-0.40000000000000002</v>
      </c>
      <c r="V50" s="8"/>
      <c r="W50" s="26">
        <v>0.90000000000000002</v>
      </c>
      <c r="X50" s="8"/>
      <c r="Y50" s="26">
        <v>2.6000000000000001</v>
      </c>
      <c r="Z50" s="8"/>
      <c r="AA50" s="26">
        <v>3</v>
      </c>
      <c r="AB50" s="8"/>
      <c r="AC50" s="8"/>
    </row>
    <row r="51" ht="12" customHeight="1">
      <c r="A51" s="8" t="s">
        <v>163</v>
      </c>
      <c r="B51" s="8" t="s">
        <v>951</v>
      </c>
      <c r="C51" s="26">
        <v>6.2000000000000002</v>
      </c>
      <c r="D51" s="8"/>
      <c r="E51" s="26">
        <v>8.3000000000000007</v>
      </c>
      <c r="F51" s="8"/>
      <c r="G51" s="26">
        <v>9.0999999999999996</v>
      </c>
      <c r="H51" s="8"/>
      <c r="I51" s="26">
        <v>6.2999999999999998</v>
      </c>
      <c r="J51" s="8"/>
      <c r="K51" s="26">
        <v>3.2000000000000002</v>
      </c>
      <c r="L51" s="8"/>
      <c r="M51" s="26">
        <v>3.5</v>
      </c>
      <c r="N51" s="8"/>
      <c r="O51" s="26">
        <v>-2.6000000000000001</v>
      </c>
      <c r="P51" s="8"/>
      <c r="Q51" s="26">
        <v>0.5</v>
      </c>
      <c r="R51" s="8"/>
      <c r="S51" s="26">
        <v>2.2999999999999998</v>
      </c>
      <c r="T51" s="8"/>
      <c r="U51" s="26">
        <v>0</v>
      </c>
      <c r="V51" s="8"/>
      <c r="W51" s="26">
        <v>1</v>
      </c>
      <c r="X51" s="8"/>
      <c r="Y51" s="26">
        <v>-0.20000000000000001</v>
      </c>
      <c r="Z51" s="8"/>
      <c r="AA51" s="26">
        <v>-1.5</v>
      </c>
      <c r="AB51" s="8"/>
      <c r="AC51" s="8"/>
    </row>
    <row r="52" ht="12" customHeight="1">
      <c r="A52" s="8" t="s">
        <v>165</v>
      </c>
      <c r="B52" s="8" t="s">
        <v>952</v>
      </c>
      <c r="C52" s="26">
        <v>2.5</v>
      </c>
      <c r="D52" s="8"/>
      <c r="E52" s="26">
        <v>3.3999999999999999</v>
      </c>
      <c r="F52" s="8"/>
      <c r="G52" s="26">
        <v>4.7000000000000002</v>
      </c>
      <c r="H52" s="8"/>
      <c r="I52" s="26">
        <v>7.9000000000000004</v>
      </c>
      <c r="J52" s="8"/>
      <c r="K52" s="26">
        <v>6.5999999999999996</v>
      </c>
      <c r="L52" s="8"/>
      <c r="M52" s="26">
        <v>7.2999999999999998</v>
      </c>
      <c r="N52" s="8"/>
      <c r="O52" s="26">
        <v>7.7000000000000002</v>
      </c>
      <c r="P52" s="8"/>
      <c r="Q52" s="26">
        <v>6.7999999999999998</v>
      </c>
      <c r="R52" s="8"/>
      <c r="S52" s="26">
        <v>5.7999999999999998</v>
      </c>
      <c r="T52" s="8"/>
      <c r="U52" s="26">
        <v>4.2000000000000002</v>
      </c>
      <c r="V52" s="8"/>
      <c r="W52" s="26">
        <v>7.7000000000000002</v>
      </c>
      <c r="X52" s="8"/>
      <c r="Y52" s="26">
        <v>7.5</v>
      </c>
      <c r="Z52" s="8"/>
      <c r="AA52" s="26">
        <v>7</v>
      </c>
      <c r="AB52" s="8"/>
      <c r="AC52" s="8"/>
    </row>
    <row r="53" ht="12" customHeight="1">
      <c r="A53" s="8" t="s">
        <v>167</v>
      </c>
      <c r="B53" s="8" t="s">
        <v>953</v>
      </c>
      <c r="C53" s="26">
        <v>6.2999999999999998</v>
      </c>
      <c r="D53" s="8"/>
      <c r="E53" s="26">
        <v>9.5999999999999996</v>
      </c>
      <c r="F53" s="8"/>
      <c r="G53" s="26">
        <v>7.9000000000000004</v>
      </c>
      <c r="H53" s="8"/>
      <c r="I53" s="26">
        <v>10</v>
      </c>
      <c r="J53" s="8"/>
      <c r="K53" s="26">
        <v>6.9000000000000004</v>
      </c>
      <c r="L53" s="8"/>
      <c r="M53" s="26">
        <v>5.0999999999999996</v>
      </c>
      <c r="N53" s="8"/>
      <c r="O53" s="26">
        <v>4.2000000000000002</v>
      </c>
      <c r="P53" s="8"/>
      <c r="Q53" s="26">
        <v>2.2999999999999998</v>
      </c>
      <c r="R53" s="8"/>
      <c r="S53" s="26">
        <v>2.7000000000000002</v>
      </c>
      <c r="T53" s="8"/>
      <c r="U53" s="26">
        <v>1.8</v>
      </c>
      <c r="V53" s="8"/>
      <c r="W53" s="26">
        <v>0.90000000000000002</v>
      </c>
      <c r="X53" s="8"/>
      <c r="Y53" s="26">
        <v>2.7999999999999998</v>
      </c>
      <c r="Z53" s="8"/>
      <c r="AA53" s="26">
        <v>3.3999999999999999</v>
      </c>
      <c r="AB53" s="8"/>
      <c r="AC53" s="8"/>
    </row>
    <row r="54" ht="12" customHeight="1">
      <c r="A54" s="8" t="s">
        <v>169</v>
      </c>
      <c r="B54" s="8" t="s">
        <v>954</v>
      </c>
      <c r="C54" s="26">
        <v>14.9</v>
      </c>
      <c r="D54" s="8"/>
      <c r="E54" s="26">
        <v>15</v>
      </c>
      <c r="F54" s="8"/>
      <c r="G54" s="26">
        <v>14.6</v>
      </c>
      <c r="H54" s="8"/>
      <c r="I54" s="26">
        <v>9.1999999999999993</v>
      </c>
      <c r="J54" s="8"/>
      <c r="K54" s="26">
        <v>5.0999999999999996</v>
      </c>
      <c r="L54" s="8"/>
      <c r="M54" s="26">
        <v>9.0999999999999996</v>
      </c>
      <c r="N54" s="8"/>
      <c r="O54" s="26">
        <v>3</v>
      </c>
      <c r="P54" s="8"/>
      <c r="Q54" s="26">
        <v>-0.69999999999999996</v>
      </c>
      <c r="R54" s="8"/>
      <c r="S54" s="26">
        <v>0.90000000000000002</v>
      </c>
      <c r="T54" s="8"/>
      <c r="U54" s="26">
        <v>-3.2999999999999998</v>
      </c>
      <c r="V54" s="8"/>
      <c r="W54" s="26">
        <v>3.7000000000000002</v>
      </c>
      <c r="X54" s="8"/>
      <c r="Y54" s="26">
        <v>6.4000000000000004</v>
      </c>
      <c r="Z54" s="8"/>
      <c r="AA54" s="26">
        <v>6.7999999999999998</v>
      </c>
      <c r="AB54" s="8"/>
      <c r="AC54" s="8"/>
    </row>
    <row r="55" ht="12" customHeight="1">
      <c r="A55" s="11" t="s">
        <v>171</v>
      </c>
      <c r="B55" s="8" t="s">
        <v>955</v>
      </c>
      <c r="C55" s="26">
        <v>2.7999999999999998</v>
      </c>
      <c r="D55" s="8"/>
      <c r="E55" s="26">
        <v>4.0999999999999996</v>
      </c>
      <c r="F55" s="8"/>
      <c r="G55" s="26">
        <v>4.0999999999999996</v>
      </c>
      <c r="H55" s="8"/>
      <c r="I55" s="26">
        <v>4</v>
      </c>
      <c r="J55" s="8"/>
      <c r="K55" s="26">
        <v>4</v>
      </c>
      <c r="L55" s="8"/>
      <c r="M55" s="26">
        <v>5.0999999999999996</v>
      </c>
      <c r="N55" s="8"/>
      <c r="O55" s="26">
        <v>5.0999999999999996</v>
      </c>
      <c r="P55" s="8"/>
      <c r="Q55" s="26">
        <v>-4.7000000000000002</v>
      </c>
      <c r="R55" s="8"/>
      <c r="S55" s="26">
        <v>-4.7000000000000002</v>
      </c>
      <c r="T55" s="8"/>
      <c r="U55" s="26">
        <v>1.8999999999999999</v>
      </c>
      <c r="V55" s="8"/>
      <c r="W55" s="26">
        <v>1.8999999999999999</v>
      </c>
      <c r="X55" s="8"/>
      <c r="Y55" s="26">
        <v>11.6</v>
      </c>
      <c r="Z55" s="8"/>
      <c r="AA55" s="26">
        <v>11.6</v>
      </c>
      <c r="AB55" s="8"/>
      <c r="AC55" s="8"/>
    </row>
    <row r="56" ht="12" customHeight="1">
      <c r="A56" s="8" t="s">
        <v>173</v>
      </c>
      <c r="B56" s="8" t="s">
        <v>956</v>
      </c>
      <c r="C56" s="26">
        <v>4.0999999999999996</v>
      </c>
      <c r="D56" s="8"/>
      <c r="E56" s="26">
        <v>4.0999999999999996</v>
      </c>
      <c r="F56" s="8"/>
      <c r="G56" s="26">
        <v>4.0999999999999996</v>
      </c>
      <c r="H56" s="8"/>
      <c r="I56" s="26">
        <v>3.7000000000000002</v>
      </c>
      <c r="J56" s="8"/>
      <c r="K56" s="26">
        <v>3.7000000000000002</v>
      </c>
      <c r="L56" s="8"/>
      <c r="M56" s="26">
        <v>3.7000000000000002</v>
      </c>
      <c r="N56" s="8"/>
      <c r="O56" s="26">
        <v>3.7000000000000002</v>
      </c>
      <c r="P56" s="8"/>
      <c r="Q56" s="26">
        <v>-23.899999999999999</v>
      </c>
      <c r="R56" s="8"/>
      <c r="S56" s="26">
        <v>-23.899999999999999</v>
      </c>
      <c r="T56" s="8"/>
      <c r="U56" s="26">
        <v>-23.899999999999999</v>
      </c>
      <c r="V56" s="8"/>
      <c r="W56" s="26">
        <v>-23.899999999999999</v>
      </c>
      <c r="X56" s="8"/>
      <c r="Y56" s="26">
        <v>2.5</v>
      </c>
      <c r="Z56" s="8"/>
      <c r="AA56" s="26">
        <v>2.5</v>
      </c>
      <c r="AB56" s="8"/>
      <c r="AC56" s="8"/>
    </row>
    <row r="57" ht="12" customHeight="1">
      <c r="A57" s="8" t="s">
        <v>175</v>
      </c>
      <c r="B57" s="8" t="s">
        <v>957</v>
      </c>
      <c r="C57" s="26">
        <v>3.7000000000000002</v>
      </c>
      <c r="D57" s="8"/>
      <c r="E57" s="26">
        <v>3.3999999999999999</v>
      </c>
      <c r="F57" s="8"/>
      <c r="G57" s="26">
        <v>3.3999999999999999</v>
      </c>
      <c r="H57" s="8"/>
      <c r="I57" s="26">
        <v>3.3999999999999999</v>
      </c>
      <c r="J57" s="8"/>
      <c r="K57" s="26">
        <v>3.3999999999999999</v>
      </c>
      <c r="L57" s="8"/>
      <c r="M57" s="26">
        <v>5</v>
      </c>
      <c r="N57" s="8"/>
      <c r="O57" s="26">
        <v>5</v>
      </c>
      <c r="P57" s="8"/>
      <c r="Q57" s="26">
        <v>5</v>
      </c>
      <c r="R57" s="8"/>
      <c r="S57" s="26">
        <v>5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  <c r="AC57" s="8"/>
    </row>
    <row r="58" ht="12" customHeight="1">
      <c r="A58" s="8" t="s">
        <v>177</v>
      </c>
      <c r="B58" s="8" t="s">
        <v>958</v>
      </c>
      <c r="C58" s="26">
        <v>1.2</v>
      </c>
      <c r="D58" s="8"/>
      <c r="E58" s="26">
        <v>4.2999999999999998</v>
      </c>
      <c r="F58" s="8"/>
      <c r="G58" s="26">
        <v>4.2999999999999998</v>
      </c>
      <c r="H58" s="8"/>
      <c r="I58" s="26">
        <v>4.2999999999999998</v>
      </c>
      <c r="J58" s="8"/>
      <c r="K58" s="26">
        <v>4.2999999999999998</v>
      </c>
      <c r="L58" s="8"/>
      <c r="M58" s="26">
        <v>6.5</v>
      </c>
      <c r="N58" s="8"/>
      <c r="O58" s="26">
        <v>6.5</v>
      </c>
      <c r="P58" s="8"/>
      <c r="Q58" s="26">
        <v>6.5</v>
      </c>
      <c r="R58" s="8"/>
      <c r="S58" s="26">
        <v>6.5</v>
      </c>
      <c r="T58" s="8"/>
      <c r="U58" s="26">
        <v>22.699999999999999</v>
      </c>
      <c r="V58" s="8"/>
      <c r="W58" s="26">
        <v>22.699999999999999</v>
      </c>
      <c r="X58" s="8"/>
      <c r="Y58" s="26">
        <v>22.699999999999999</v>
      </c>
      <c r="Z58" s="8"/>
      <c r="AA58" s="26">
        <v>22.699999999999999</v>
      </c>
      <c r="AB58" s="8"/>
      <c r="AC58" s="8"/>
    </row>
    <row r="59" ht="12" customHeight="1">
      <c r="A59" s="8" t="s">
        <v>179</v>
      </c>
      <c r="B59" s="8" t="s">
        <v>959</v>
      </c>
      <c r="C59" s="26">
        <v>0.90000000000000002</v>
      </c>
      <c r="D59" s="8"/>
      <c r="E59" s="26">
        <v>5.7999999999999998</v>
      </c>
      <c r="F59" s="8"/>
      <c r="G59" s="26">
        <v>5.7999999999999998</v>
      </c>
      <c r="H59" s="8"/>
      <c r="I59" s="26">
        <v>5.7999999999999998</v>
      </c>
      <c r="J59" s="8"/>
      <c r="K59" s="26">
        <v>5.7999999999999998</v>
      </c>
      <c r="L59" s="8"/>
      <c r="M59" s="26">
        <v>3.7000000000000002</v>
      </c>
      <c r="N59" s="8"/>
      <c r="O59" s="26">
        <v>3.7000000000000002</v>
      </c>
      <c r="P59" s="8"/>
      <c r="Q59" s="26">
        <v>3.7000000000000002</v>
      </c>
      <c r="R59" s="8"/>
      <c r="S59" s="26">
        <v>3.7000000000000002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960</v>
      </c>
      <c r="C60" s="26">
        <v>4.4000000000000004</v>
      </c>
      <c r="D60" s="8"/>
      <c r="E60" s="26">
        <v>5</v>
      </c>
      <c r="F60" s="8"/>
      <c r="G60" s="26">
        <v>6.7000000000000002</v>
      </c>
      <c r="H60" s="8"/>
      <c r="I60" s="26">
        <v>8.1999999999999993</v>
      </c>
      <c r="J60" s="8"/>
      <c r="K60" s="26">
        <v>8.9000000000000004</v>
      </c>
      <c r="L60" s="8"/>
      <c r="M60" s="26">
        <v>9.9000000000000004</v>
      </c>
      <c r="N60" s="8"/>
      <c r="O60" s="26">
        <v>9.8000000000000007</v>
      </c>
      <c r="P60" s="8"/>
      <c r="Q60" s="26">
        <v>8.9000000000000004</v>
      </c>
      <c r="R60" s="8"/>
      <c r="S60" s="26">
        <v>8.0999999999999996</v>
      </c>
      <c r="T60" s="8"/>
      <c r="U60" s="26">
        <v>6.5999999999999996</v>
      </c>
      <c r="V60" s="8"/>
      <c r="W60" s="26">
        <v>5.4000000000000004</v>
      </c>
      <c r="X60" s="8"/>
      <c r="Y60" s="26">
        <v>4.7000000000000002</v>
      </c>
      <c r="Z60" s="8"/>
      <c r="AA60" s="26">
        <v>3.8999999999999999</v>
      </c>
      <c r="AB60" s="8"/>
      <c r="AC60" s="8"/>
    </row>
    <row r="61" ht="12" customHeight="1">
      <c r="A61" s="8" t="s">
        <v>183</v>
      </c>
      <c r="B61" s="8" t="s">
        <v>961</v>
      </c>
      <c r="C61" s="26">
        <v>7</v>
      </c>
      <c r="D61" s="8"/>
      <c r="E61" s="26">
        <v>6.7000000000000002</v>
      </c>
      <c r="F61" s="8"/>
      <c r="G61" s="26">
        <v>7.2999999999999998</v>
      </c>
      <c r="H61" s="8"/>
      <c r="I61" s="26">
        <v>5.9000000000000004</v>
      </c>
      <c r="J61" s="8"/>
      <c r="K61" s="26">
        <v>3.1000000000000001</v>
      </c>
      <c r="L61" s="8"/>
      <c r="M61" s="26">
        <v>1.8</v>
      </c>
      <c r="N61" s="8"/>
      <c r="O61" s="26">
        <v>-0.29999999999999999</v>
      </c>
      <c r="P61" s="8"/>
      <c r="Q61" s="26">
        <v>-0.29999999999999999</v>
      </c>
      <c r="R61" s="8"/>
      <c r="S61" s="26">
        <v>0.5</v>
      </c>
      <c r="T61" s="8"/>
      <c r="U61" s="26">
        <v>0.59999999999999998</v>
      </c>
      <c r="V61" s="8"/>
      <c r="W61" s="26">
        <v>1.3999999999999999</v>
      </c>
      <c r="X61" s="8"/>
      <c r="Y61" s="26">
        <v>2</v>
      </c>
      <c r="Z61" s="8"/>
      <c r="AA61" s="26">
        <v>1.8</v>
      </c>
      <c r="AB61" s="8"/>
      <c r="AC61" s="8"/>
    </row>
    <row r="62" ht="12" customHeight="1">
      <c r="A62" s="8" t="s">
        <v>185</v>
      </c>
      <c r="B62" s="8" t="s">
        <v>962</v>
      </c>
      <c r="C62" s="26">
        <v>5.7999999999999998</v>
      </c>
      <c r="D62" s="8"/>
      <c r="E62" s="26">
        <v>5.2999999999999998</v>
      </c>
      <c r="F62" s="8"/>
      <c r="G62" s="26">
        <v>2.7000000000000002</v>
      </c>
      <c r="H62" s="8"/>
      <c r="I62" s="26">
        <v>1.7</v>
      </c>
      <c r="J62" s="8"/>
      <c r="K62" s="26">
        <v>1</v>
      </c>
      <c r="L62" s="8"/>
      <c r="M62" s="26">
        <v>1.5</v>
      </c>
      <c r="N62" s="8"/>
      <c r="O62" s="26">
        <v>5.5999999999999996</v>
      </c>
      <c r="P62" s="8"/>
      <c r="Q62" s="26">
        <v>3.8999999999999999</v>
      </c>
      <c r="R62" s="8"/>
      <c r="S62" s="26">
        <v>1.6000000000000001</v>
      </c>
      <c r="T62" s="8"/>
      <c r="U62" s="26">
        <v>1.6000000000000001</v>
      </c>
      <c r="V62" s="8"/>
      <c r="W62" s="26">
        <v>2.8999999999999999</v>
      </c>
      <c r="X62" s="8"/>
      <c r="Y62" s="26">
        <v>4.0999999999999996</v>
      </c>
      <c r="Z62" s="8"/>
      <c r="AA62" s="26">
        <v>8.4000000000000004</v>
      </c>
      <c r="AB62" s="8"/>
      <c r="AC62" s="8"/>
    </row>
    <row r="63" ht="12" customHeight="1">
      <c r="A63" s="8" t="s">
        <v>187</v>
      </c>
      <c r="B63" s="8" t="s">
        <v>963</v>
      </c>
      <c r="C63" s="26">
        <v>3.2999999999999998</v>
      </c>
      <c r="D63" s="8"/>
      <c r="E63" s="26">
        <v>4.7000000000000002</v>
      </c>
      <c r="F63" s="8"/>
      <c r="G63" s="26">
        <v>8.0999999999999996</v>
      </c>
      <c r="H63" s="8"/>
      <c r="I63" s="26">
        <v>11.699999999999999</v>
      </c>
      <c r="J63" s="8"/>
      <c r="K63" s="26">
        <v>14.300000000000001</v>
      </c>
      <c r="L63" s="8"/>
      <c r="M63" s="26">
        <v>16.699999999999999</v>
      </c>
      <c r="N63" s="8"/>
      <c r="O63" s="26">
        <v>16.699999999999999</v>
      </c>
      <c r="P63" s="8"/>
      <c r="Q63" s="26">
        <v>15.4</v>
      </c>
      <c r="R63" s="8"/>
      <c r="S63" s="26">
        <v>13.6</v>
      </c>
      <c r="T63" s="8"/>
      <c r="U63" s="26">
        <v>10.699999999999999</v>
      </c>
      <c r="V63" s="8"/>
      <c r="W63" s="26">
        <v>8.1999999999999993</v>
      </c>
      <c r="X63" s="8"/>
      <c r="Y63" s="26">
        <v>6.4000000000000004</v>
      </c>
      <c r="Z63" s="8"/>
      <c r="AA63" s="26">
        <v>4.7999999999999998</v>
      </c>
      <c r="AB63" s="8"/>
      <c r="AC63" s="8"/>
    </row>
    <row r="64" ht="12" customHeight="1">
      <c r="A64" s="8" t="s">
        <v>189</v>
      </c>
      <c r="B64" s="8" t="s">
        <v>964</v>
      </c>
      <c r="C64" s="26">
        <v>-0.5</v>
      </c>
      <c r="D64" s="8"/>
      <c r="E64" s="26">
        <v>-1.1000000000000001</v>
      </c>
      <c r="F64" s="8"/>
      <c r="G64" s="26">
        <v>2.6000000000000001</v>
      </c>
      <c r="H64" s="8"/>
      <c r="I64" s="26">
        <v>-2.2999999999999998</v>
      </c>
      <c r="J64" s="8"/>
      <c r="K64" s="26">
        <v>-0.69999999999999996</v>
      </c>
      <c r="L64" s="8"/>
      <c r="M64" s="26">
        <v>0</v>
      </c>
      <c r="N64" s="8"/>
      <c r="O64" s="26">
        <v>0</v>
      </c>
      <c r="P64" s="8"/>
      <c r="Q64" s="26">
        <v>-2.2999999999999998</v>
      </c>
      <c r="R64" s="8"/>
      <c r="S64" s="26">
        <v>-3.1000000000000001</v>
      </c>
      <c r="T64" s="8"/>
      <c r="U64" s="26">
        <v>-3.1000000000000001</v>
      </c>
      <c r="V64" s="8"/>
      <c r="W64" s="26">
        <v>-3.7000000000000002</v>
      </c>
      <c r="X64" s="8"/>
      <c r="Y64" s="26">
        <v>-1.5</v>
      </c>
      <c r="Z64" s="8"/>
      <c r="AA64" s="26">
        <v>-0.69999999999999996</v>
      </c>
      <c r="AB64" s="8"/>
      <c r="AC64" s="8"/>
    </row>
    <row r="65" ht="12" customHeight="1">
      <c r="A65" s="8" t="s">
        <v>191</v>
      </c>
      <c r="B65" s="8" t="s">
        <v>965</v>
      </c>
      <c r="C65" s="26">
        <v>3.2000000000000002</v>
      </c>
      <c r="D65" s="8"/>
      <c r="E65" s="26">
        <v>2.2999999999999998</v>
      </c>
      <c r="F65" s="8"/>
      <c r="G65" s="26">
        <v>1.1000000000000001</v>
      </c>
      <c r="H65" s="8"/>
      <c r="I65" s="26">
        <v>1.8999999999999999</v>
      </c>
      <c r="J65" s="8"/>
      <c r="K65" s="26">
        <v>3</v>
      </c>
      <c r="L65" s="8"/>
      <c r="M65" s="26">
        <v>2.7999999999999998</v>
      </c>
      <c r="N65" s="8"/>
      <c r="O65" s="26">
        <v>4.4000000000000004</v>
      </c>
      <c r="P65" s="8"/>
      <c r="Q65" s="26">
        <v>3.6000000000000001</v>
      </c>
      <c r="R65" s="8"/>
      <c r="S65" s="26">
        <v>3.1000000000000001</v>
      </c>
      <c r="T65" s="8"/>
      <c r="U65" s="26">
        <v>2.8999999999999999</v>
      </c>
      <c r="V65" s="8"/>
      <c r="W65" s="26">
        <v>2.2999999999999998</v>
      </c>
      <c r="X65" s="8"/>
      <c r="Y65" s="26">
        <v>1.5</v>
      </c>
      <c r="Z65" s="8"/>
      <c r="AA65" s="26">
        <v>1.5</v>
      </c>
      <c r="AB65" s="8"/>
      <c r="AC65" s="8"/>
    </row>
    <row r="66" ht="12" customHeight="1">
      <c r="A66" s="11" t="s">
        <v>193</v>
      </c>
      <c r="B66" s="8" t="s">
        <v>966</v>
      </c>
      <c r="C66" s="26">
        <v>45.100000000000001</v>
      </c>
      <c r="D66" s="8"/>
      <c r="E66" s="26">
        <v>37.399999999999999</v>
      </c>
      <c r="F66" s="8"/>
      <c r="G66" s="26">
        <v>28.5</v>
      </c>
      <c r="H66" s="8"/>
      <c r="I66" s="26">
        <v>27</v>
      </c>
      <c r="J66" s="8"/>
      <c r="K66" s="26">
        <v>31.100000000000001</v>
      </c>
      <c r="L66" s="8"/>
      <c r="M66" s="26">
        <v>28.199999999999999</v>
      </c>
      <c r="N66" s="8"/>
      <c r="O66" s="26">
        <v>26.800000000000001</v>
      </c>
      <c r="P66" s="8"/>
      <c r="Q66" s="26">
        <v>18.199999999999999</v>
      </c>
      <c r="R66" s="8"/>
      <c r="S66" s="26">
        <v>7</v>
      </c>
      <c r="T66" s="8"/>
      <c r="U66" s="26">
        <v>0.5</v>
      </c>
      <c r="V66" s="8"/>
      <c r="W66" s="26">
        <v>-7.5999999999999996</v>
      </c>
      <c r="X66" s="8"/>
      <c r="Y66" s="26">
        <v>-14.199999999999999</v>
      </c>
      <c r="Z66" s="8"/>
      <c r="AA66" s="26">
        <v>-17.100000000000001</v>
      </c>
      <c r="AB66" s="8"/>
      <c r="AC66" s="8"/>
    </row>
    <row r="67" ht="12" customHeight="1">
      <c r="A67" s="8" t="s">
        <v>195</v>
      </c>
      <c r="B67" s="8" t="s">
        <v>967</v>
      </c>
      <c r="C67" s="26">
        <v>45.100000000000001</v>
      </c>
      <c r="D67" s="8"/>
      <c r="E67" s="26">
        <v>37.399999999999999</v>
      </c>
      <c r="F67" s="8"/>
      <c r="G67" s="26">
        <v>28.5</v>
      </c>
      <c r="H67" s="8"/>
      <c r="I67" s="26">
        <v>27</v>
      </c>
      <c r="J67" s="8"/>
      <c r="K67" s="26">
        <v>31.100000000000001</v>
      </c>
      <c r="L67" s="8"/>
      <c r="M67" s="26">
        <v>28.199999999999999</v>
      </c>
      <c r="N67" s="8"/>
      <c r="O67" s="26">
        <v>26.800000000000001</v>
      </c>
      <c r="P67" s="8"/>
      <c r="Q67" s="26">
        <v>18.199999999999999</v>
      </c>
      <c r="R67" s="8"/>
      <c r="S67" s="26">
        <v>7</v>
      </c>
      <c r="T67" s="8"/>
      <c r="U67" s="26">
        <v>0.5</v>
      </c>
      <c r="V67" s="8"/>
      <c r="W67" s="26">
        <v>-7.5999999999999996</v>
      </c>
      <c r="X67" s="8"/>
      <c r="Y67" s="26">
        <v>-14.199999999999999</v>
      </c>
      <c r="Z67" s="8"/>
      <c r="AA67" s="26">
        <v>-17.100000000000001</v>
      </c>
      <c r="AB67" s="8"/>
      <c r="AC67" s="8"/>
    </row>
    <row r="68" ht="12" customHeight="1">
      <c r="A68" s="13" t="s">
        <v>69</v>
      </c>
      <c r="B68" s="10" t="s">
        <v>64</v>
      </c>
      <c r="C68" s="27">
        <v>8.5</v>
      </c>
      <c r="D68" s="10"/>
      <c r="E68" s="27">
        <v>7.7999999999999998</v>
      </c>
      <c r="F68" s="10"/>
      <c r="G68" s="27">
        <v>7.4000000000000004</v>
      </c>
      <c r="H68" s="10"/>
      <c r="I68" s="27">
        <v>7.5</v>
      </c>
      <c r="J68" s="10"/>
      <c r="K68" s="27">
        <v>7.0999999999999996</v>
      </c>
      <c r="L68" s="10"/>
      <c r="M68" s="27">
        <v>6.2000000000000002</v>
      </c>
      <c r="N68" s="10"/>
      <c r="O68" s="27">
        <v>5.4000000000000004</v>
      </c>
      <c r="P68" s="10"/>
      <c r="Q68" s="27">
        <v>3.5</v>
      </c>
      <c r="R68" s="10"/>
      <c r="S68" s="27">
        <v>2.6000000000000001</v>
      </c>
      <c r="T68" s="10"/>
      <c r="U68" s="27">
        <v>2.5</v>
      </c>
      <c r="V68" s="10"/>
      <c r="W68" s="27">
        <v>1.8999999999999999</v>
      </c>
      <c r="X68" s="10"/>
      <c r="Y68" s="27">
        <v>1.7</v>
      </c>
      <c r="Z68" s="10"/>
      <c r="AA68" s="27">
        <v>1.8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970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971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75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972</v>
      </c>
      <c r="C8" s="19">
        <v>1241</v>
      </c>
      <c r="D8" s="19"/>
      <c r="E8" s="19">
        <v>1286</v>
      </c>
      <c r="F8" s="19"/>
      <c r="G8" s="19">
        <v>1316</v>
      </c>
      <c r="H8" s="19"/>
      <c r="I8" s="19">
        <v>1329</v>
      </c>
      <c r="J8" s="19"/>
      <c r="K8" s="19">
        <v>1313</v>
      </c>
      <c r="L8" s="19"/>
      <c r="M8" s="19">
        <v>1319</v>
      </c>
      <c r="N8" s="19"/>
      <c r="O8" s="19">
        <v>1323</v>
      </c>
      <c r="P8" s="19"/>
      <c r="Q8" s="19">
        <v>1341</v>
      </c>
      <c r="R8" s="19"/>
      <c r="S8" s="19">
        <v>1330</v>
      </c>
      <c r="T8" s="19"/>
      <c r="U8" s="19">
        <v>1352</v>
      </c>
      <c r="V8" s="19"/>
      <c r="W8" s="19">
        <v>1374</v>
      </c>
      <c r="X8" s="19"/>
      <c r="Y8" s="19">
        <v>1397</v>
      </c>
      <c r="Z8" s="19"/>
      <c r="AA8" s="19">
        <v>1386</v>
      </c>
      <c r="AB8" s="18"/>
      <c r="AC8" s="18"/>
      <c r="AE8" s="18"/>
      <c r="AG8" s="18"/>
    </row>
    <row r="9" ht="12" customHeight="1">
      <c r="A9" s="8" t="s">
        <v>79</v>
      </c>
      <c r="B9" s="8" t="s">
        <v>973</v>
      </c>
      <c r="C9" s="24">
        <v>1371</v>
      </c>
      <c r="D9" s="8"/>
      <c r="E9" s="24">
        <v>1500</v>
      </c>
      <c r="F9" s="8"/>
      <c r="G9" s="24">
        <v>1508</v>
      </c>
      <c r="H9" s="8"/>
      <c r="I9" s="24">
        <v>1532</v>
      </c>
      <c r="J9" s="8"/>
      <c r="K9" s="24">
        <v>1412</v>
      </c>
      <c r="L9" s="8"/>
      <c r="M9" s="24">
        <v>1382</v>
      </c>
      <c r="N9" s="8"/>
      <c r="O9" s="24">
        <v>1307</v>
      </c>
      <c r="P9" s="8"/>
      <c r="Q9" s="24">
        <v>1386</v>
      </c>
      <c r="R9" s="8"/>
      <c r="S9" s="24">
        <v>1292</v>
      </c>
      <c r="T9" s="8"/>
      <c r="U9" s="24">
        <v>1310</v>
      </c>
      <c r="V9" s="8"/>
      <c r="W9" s="24">
        <v>1351</v>
      </c>
      <c r="X9" s="8"/>
      <c r="Y9" s="24">
        <v>1465</v>
      </c>
      <c r="Z9" s="8"/>
      <c r="AA9" s="24">
        <v>1341</v>
      </c>
      <c r="AB9" s="8"/>
      <c r="AC9" s="8"/>
      <c r="AE9" s="8"/>
      <c r="AG9" s="8"/>
    </row>
    <row r="10" ht="12" customHeight="1">
      <c r="A10" s="8" t="s">
        <v>81</v>
      </c>
      <c r="B10" s="8" t="s">
        <v>974</v>
      </c>
      <c r="C10" s="24">
        <v>1208</v>
      </c>
      <c r="D10" s="8"/>
      <c r="E10" s="24">
        <v>1227</v>
      </c>
      <c r="F10" s="8"/>
      <c r="G10" s="24">
        <v>1248</v>
      </c>
      <c r="H10" s="8"/>
      <c r="I10" s="24">
        <v>1255</v>
      </c>
      <c r="J10" s="8"/>
      <c r="K10" s="24">
        <v>1239</v>
      </c>
      <c r="L10" s="8"/>
      <c r="M10" s="24">
        <v>1233</v>
      </c>
      <c r="N10" s="8"/>
      <c r="O10" s="24">
        <v>1239</v>
      </c>
      <c r="P10" s="8"/>
      <c r="Q10" s="24">
        <v>1256</v>
      </c>
      <c r="R10" s="8"/>
      <c r="S10" s="24">
        <v>1262</v>
      </c>
      <c r="T10" s="8"/>
      <c r="U10" s="24">
        <v>1280</v>
      </c>
      <c r="V10" s="8"/>
      <c r="W10" s="24">
        <v>1297</v>
      </c>
      <c r="X10" s="8"/>
      <c r="Y10" s="24">
        <v>1343</v>
      </c>
      <c r="Z10" s="8"/>
      <c r="AA10" s="24">
        <v>1353</v>
      </c>
      <c r="AB10" s="8"/>
      <c r="AC10" s="8"/>
      <c r="AE10" s="8"/>
      <c r="AG10" s="8"/>
    </row>
    <row r="11" ht="12" customHeight="1">
      <c r="A11" s="8" t="s">
        <v>83</v>
      </c>
      <c r="B11" s="8" t="s">
        <v>975</v>
      </c>
      <c r="C11" s="24">
        <v>1163</v>
      </c>
      <c r="D11" s="8"/>
      <c r="E11" s="24">
        <v>1215</v>
      </c>
      <c r="F11" s="8"/>
      <c r="G11" s="24">
        <v>1248</v>
      </c>
      <c r="H11" s="8"/>
      <c r="I11" s="24">
        <v>1251</v>
      </c>
      <c r="J11" s="8"/>
      <c r="K11" s="24">
        <v>1246</v>
      </c>
      <c r="L11" s="8"/>
      <c r="M11" s="24">
        <v>1262</v>
      </c>
      <c r="N11" s="8"/>
      <c r="O11" s="24">
        <v>1276</v>
      </c>
      <c r="P11" s="8"/>
      <c r="Q11" s="24">
        <v>1284</v>
      </c>
      <c r="R11" s="8"/>
      <c r="S11" s="24">
        <v>1276</v>
      </c>
      <c r="T11" s="8"/>
      <c r="U11" s="24">
        <v>1314</v>
      </c>
      <c r="V11" s="8"/>
      <c r="W11" s="24">
        <v>1334</v>
      </c>
      <c r="X11" s="8"/>
      <c r="Y11" s="24">
        <v>1339</v>
      </c>
      <c r="Z11" s="8"/>
      <c r="AA11" s="24">
        <v>1335</v>
      </c>
      <c r="AB11" s="8"/>
      <c r="AC11" s="8"/>
      <c r="AE11" s="8"/>
      <c r="AG11" s="8"/>
    </row>
    <row r="12" ht="12" customHeight="1">
      <c r="A12" s="8" t="s">
        <v>85</v>
      </c>
      <c r="B12" s="8" t="s">
        <v>976</v>
      </c>
      <c r="C12" s="24">
        <v>1140</v>
      </c>
      <c r="D12" s="8"/>
      <c r="E12" s="24">
        <v>1165</v>
      </c>
      <c r="F12" s="8"/>
      <c r="G12" s="24">
        <v>1196</v>
      </c>
      <c r="H12" s="8"/>
      <c r="I12" s="24">
        <v>1203</v>
      </c>
      <c r="J12" s="8"/>
      <c r="K12" s="24">
        <v>1203</v>
      </c>
      <c r="L12" s="8"/>
      <c r="M12" s="24">
        <v>1215</v>
      </c>
      <c r="N12" s="8"/>
      <c r="O12" s="24">
        <v>1242</v>
      </c>
      <c r="P12" s="8"/>
      <c r="Q12" s="24">
        <v>1251</v>
      </c>
      <c r="R12" s="8"/>
      <c r="S12" s="24">
        <v>1251</v>
      </c>
      <c r="T12" s="8"/>
      <c r="U12" s="24">
        <v>1282</v>
      </c>
      <c r="V12" s="8"/>
      <c r="W12" s="24">
        <v>1316</v>
      </c>
      <c r="X12" s="8"/>
      <c r="Y12" s="24">
        <v>1306</v>
      </c>
      <c r="Z12" s="8"/>
      <c r="AA12" s="24">
        <v>1313</v>
      </c>
      <c r="AB12" s="8"/>
      <c r="AC12" s="8"/>
      <c r="AE12" s="8"/>
      <c r="AG12" s="8"/>
    </row>
    <row r="13" ht="12" customHeight="1">
      <c r="A13" s="8" t="s">
        <v>87</v>
      </c>
      <c r="B13" s="8" t="s">
        <v>977</v>
      </c>
      <c r="C13" s="24">
        <v>1328</v>
      </c>
      <c r="D13" s="8"/>
      <c r="E13" s="24">
        <v>1350</v>
      </c>
      <c r="F13" s="8"/>
      <c r="G13" s="24">
        <v>1391</v>
      </c>
      <c r="H13" s="8"/>
      <c r="I13" s="24">
        <v>1414</v>
      </c>
      <c r="J13" s="8"/>
      <c r="K13" s="24">
        <v>1426</v>
      </c>
      <c r="L13" s="8"/>
      <c r="M13" s="24">
        <v>1439</v>
      </c>
      <c r="N13" s="8"/>
      <c r="O13" s="24">
        <v>1457</v>
      </c>
      <c r="P13" s="8"/>
      <c r="Q13" s="24">
        <v>1464</v>
      </c>
      <c r="R13" s="8"/>
      <c r="S13" s="24">
        <v>1470</v>
      </c>
      <c r="T13" s="8"/>
      <c r="U13" s="24">
        <v>1474</v>
      </c>
      <c r="V13" s="8"/>
      <c r="W13" s="24">
        <v>1486</v>
      </c>
      <c r="X13" s="8"/>
      <c r="Y13" s="24">
        <v>1498</v>
      </c>
      <c r="Z13" s="8"/>
      <c r="AA13" s="24">
        <v>1505</v>
      </c>
      <c r="AB13" s="8"/>
      <c r="AC13" s="8"/>
      <c r="AE13" s="8"/>
      <c r="AG13" s="8"/>
    </row>
    <row r="14" ht="12" customHeight="1">
      <c r="A14" s="11" t="s">
        <v>89</v>
      </c>
      <c r="B14" s="8" t="s">
        <v>978</v>
      </c>
      <c r="C14" s="24">
        <v>1291</v>
      </c>
      <c r="D14" s="8"/>
      <c r="E14" s="24">
        <v>1332</v>
      </c>
      <c r="F14" s="8"/>
      <c r="G14" s="24">
        <v>1351</v>
      </c>
      <c r="H14" s="8"/>
      <c r="I14" s="24">
        <v>1368</v>
      </c>
      <c r="J14" s="8"/>
      <c r="K14" s="24">
        <v>1379</v>
      </c>
      <c r="L14" s="8"/>
      <c r="M14" s="24">
        <v>1412</v>
      </c>
      <c r="N14" s="8"/>
      <c r="O14" s="24">
        <v>1426</v>
      </c>
      <c r="P14" s="8"/>
      <c r="Q14" s="24">
        <v>1435</v>
      </c>
      <c r="R14" s="8"/>
      <c r="S14" s="24">
        <v>1434</v>
      </c>
      <c r="T14" s="8"/>
      <c r="U14" s="24">
        <v>1455</v>
      </c>
      <c r="V14" s="8"/>
      <c r="W14" s="24">
        <v>1449</v>
      </c>
      <c r="X14" s="8"/>
      <c r="Y14" s="24">
        <v>1458</v>
      </c>
      <c r="Z14" s="8"/>
      <c r="AA14" s="24">
        <v>1454</v>
      </c>
      <c r="AB14" s="8"/>
      <c r="AC14" s="8"/>
      <c r="AE14" s="8"/>
      <c r="AG14" s="8"/>
    </row>
    <row r="15" ht="12" customHeight="1">
      <c r="A15" s="8" t="s">
        <v>91</v>
      </c>
      <c r="B15" s="8" t="s">
        <v>979</v>
      </c>
      <c r="C15" s="24">
        <v>1138</v>
      </c>
      <c r="D15" s="8"/>
      <c r="E15" s="24">
        <v>1158</v>
      </c>
      <c r="F15" s="8"/>
      <c r="G15" s="24">
        <v>1179</v>
      </c>
      <c r="H15" s="8"/>
      <c r="I15" s="24">
        <v>1197</v>
      </c>
      <c r="J15" s="8"/>
      <c r="K15" s="24">
        <v>1197</v>
      </c>
      <c r="L15" s="8"/>
      <c r="M15" s="24">
        <v>1209</v>
      </c>
      <c r="N15" s="8"/>
      <c r="O15" s="24">
        <v>1225</v>
      </c>
      <c r="P15" s="8"/>
      <c r="Q15" s="24">
        <v>1235</v>
      </c>
      <c r="R15" s="8"/>
      <c r="S15" s="24">
        <v>1230</v>
      </c>
      <c r="T15" s="8"/>
      <c r="U15" s="24">
        <v>1240</v>
      </c>
      <c r="V15" s="8"/>
      <c r="W15" s="24">
        <v>1234</v>
      </c>
      <c r="X15" s="8"/>
      <c r="Y15" s="24">
        <v>1243</v>
      </c>
      <c r="Z15" s="8"/>
      <c r="AA15" s="24">
        <v>1233</v>
      </c>
      <c r="AB15" s="8"/>
      <c r="AC15" s="8"/>
      <c r="AE15" s="8"/>
      <c r="AG15" s="8"/>
    </row>
    <row r="16" ht="12" customHeight="1">
      <c r="A16" s="8" t="s">
        <v>93</v>
      </c>
      <c r="B16" s="8" t="s">
        <v>980</v>
      </c>
      <c r="C16" s="24">
        <v>1952</v>
      </c>
      <c r="D16" s="8"/>
      <c r="E16" s="24">
        <v>2097</v>
      </c>
      <c r="F16" s="8"/>
      <c r="G16" s="24">
        <v>2099</v>
      </c>
      <c r="H16" s="8"/>
      <c r="I16" s="24">
        <v>2109</v>
      </c>
      <c r="J16" s="8"/>
      <c r="K16" s="24">
        <v>2177</v>
      </c>
      <c r="L16" s="8"/>
      <c r="M16" s="24">
        <v>2315</v>
      </c>
      <c r="N16" s="8"/>
      <c r="O16" s="24">
        <v>2314</v>
      </c>
      <c r="P16" s="8"/>
      <c r="Q16" s="24">
        <v>2320</v>
      </c>
      <c r="R16" s="8"/>
      <c r="S16" s="24">
        <v>2337</v>
      </c>
      <c r="T16" s="8"/>
      <c r="U16" s="24">
        <v>2428</v>
      </c>
      <c r="V16" s="8"/>
      <c r="W16" s="24">
        <v>2434</v>
      </c>
      <c r="X16" s="8"/>
      <c r="Y16" s="24">
        <v>2434</v>
      </c>
      <c r="Z16" s="8"/>
      <c r="AA16" s="24">
        <v>2472</v>
      </c>
      <c r="AB16" s="8"/>
      <c r="AC16" s="8"/>
      <c r="AE16" s="8"/>
      <c r="AG16" s="8"/>
    </row>
    <row r="17" ht="12" customHeight="1">
      <c r="A17" s="11" t="s">
        <v>95</v>
      </c>
      <c r="B17" s="8" t="s">
        <v>981</v>
      </c>
      <c r="C17" s="24">
        <v>1051</v>
      </c>
      <c r="D17" s="8"/>
      <c r="E17" s="24">
        <v>1047</v>
      </c>
      <c r="F17" s="8"/>
      <c r="G17" s="24">
        <v>1081</v>
      </c>
      <c r="H17" s="8"/>
      <c r="I17" s="24">
        <v>1084</v>
      </c>
      <c r="J17" s="8"/>
      <c r="K17" s="24">
        <v>1096</v>
      </c>
      <c r="L17" s="8"/>
      <c r="M17" s="24">
        <v>1097</v>
      </c>
      <c r="N17" s="8"/>
      <c r="O17" s="24">
        <v>1101</v>
      </c>
      <c r="P17" s="8"/>
      <c r="Q17" s="24">
        <v>1099</v>
      </c>
      <c r="R17" s="8"/>
      <c r="S17" s="24">
        <v>1088</v>
      </c>
      <c r="T17" s="8"/>
      <c r="U17" s="24">
        <v>1090</v>
      </c>
      <c r="V17" s="8"/>
      <c r="W17" s="24">
        <v>1091</v>
      </c>
      <c r="X17" s="8"/>
      <c r="Y17" s="24">
        <v>1096</v>
      </c>
      <c r="Z17" s="8"/>
      <c r="AA17" s="24">
        <v>1106</v>
      </c>
      <c r="AB17" s="8"/>
      <c r="AC17" s="8"/>
      <c r="AE17" s="8"/>
      <c r="AG17" s="8"/>
    </row>
    <row r="18" ht="12" customHeight="1">
      <c r="A18" s="8" t="s">
        <v>97</v>
      </c>
      <c r="B18" s="8" t="s">
        <v>982</v>
      </c>
      <c r="C18" s="24">
        <v>1039</v>
      </c>
      <c r="D18" s="8"/>
      <c r="E18" s="24">
        <v>1033</v>
      </c>
      <c r="F18" s="8"/>
      <c r="G18" s="24">
        <v>1072</v>
      </c>
      <c r="H18" s="8"/>
      <c r="I18" s="24">
        <v>1078</v>
      </c>
      <c r="J18" s="8"/>
      <c r="K18" s="24">
        <v>1092</v>
      </c>
      <c r="L18" s="8"/>
      <c r="M18" s="24">
        <v>1095</v>
      </c>
      <c r="N18" s="8"/>
      <c r="O18" s="24">
        <v>1092</v>
      </c>
      <c r="P18" s="8"/>
      <c r="Q18" s="24">
        <v>1090</v>
      </c>
      <c r="R18" s="8"/>
      <c r="S18" s="24">
        <v>1078</v>
      </c>
      <c r="T18" s="8"/>
      <c r="U18" s="24">
        <v>1076</v>
      </c>
      <c r="V18" s="8"/>
      <c r="W18" s="24">
        <v>1083</v>
      </c>
      <c r="X18" s="8"/>
      <c r="Y18" s="24">
        <v>1085</v>
      </c>
      <c r="Z18" s="8"/>
      <c r="AA18" s="24">
        <v>1097</v>
      </c>
      <c r="AB18" s="8"/>
      <c r="AC18" s="8"/>
      <c r="AE18" s="8"/>
      <c r="AG18" s="8"/>
    </row>
    <row r="19" ht="12" customHeight="1">
      <c r="A19" s="8" t="s">
        <v>99</v>
      </c>
      <c r="B19" s="8" t="s">
        <v>983</v>
      </c>
      <c r="C19" s="24">
        <v>1089</v>
      </c>
      <c r="D19" s="8"/>
      <c r="E19" s="24">
        <v>1094</v>
      </c>
      <c r="F19" s="8"/>
      <c r="G19" s="24">
        <v>1109</v>
      </c>
      <c r="H19" s="8"/>
      <c r="I19" s="24">
        <v>1102</v>
      </c>
      <c r="J19" s="8"/>
      <c r="K19" s="24">
        <v>1105</v>
      </c>
      <c r="L19" s="8"/>
      <c r="M19" s="24">
        <v>1099</v>
      </c>
      <c r="N19" s="8"/>
      <c r="O19" s="24">
        <v>1129</v>
      </c>
      <c r="P19" s="8"/>
      <c r="Q19" s="24">
        <v>1124</v>
      </c>
      <c r="R19" s="8"/>
      <c r="S19" s="24">
        <v>1117</v>
      </c>
      <c r="T19" s="8"/>
      <c r="U19" s="24">
        <v>1141</v>
      </c>
      <c r="V19" s="8"/>
      <c r="W19" s="24">
        <v>1113</v>
      </c>
      <c r="X19" s="8"/>
      <c r="Y19" s="24">
        <v>1133</v>
      </c>
      <c r="Z19" s="8"/>
      <c r="AA19" s="24">
        <v>1130</v>
      </c>
      <c r="AB19" s="8"/>
      <c r="AC19" s="8"/>
      <c r="AE19" s="8"/>
      <c r="AG19" s="8"/>
    </row>
    <row r="20" ht="12" customHeight="1">
      <c r="A20" s="11" t="s">
        <v>101</v>
      </c>
      <c r="B20" s="8" t="s">
        <v>984</v>
      </c>
      <c r="C20" s="24">
        <v>1317</v>
      </c>
      <c r="D20" s="8"/>
      <c r="E20" s="24">
        <v>1328</v>
      </c>
      <c r="F20" s="8"/>
      <c r="G20" s="24">
        <v>1346</v>
      </c>
      <c r="H20" s="8"/>
      <c r="I20" s="24">
        <v>1382</v>
      </c>
      <c r="J20" s="8"/>
      <c r="K20" s="24">
        <v>1391</v>
      </c>
      <c r="L20" s="8"/>
      <c r="M20" s="24">
        <v>1398</v>
      </c>
      <c r="N20" s="8"/>
      <c r="O20" s="24">
        <v>1415</v>
      </c>
      <c r="P20" s="8"/>
      <c r="Q20" s="24">
        <v>1464</v>
      </c>
      <c r="R20" s="8"/>
      <c r="S20" s="24">
        <v>1471</v>
      </c>
      <c r="T20" s="8"/>
      <c r="U20" s="24">
        <v>1482</v>
      </c>
      <c r="V20" s="8"/>
      <c r="W20" s="24">
        <v>1500</v>
      </c>
      <c r="X20" s="8"/>
      <c r="Y20" s="24">
        <v>1541</v>
      </c>
      <c r="Z20" s="8"/>
      <c r="AA20" s="24">
        <v>1549</v>
      </c>
      <c r="AB20" s="8"/>
      <c r="AC20" s="8"/>
      <c r="AE20" s="8"/>
      <c r="AG20" s="8"/>
    </row>
    <row r="21" ht="12" customHeight="1">
      <c r="A21" s="8" t="s">
        <v>103</v>
      </c>
      <c r="B21" s="8" t="s">
        <v>985</v>
      </c>
      <c r="C21" s="24">
        <v>1280</v>
      </c>
      <c r="D21" s="8"/>
      <c r="E21" s="24">
        <v>1295</v>
      </c>
      <c r="F21" s="8"/>
      <c r="G21" s="24">
        <v>1311</v>
      </c>
      <c r="H21" s="8"/>
      <c r="I21" s="24">
        <v>1327</v>
      </c>
      <c r="J21" s="8"/>
      <c r="K21" s="24">
        <v>1342</v>
      </c>
      <c r="L21" s="8"/>
      <c r="M21" s="24">
        <v>1358</v>
      </c>
      <c r="N21" s="8"/>
      <c r="O21" s="24">
        <v>1375</v>
      </c>
      <c r="P21" s="8"/>
      <c r="Q21" s="24">
        <v>1388</v>
      </c>
      <c r="R21" s="8"/>
      <c r="S21" s="24">
        <v>1399</v>
      </c>
      <c r="T21" s="8"/>
      <c r="U21" s="24">
        <v>1409</v>
      </c>
      <c r="V21" s="8"/>
      <c r="W21" s="24">
        <v>1420</v>
      </c>
      <c r="X21" s="8"/>
      <c r="Y21" s="24">
        <v>1424</v>
      </c>
      <c r="Z21" s="8"/>
      <c r="AA21" s="24">
        <v>1426</v>
      </c>
      <c r="AB21" s="8"/>
      <c r="AC21" s="8"/>
      <c r="AE21" s="8"/>
      <c r="AG21" s="8"/>
    </row>
    <row r="22" ht="12" customHeight="1">
      <c r="A22" s="8" t="s">
        <v>105</v>
      </c>
      <c r="B22" s="8" t="s">
        <v>986</v>
      </c>
      <c r="C22" s="24">
        <v>1280</v>
      </c>
      <c r="D22" s="8"/>
      <c r="E22" s="24">
        <v>1295</v>
      </c>
      <c r="F22" s="8"/>
      <c r="G22" s="24">
        <v>1311</v>
      </c>
      <c r="H22" s="8"/>
      <c r="I22" s="24">
        <v>1327</v>
      </c>
      <c r="J22" s="8"/>
      <c r="K22" s="24">
        <v>1342</v>
      </c>
      <c r="L22" s="8"/>
      <c r="M22" s="24">
        <v>1358</v>
      </c>
      <c r="N22" s="8"/>
      <c r="O22" s="24">
        <v>1375</v>
      </c>
      <c r="P22" s="8"/>
      <c r="Q22" s="24">
        <v>1388</v>
      </c>
      <c r="R22" s="8"/>
      <c r="S22" s="24">
        <v>1399</v>
      </c>
      <c r="T22" s="8"/>
      <c r="U22" s="24">
        <v>1409</v>
      </c>
      <c r="V22" s="8"/>
      <c r="W22" s="24">
        <v>1420</v>
      </c>
      <c r="X22" s="8"/>
      <c r="Y22" s="24">
        <v>1424</v>
      </c>
      <c r="Z22" s="8"/>
      <c r="AA22" s="24">
        <v>1426</v>
      </c>
      <c r="AB22" s="8"/>
      <c r="AC22" s="8"/>
      <c r="AE22" s="8"/>
      <c r="AG22" s="8"/>
    </row>
    <row r="23" ht="12" customHeight="1">
      <c r="A23" s="8" t="s">
        <v>107</v>
      </c>
      <c r="B23" s="8" t="s">
        <v>987</v>
      </c>
      <c r="C23" s="24">
        <v>1375</v>
      </c>
      <c r="D23" s="8"/>
      <c r="E23" s="24">
        <v>1375</v>
      </c>
      <c r="F23" s="8"/>
      <c r="G23" s="24">
        <v>1400</v>
      </c>
      <c r="H23" s="8"/>
      <c r="I23" s="24">
        <v>1409</v>
      </c>
      <c r="J23" s="8"/>
      <c r="K23" s="24">
        <v>1410</v>
      </c>
      <c r="L23" s="8"/>
      <c r="M23" s="24">
        <v>1412</v>
      </c>
      <c r="N23" s="8"/>
      <c r="O23" s="24">
        <v>1430</v>
      </c>
      <c r="P23" s="8"/>
      <c r="Q23" s="24">
        <v>1438</v>
      </c>
      <c r="R23" s="8"/>
      <c r="S23" s="24">
        <v>1437</v>
      </c>
      <c r="T23" s="8"/>
      <c r="U23" s="24">
        <v>1443</v>
      </c>
      <c r="V23" s="8"/>
      <c r="W23" s="24">
        <v>1448</v>
      </c>
      <c r="X23" s="8"/>
      <c r="Y23" s="24">
        <v>1458</v>
      </c>
      <c r="Z23" s="8"/>
      <c r="AA23" s="24">
        <v>1469</v>
      </c>
      <c r="AB23" s="8"/>
      <c r="AC23" s="8"/>
      <c r="AE23" s="8"/>
      <c r="AG23" s="8"/>
    </row>
    <row r="24" ht="12" customHeight="1">
      <c r="A24" s="8" t="s">
        <v>109</v>
      </c>
      <c r="B24" s="8" t="s">
        <v>988</v>
      </c>
      <c r="C24" s="24">
        <v>1505</v>
      </c>
      <c r="D24" s="8"/>
      <c r="E24" s="24">
        <v>1506</v>
      </c>
      <c r="F24" s="8"/>
      <c r="G24" s="24">
        <v>1509</v>
      </c>
      <c r="H24" s="8"/>
      <c r="I24" s="24">
        <v>1649</v>
      </c>
      <c r="J24" s="8"/>
      <c r="K24" s="24">
        <v>1649</v>
      </c>
      <c r="L24" s="8"/>
      <c r="M24" s="24">
        <v>1649</v>
      </c>
      <c r="N24" s="8"/>
      <c r="O24" s="24">
        <v>1652</v>
      </c>
      <c r="P24" s="8"/>
      <c r="Q24" s="24">
        <v>1840</v>
      </c>
      <c r="R24" s="8"/>
      <c r="S24" s="24">
        <v>1843</v>
      </c>
      <c r="T24" s="8"/>
      <c r="U24" s="24">
        <v>1843</v>
      </c>
      <c r="V24" s="8"/>
      <c r="W24" s="24">
        <v>1843</v>
      </c>
      <c r="X24" s="8"/>
      <c r="Y24" s="24">
        <v>1992</v>
      </c>
      <c r="Z24" s="8"/>
      <c r="AA24" s="24">
        <v>1992</v>
      </c>
      <c r="AB24" s="8"/>
      <c r="AC24" s="8"/>
      <c r="AE24" s="8"/>
      <c r="AG24" s="8"/>
    </row>
    <row r="25" ht="12" customHeight="1">
      <c r="A25" s="8" t="s">
        <v>111</v>
      </c>
      <c r="B25" s="8" t="s">
        <v>989</v>
      </c>
      <c r="C25" s="24">
        <v>1536</v>
      </c>
      <c r="D25" s="8"/>
      <c r="E25" s="24">
        <v>1536</v>
      </c>
      <c r="F25" s="8"/>
      <c r="G25" s="24">
        <v>1536</v>
      </c>
      <c r="H25" s="8"/>
      <c r="I25" s="24">
        <v>1685</v>
      </c>
      <c r="J25" s="8"/>
      <c r="K25" s="24">
        <v>1685</v>
      </c>
      <c r="L25" s="8"/>
      <c r="M25" s="24">
        <v>1685</v>
      </c>
      <c r="N25" s="8"/>
      <c r="O25" s="24">
        <v>1685</v>
      </c>
      <c r="P25" s="8"/>
      <c r="Q25" s="24">
        <v>1885</v>
      </c>
      <c r="R25" s="8"/>
      <c r="S25" s="24">
        <v>1885</v>
      </c>
      <c r="T25" s="8"/>
      <c r="U25" s="24">
        <v>1885</v>
      </c>
      <c r="V25" s="8"/>
      <c r="W25" s="24">
        <v>1885</v>
      </c>
      <c r="X25" s="8"/>
      <c r="Y25" s="24">
        <v>2051</v>
      </c>
      <c r="Z25" s="8"/>
      <c r="AA25" s="24">
        <v>2051</v>
      </c>
      <c r="AB25" s="8"/>
      <c r="AC25" s="8"/>
      <c r="AE25" s="8"/>
      <c r="AG25" s="8"/>
    </row>
    <row r="26" ht="12" customHeight="1">
      <c r="A26" s="8" t="s">
        <v>113</v>
      </c>
      <c r="B26" s="8" t="s">
        <v>990</v>
      </c>
      <c r="C26" s="24">
        <v>1121</v>
      </c>
      <c r="D26" s="8"/>
      <c r="E26" s="24">
        <v>1150</v>
      </c>
      <c r="F26" s="8"/>
      <c r="G26" s="24">
        <v>1181</v>
      </c>
      <c r="H26" s="8"/>
      <c r="I26" s="24">
        <v>1170</v>
      </c>
      <c r="J26" s="8"/>
      <c r="K26" s="24">
        <v>1191</v>
      </c>
      <c r="L26" s="8"/>
      <c r="M26" s="24">
        <v>1194</v>
      </c>
      <c r="N26" s="8"/>
      <c r="O26" s="24">
        <v>1226</v>
      </c>
      <c r="P26" s="8"/>
      <c r="Q26" s="24">
        <v>1237</v>
      </c>
      <c r="R26" s="8"/>
      <c r="S26" s="24">
        <v>1250</v>
      </c>
      <c r="T26" s="8"/>
      <c r="U26" s="24">
        <v>1282</v>
      </c>
      <c r="V26" s="8"/>
      <c r="W26" s="24">
        <v>1342</v>
      </c>
      <c r="X26" s="8"/>
      <c r="Y26" s="24">
        <v>1380</v>
      </c>
      <c r="Z26" s="8"/>
      <c r="AA26" s="24">
        <v>1405</v>
      </c>
      <c r="AB26" s="8"/>
      <c r="AC26" s="8"/>
      <c r="AE26" s="8"/>
      <c r="AG26" s="8"/>
    </row>
    <row r="27" ht="12" customHeight="1">
      <c r="A27" s="8" t="s">
        <v>115</v>
      </c>
      <c r="B27" s="8" t="s">
        <v>991</v>
      </c>
      <c r="C27" s="24">
        <v>1099</v>
      </c>
      <c r="D27" s="8"/>
      <c r="E27" s="24">
        <v>1126</v>
      </c>
      <c r="F27" s="8"/>
      <c r="G27" s="24">
        <v>1154</v>
      </c>
      <c r="H27" s="8"/>
      <c r="I27" s="24">
        <v>1134</v>
      </c>
      <c r="J27" s="8"/>
      <c r="K27" s="24">
        <v>1153</v>
      </c>
      <c r="L27" s="8"/>
      <c r="M27" s="24">
        <v>1155</v>
      </c>
      <c r="N27" s="8"/>
      <c r="O27" s="24">
        <v>1190</v>
      </c>
      <c r="P27" s="8"/>
      <c r="Q27" s="24">
        <v>1197</v>
      </c>
      <c r="R27" s="8"/>
      <c r="S27" s="24">
        <v>1203</v>
      </c>
      <c r="T27" s="8"/>
      <c r="U27" s="24">
        <v>1229</v>
      </c>
      <c r="V27" s="8"/>
      <c r="W27" s="24">
        <v>1291</v>
      </c>
      <c r="X27" s="8"/>
      <c r="Y27" s="24">
        <v>1332</v>
      </c>
      <c r="Z27" s="8"/>
      <c r="AA27" s="24">
        <v>1349</v>
      </c>
      <c r="AB27" s="8"/>
      <c r="AC27" s="8"/>
      <c r="AE27" s="8"/>
      <c r="AG27" s="8"/>
    </row>
    <row r="28" ht="12" customHeight="1">
      <c r="A28" s="11" t="s">
        <v>117</v>
      </c>
      <c r="B28" s="8" t="s">
        <v>992</v>
      </c>
      <c r="C28" s="24">
        <v>1182</v>
      </c>
      <c r="D28" s="8"/>
      <c r="E28" s="24">
        <v>1177</v>
      </c>
      <c r="F28" s="8"/>
      <c r="G28" s="24">
        <v>1206</v>
      </c>
      <c r="H28" s="8"/>
      <c r="I28" s="24">
        <v>1190</v>
      </c>
      <c r="J28" s="8"/>
      <c r="K28" s="24">
        <v>1200</v>
      </c>
      <c r="L28" s="8"/>
      <c r="M28" s="24">
        <v>1183</v>
      </c>
      <c r="N28" s="8"/>
      <c r="O28" s="24">
        <v>1198</v>
      </c>
      <c r="P28" s="8"/>
      <c r="Q28" s="24">
        <v>1196</v>
      </c>
      <c r="R28" s="8"/>
      <c r="S28" s="24">
        <v>1188</v>
      </c>
      <c r="T28" s="8"/>
      <c r="U28" s="24">
        <v>1183</v>
      </c>
      <c r="V28" s="8"/>
      <c r="W28" s="24">
        <v>1186</v>
      </c>
      <c r="X28" s="8"/>
      <c r="Y28" s="24">
        <v>1172</v>
      </c>
      <c r="Z28" s="8"/>
      <c r="AA28" s="24">
        <v>1182</v>
      </c>
      <c r="AB28" s="8"/>
      <c r="AC28" s="8"/>
      <c r="AE28" s="8"/>
      <c r="AG28" s="8"/>
    </row>
    <row r="29" ht="12" customHeight="1">
      <c r="A29" s="8" t="s">
        <v>119</v>
      </c>
      <c r="B29" s="8" t="s">
        <v>993</v>
      </c>
      <c r="C29" s="24">
        <v>1243</v>
      </c>
      <c r="D29" s="8"/>
      <c r="E29" s="24">
        <v>1218</v>
      </c>
      <c r="F29" s="8"/>
      <c r="G29" s="24">
        <v>1239</v>
      </c>
      <c r="H29" s="8"/>
      <c r="I29" s="24">
        <v>1224</v>
      </c>
      <c r="J29" s="8"/>
      <c r="K29" s="24">
        <v>1215</v>
      </c>
      <c r="L29" s="8"/>
      <c r="M29" s="24">
        <v>1167</v>
      </c>
      <c r="N29" s="8"/>
      <c r="O29" s="24">
        <v>1181</v>
      </c>
      <c r="P29" s="8"/>
      <c r="Q29" s="24">
        <v>1200</v>
      </c>
      <c r="R29" s="8"/>
      <c r="S29" s="24">
        <v>1204</v>
      </c>
      <c r="T29" s="8"/>
      <c r="U29" s="24">
        <v>1193</v>
      </c>
      <c r="V29" s="8"/>
      <c r="W29" s="24">
        <v>1176</v>
      </c>
      <c r="X29" s="8"/>
      <c r="Y29" s="24">
        <v>1146</v>
      </c>
      <c r="Z29" s="8"/>
      <c r="AA29" s="24">
        <v>1198</v>
      </c>
      <c r="AB29" s="8"/>
      <c r="AC29" s="8"/>
      <c r="AE29" s="8"/>
      <c r="AG29" s="8"/>
    </row>
    <row r="30" ht="12" customHeight="1">
      <c r="A30" s="8" t="s">
        <v>121</v>
      </c>
      <c r="B30" s="8" t="s">
        <v>994</v>
      </c>
      <c r="C30" s="24">
        <v>1084</v>
      </c>
      <c r="D30" s="8"/>
      <c r="E30" s="24">
        <v>1102</v>
      </c>
      <c r="F30" s="8"/>
      <c r="G30" s="24">
        <v>1116</v>
      </c>
      <c r="H30" s="8"/>
      <c r="I30" s="24">
        <v>1071</v>
      </c>
      <c r="J30" s="8"/>
      <c r="K30" s="24">
        <v>1148</v>
      </c>
      <c r="L30" s="8"/>
      <c r="M30" s="24">
        <v>1112</v>
      </c>
      <c r="N30" s="8"/>
      <c r="O30" s="24">
        <v>1218</v>
      </c>
      <c r="P30" s="8"/>
      <c r="Q30" s="24">
        <v>1163</v>
      </c>
      <c r="R30" s="8"/>
      <c r="S30" s="24">
        <v>1085</v>
      </c>
      <c r="T30" s="8"/>
      <c r="U30" s="24">
        <v>1132</v>
      </c>
      <c r="V30" s="8"/>
      <c r="W30" s="24">
        <v>1174</v>
      </c>
      <c r="X30" s="8"/>
      <c r="Y30" s="24">
        <v>1162</v>
      </c>
      <c r="Z30" s="8"/>
      <c r="AA30" s="24">
        <v>1138</v>
      </c>
      <c r="AB30" s="8"/>
      <c r="AC30" s="8"/>
      <c r="AE30" s="8"/>
      <c r="AG30" s="8"/>
    </row>
    <row r="31" ht="12" customHeight="1">
      <c r="A31" s="8" t="s">
        <v>123</v>
      </c>
      <c r="B31" s="8" t="s">
        <v>995</v>
      </c>
      <c r="C31" s="24">
        <v>1104</v>
      </c>
      <c r="D31" s="8"/>
      <c r="E31" s="24">
        <v>1090</v>
      </c>
      <c r="F31" s="8"/>
      <c r="G31" s="24">
        <v>1128</v>
      </c>
      <c r="H31" s="8"/>
      <c r="I31" s="24">
        <v>1111</v>
      </c>
      <c r="J31" s="8"/>
      <c r="K31" s="24">
        <v>1107</v>
      </c>
      <c r="L31" s="8"/>
      <c r="M31" s="24">
        <v>1092</v>
      </c>
      <c r="N31" s="8"/>
      <c r="O31" s="24">
        <v>1088</v>
      </c>
      <c r="P31" s="8"/>
      <c r="Q31" s="24">
        <v>1078</v>
      </c>
      <c r="R31" s="8"/>
      <c r="S31" s="24">
        <v>1086</v>
      </c>
      <c r="T31" s="8"/>
      <c r="U31" s="24">
        <v>1070</v>
      </c>
      <c r="V31" s="8"/>
      <c r="W31" s="24">
        <v>1078</v>
      </c>
      <c r="X31" s="8"/>
      <c r="Y31" s="24">
        <v>1073</v>
      </c>
      <c r="Z31" s="8"/>
      <c r="AA31" s="24">
        <v>1074</v>
      </c>
      <c r="AB31" s="8"/>
      <c r="AC31" s="8"/>
      <c r="AE31" s="8"/>
      <c r="AG31" s="8"/>
    </row>
    <row r="32" ht="12" customHeight="1">
      <c r="A32" s="8" t="s">
        <v>125</v>
      </c>
      <c r="B32" s="8" t="s">
        <v>996</v>
      </c>
      <c r="C32" s="24">
        <v>1162</v>
      </c>
      <c r="D32" s="8"/>
      <c r="E32" s="24">
        <v>1119</v>
      </c>
      <c r="F32" s="8"/>
      <c r="G32" s="24">
        <v>1157</v>
      </c>
      <c r="H32" s="8"/>
      <c r="I32" s="24">
        <v>1121</v>
      </c>
      <c r="J32" s="8"/>
      <c r="K32" s="24">
        <v>1208</v>
      </c>
      <c r="L32" s="8"/>
      <c r="M32" s="24">
        <v>1217</v>
      </c>
      <c r="N32" s="8"/>
      <c r="O32" s="24">
        <v>1212</v>
      </c>
      <c r="P32" s="8"/>
      <c r="Q32" s="24">
        <v>1175</v>
      </c>
      <c r="R32" s="8"/>
      <c r="S32" s="24">
        <v>1190</v>
      </c>
      <c r="T32" s="8"/>
      <c r="U32" s="24">
        <v>1211</v>
      </c>
      <c r="V32" s="8"/>
      <c r="W32" s="24">
        <v>1195</v>
      </c>
      <c r="X32" s="8"/>
      <c r="Y32" s="24">
        <v>1184</v>
      </c>
      <c r="Z32" s="8"/>
      <c r="AA32" s="24">
        <v>1156</v>
      </c>
      <c r="AB32" s="8"/>
      <c r="AC32" s="8"/>
      <c r="AE32" s="8"/>
      <c r="AG32" s="8"/>
    </row>
    <row r="33" ht="12" customHeight="1">
      <c r="A33" s="8" t="s">
        <v>127</v>
      </c>
      <c r="B33" s="8" t="s">
        <v>997</v>
      </c>
      <c r="C33" s="24">
        <v>1136</v>
      </c>
      <c r="D33" s="8"/>
      <c r="E33" s="24">
        <v>1141</v>
      </c>
      <c r="F33" s="8"/>
      <c r="G33" s="24">
        <v>1184</v>
      </c>
      <c r="H33" s="8"/>
      <c r="I33" s="24">
        <v>1184</v>
      </c>
      <c r="J33" s="8"/>
      <c r="K33" s="24">
        <v>1178</v>
      </c>
      <c r="L33" s="8"/>
      <c r="M33" s="24">
        <v>1190</v>
      </c>
      <c r="N33" s="8"/>
      <c r="O33" s="24">
        <v>1156</v>
      </c>
      <c r="P33" s="8"/>
      <c r="Q33" s="24">
        <v>1152</v>
      </c>
      <c r="R33" s="8"/>
      <c r="S33" s="24">
        <v>1145</v>
      </c>
      <c r="T33" s="8"/>
      <c r="U33" s="24">
        <v>1134</v>
      </c>
      <c r="V33" s="8"/>
      <c r="W33" s="24">
        <v>1136</v>
      </c>
      <c r="X33" s="8"/>
      <c r="Y33" s="24">
        <v>1135</v>
      </c>
      <c r="Z33" s="8"/>
      <c r="AA33" s="24">
        <v>1111</v>
      </c>
      <c r="AB33" s="8"/>
      <c r="AC33" s="8"/>
      <c r="AE33" s="8"/>
      <c r="AG33" s="8"/>
    </row>
    <row r="34" ht="12" customHeight="1">
      <c r="A34" s="8" t="s">
        <v>129</v>
      </c>
      <c r="B34" s="8" t="s">
        <v>998</v>
      </c>
      <c r="C34" s="24">
        <v>1234</v>
      </c>
      <c r="D34" s="8"/>
      <c r="E34" s="24">
        <v>1255</v>
      </c>
      <c r="F34" s="8"/>
      <c r="G34" s="24">
        <v>1283</v>
      </c>
      <c r="H34" s="8"/>
      <c r="I34" s="24">
        <v>1279</v>
      </c>
      <c r="J34" s="8"/>
      <c r="K34" s="24">
        <v>1272</v>
      </c>
      <c r="L34" s="8"/>
      <c r="M34" s="24">
        <v>1280</v>
      </c>
      <c r="N34" s="8"/>
      <c r="O34" s="24">
        <v>1290</v>
      </c>
      <c r="P34" s="8"/>
      <c r="Q34" s="24">
        <v>1313</v>
      </c>
      <c r="R34" s="8"/>
      <c r="S34" s="24">
        <v>1306</v>
      </c>
      <c r="T34" s="8"/>
      <c r="U34" s="24">
        <v>1295</v>
      </c>
      <c r="V34" s="8"/>
      <c r="W34" s="24">
        <v>1311</v>
      </c>
      <c r="X34" s="8"/>
      <c r="Y34" s="24">
        <v>1306</v>
      </c>
      <c r="Z34" s="8"/>
      <c r="AA34" s="24">
        <v>1305</v>
      </c>
      <c r="AB34" s="8"/>
      <c r="AC34" s="8"/>
      <c r="AE34" s="8"/>
      <c r="AG34" s="8"/>
    </row>
    <row r="35" ht="12" customHeight="1">
      <c r="A35" s="11" t="s">
        <v>131</v>
      </c>
      <c r="B35" s="8" t="s">
        <v>999</v>
      </c>
      <c r="C35" s="24">
        <v>1187</v>
      </c>
      <c r="D35" s="8"/>
      <c r="E35" s="24">
        <v>1195</v>
      </c>
      <c r="F35" s="8"/>
      <c r="G35" s="24">
        <v>1214</v>
      </c>
      <c r="H35" s="8"/>
      <c r="I35" s="24">
        <v>1209</v>
      </c>
      <c r="J35" s="8"/>
      <c r="K35" s="24">
        <v>1236</v>
      </c>
      <c r="L35" s="8"/>
      <c r="M35" s="24">
        <v>1260</v>
      </c>
      <c r="N35" s="8"/>
      <c r="O35" s="24">
        <v>1266</v>
      </c>
      <c r="P35" s="8"/>
      <c r="Q35" s="24">
        <v>1314</v>
      </c>
      <c r="R35" s="8"/>
      <c r="S35" s="24">
        <v>1313</v>
      </c>
      <c r="T35" s="8"/>
      <c r="U35" s="24">
        <v>1317</v>
      </c>
      <c r="V35" s="8"/>
      <c r="W35" s="24">
        <v>1318</v>
      </c>
      <c r="X35" s="8"/>
      <c r="Y35" s="24">
        <v>1323</v>
      </c>
      <c r="Z35" s="8"/>
      <c r="AA35" s="24">
        <v>1322</v>
      </c>
      <c r="AB35" s="8"/>
      <c r="AC35" s="8"/>
      <c r="AE35" s="8"/>
      <c r="AG35" s="8"/>
    </row>
    <row r="36" ht="12" customHeight="1">
      <c r="A36" s="8" t="s">
        <v>133</v>
      </c>
      <c r="B36" s="8" t="s">
        <v>1000</v>
      </c>
      <c r="C36" s="24">
        <v>1031</v>
      </c>
      <c r="D36" s="8"/>
      <c r="E36" s="24">
        <v>1030</v>
      </c>
      <c r="F36" s="8"/>
      <c r="G36" s="24">
        <v>1045</v>
      </c>
      <c r="H36" s="8"/>
      <c r="I36" s="24">
        <v>969</v>
      </c>
      <c r="J36" s="8"/>
      <c r="K36" s="24">
        <v>973</v>
      </c>
      <c r="L36" s="8"/>
      <c r="M36" s="24">
        <v>970</v>
      </c>
      <c r="N36" s="8"/>
      <c r="O36" s="24">
        <v>976</v>
      </c>
      <c r="P36" s="8"/>
      <c r="Q36" s="24">
        <v>1076</v>
      </c>
      <c r="R36" s="8"/>
      <c r="S36" s="24">
        <v>1036</v>
      </c>
      <c r="T36" s="8"/>
      <c r="U36" s="24">
        <v>1038</v>
      </c>
      <c r="V36" s="8"/>
      <c r="W36" s="24">
        <v>1032</v>
      </c>
      <c r="X36" s="8"/>
      <c r="Y36" s="24">
        <v>1005</v>
      </c>
      <c r="Z36" s="8"/>
      <c r="AA36" s="24">
        <v>981</v>
      </c>
      <c r="AB36" s="8"/>
      <c r="AC36" s="8"/>
      <c r="AE36" s="8"/>
      <c r="AG36" s="8"/>
    </row>
    <row r="37" ht="12" customHeight="1">
      <c r="A37" s="8" t="s">
        <v>135</v>
      </c>
      <c r="B37" s="8" t="s">
        <v>1001</v>
      </c>
      <c r="C37" s="24">
        <v>1243</v>
      </c>
      <c r="D37" s="8"/>
      <c r="E37" s="24">
        <v>1251</v>
      </c>
      <c r="F37" s="8"/>
      <c r="G37" s="24">
        <v>1267</v>
      </c>
      <c r="H37" s="8"/>
      <c r="I37" s="24">
        <v>1281</v>
      </c>
      <c r="J37" s="8"/>
      <c r="K37" s="24">
        <v>1312</v>
      </c>
      <c r="L37" s="8"/>
      <c r="M37" s="24">
        <v>1346</v>
      </c>
      <c r="N37" s="8"/>
      <c r="O37" s="24">
        <v>1349</v>
      </c>
      <c r="P37" s="8"/>
      <c r="Q37" s="24">
        <v>1360</v>
      </c>
      <c r="R37" s="8"/>
      <c r="S37" s="24">
        <v>1373</v>
      </c>
      <c r="T37" s="8"/>
      <c r="U37" s="24">
        <v>1378</v>
      </c>
      <c r="V37" s="8"/>
      <c r="W37" s="24">
        <v>1383</v>
      </c>
      <c r="X37" s="8"/>
      <c r="Y37" s="24">
        <v>1408</v>
      </c>
      <c r="Z37" s="8"/>
      <c r="AA37" s="24">
        <v>1421</v>
      </c>
      <c r="AB37" s="8"/>
      <c r="AC37" s="8"/>
      <c r="AE37" s="8"/>
      <c r="AG37" s="8"/>
    </row>
    <row r="38" ht="12" customHeight="1">
      <c r="A38" s="8" t="s">
        <v>137</v>
      </c>
      <c r="B38" s="8" t="s">
        <v>1002</v>
      </c>
      <c r="C38" s="24">
        <v>1338</v>
      </c>
      <c r="D38" s="8"/>
      <c r="E38" s="24">
        <v>1361</v>
      </c>
      <c r="F38" s="8"/>
      <c r="G38" s="24">
        <v>1397</v>
      </c>
      <c r="H38" s="8"/>
      <c r="I38" s="24">
        <v>1447</v>
      </c>
      <c r="J38" s="8"/>
      <c r="K38" s="24">
        <v>1506</v>
      </c>
      <c r="L38" s="8"/>
      <c r="M38" s="24">
        <v>1544</v>
      </c>
      <c r="N38" s="8"/>
      <c r="O38" s="24">
        <v>1556</v>
      </c>
      <c r="P38" s="8"/>
      <c r="Q38" s="24">
        <v>1659</v>
      </c>
      <c r="R38" s="8"/>
      <c r="S38" s="24">
        <v>1674</v>
      </c>
      <c r="T38" s="8"/>
      <c r="U38" s="24">
        <v>1675</v>
      </c>
      <c r="V38" s="8"/>
      <c r="W38" s="24">
        <v>1690</v>
      </c>
      <c r="X38" s="8"/>
      <c r="Y38" s="24">
        <v>1715</v>
      </c>
      <c r="Z38" s="8"/>
      <c r="AA38" s="24">
        <v>1733</v>
      </c>
      <c r="AB38" s="8"/>
      <c r="AC38" s="8"/>
      <c r="AE38" s="8"/>
      <c r="AG38" s="8"/>
    </row>
    <row r="39" ht="12" customHeight="1">
      <c r="A39" s="11" t="s">
        <v>139</v>
      </c>
      <c r="B39" s="8" t="s">
        <v>1003</v>
      </c>
      <c r="C39" s="24">
        <v>1151</v>
      </c>
      <c r="D39" s="8"/>
      <c r="E39" s="24">
        <v>1143</v>
      </c>
      <c r="F39" s="8"/>
      <c r="G39" s="24">
        <v>1125</v>
      </c>
      <c r="H39" s="8"/>
      <c r="I39" s="24">
        <v>1197</v>
      </c>
      <c r="J39" s="8"/>
      <c r="K39" s="24">
        <v>1191</v>
      </c>
      <c r="L39" s="8"/>
      <c r="M39" s="24">
        <v>1160</v>
      </c>
      <c r="N39" s="8"/>
      <c r="O39" s="24">
        <v>1154</v>
      </c>
      <c r="P39" s="8"/>
      <c r="Q39" s="24">
        <v>1130</v>
      </c>
      <c r="R39" s="8"/>
      <c r="S39" s="24">
        <v>1144</v>
      </c>
      <c r="T39" s="8"/>
      <c r="U39" s="24">
        <v>1143</v>
      </c>
      <c r="V39" s="8"/>
      <c r="W39" s="24">
        <v>1140</v>
      </c>
      <c r="X39" s="8"/>
      <c r="Y39" s="24">
        <v>1147</v>
      </c>
      <c r="Z39" s="8"/>
      <c r="AA39" s="24">
        <v>1174</v>
      </c>
      <c r="AB39" s="8"/>
      <c r="AC39" s="8"/>
      <c r="AE39" s="8"/>
      <c r="AG39" s="8"/>
    </row>
    <row r="40" ht="12" customHeight="1">
      <c r="A40" s="8" t="s">
        <v>141</v>
      </c>
      <c r="B40" s="8" t="s">
        <v>1004</v>
      </c>
      <c r="C40" s="24">
        <v>1044</v>
      </c>
      <c r="D40" s="8"/>
      <c r="E40" s="24">
        <v>1052</v>
      </c>
      <c r="F40" s="8"/>
      <c r="G40" s="24">
        <v>1065</v>
      </c>
      <c r="H40" s="8"/>
      <c r="I40" s="24">
        <v>1098</v>
      </c>
      <c r="J40" s="8"/>
      <c r="K40" s="24">
        <v>1079</v>
      </c>
      <c r="L40" s="8"/>
      <c r="M40" s="24">
        <v>1057</v>
      </c>
      <c r="N40" s="8"/>
      <c r="O40" s="24">
        <v>1041</v>
      </c>
      <c r="P40" s="8"/>
      <c r="Q40" s="24">
        <v>1024</v>
      </c>
      <c r="R40" s="8"/>
      <c r="S40" s="24">
        <v>1034</v>
      </c>
      <c r="T40" s="8"/>
      <c r="U40" s="24">
        <v>1038</v>
      </c>
      <c r="V40" s="8"/>
      <c r="W40" s="24">
        <v>1041</v>
      </c>
      <c r="X40" s="8"/>
      <c r="Y40" s="24">
        <v>1041</v>
      </c>
      <c r="Z40" s="8"/>
      <c r="AA40" s="24">
        <v>1047</v>
      </c>
      <c r="AB40" s="8"/>
      <c r="AC40" s="8"/>
      <c r="AE40" s="8"/>
      <c r="AG40" s="8"/>
    </row>
    <row r="41" ht="12" customHeight="1">
      <c r="A41" s="8" t="s">
        <v>143</v>
      </c>
      <c r="B41" s="8" t="s">
        <v>1005</v>
      </c>
      <c r="C41" s="24">
        <v>1184</v>
      </c>
      <c r="D41" s="8"/>
      <c r="E41" s="24">
        <v>1160</v>
      </c>
      <c r="F41" s="8"/>
      <c r="G41" s="24">
        <v>1145</v>
      </c>
      <c r="H41" s="8"/>
      <c r="I41" s="24">
        <v>1278</v>
      </c>
      <c r="J41" s="8"/>
      <c r="K41" s="24">
        <v>1287</v>
      </c>
      <c r="L41" s="8"/>
      <c r="M41" s="24">
        <v>1269</v>
      </c>
      <c r="N41" s="8"/>
      <c r="O41" s="24">
        <v>1293</v>
      </c>
      <c r="P41" s="8"/>
      <c r="Q41" s="24">
        <v>1237</v>
      </c>
      <c r="R41" s="8"/>
      <c r="S41" s="24">
        <v>1227</v>
      </c>
      <c r="T41" s="8"/>
      <c r="U41" s="24">
        <v>1261</v>
      </c>
      <c r="V41" s="8"/>
      <c r="W41" s="24">
        <v>1249</v>
      </c>
      <c r="X41" s="8"/>
      <c r="Y41" s="24">
        <v>1254</v>
      </c>
      <c r="Z41" s="8"/>
      <c r="AA41" s="24">
        <v>1274</v>
      </c>
      <c r="AB41" s="8"/>
      <c r="AC41" s="8"/>
      <c r="AE41" s="8"/>
      <c r="AG41" s="8"/>
    </row>
    <row r="42" ht="12" customHeight="1">
      <c r="A42" s="8" t="s">
        <v>145</v>
      </c>
      <c r="B42" s="8" t="s">
        <v>1006</v>
      </c>
      <c r="C42" s="24">
        <v>1202</v>
      </c>
      <c r="D42" s="8"/>
      <c r="E42" s="24">
        <v>1171</v>
      </c>
      <c r="F42" s="8"/>
      <c r="G42" s="24">
        <v>1154</v>
      </c>
      <c r="H42" s="8"/>
      <c r="I42" s="24">
        <v>1344</v>
      </c>
      <c r="J42" s="8"/>
      <c r="K42" s="24">
        <v>1344</v>
      </c>
      <c r="L42" s="8"/>
      <c r="M42" s="24">
        <v>1314</v>
      </c>
      <c r="N42" s="8"/>
      <c r="O42" s="24">
        <v>1324</v>
      </c>
      <c r="P42" s="8"/>
      <c r="Q42" s="24">
        <v>1236</v>
      </c>
      <c r="R42" s="8"/>
      <c r="S42" s="24">
        <v>1218</v>
      </c>
      <c r="T42" s="8"/>
      <c r="U42" s="24">
        <v>1274</v>
      </c>
      <c r="V42" s="8"/>
      <c r="W42" s="24">
        <v>1213</v>
      </c>
      <c r="X42" s="8"/>
      <c r="Y42" s="24">
        <v>1215</v>
      </c>
      <c r="Z42" s="8"/>
      <c r="AA42" s="24">
        <v>1245</v>
      </c>
      <c r="AB42" s="8"/>
      <c r="AC42" s="8"/>
      <c r="AE42" s="8"/>
      <c r="AG42" s="8"/>
    </row>
    <row r="43" ht="12" customHeight="1">
      <c r="A43" s="8" t="s">
        <v>147</v>
      </c>
      <c r="B43" s="8" t="s">
        <v>1007</v>
      </c>
      <c r="C43" s="24">
        <v>1314</v>
      </c>
      <c r="D43" s="8"/>
      <c r="E43" s="24">
        <v>1307</v>
      </c>
      <c r="F43" s="8"/>
      <c r="G43" s="24">
        <v>1213</v>
      </c>
      <c r="H43" s="8"/>
      <c r="I43" s="24">
        <v>1242</v>
      </c>
      <c r="J43" s="8"/>
      <c r="K43" s="24">
        <v>1228</v>
      </c>
      <c r="L43" s="8"/>
      <c r="M43" s="24">
        <v>1154</v>
      </c>
      <c r="N43" s="8"/>
      <c r="O43" s="24">
        <v>1111</v>
      </c>
      <c r="P43" s="8"/>
      <c r="Q43" s="24">
        <v>1135</v>
      </c>
      <c r="R43" s="8"/>
      <c r="S43" s="24">
        <v>1203</v>
      </c>
      <c r="T43" s="8"/>
      <c r="U43" s="24">
        <v>1147</v>
      </c>
      <c r="V43" s="8"/>
      <c r="W43" s="24">
        <v>1146</v>
      </c>
      <c r="X43" s="8"/>
      <c r="Y43" s="24">
        <v>1167</v>
      </c>
      <c r="Z43" s="8"/>
      <c r="AA43" s="24">
        <v>1237</v>
      </c>
      <c r="AB43" s="8"/>
      <c r="AC43" s="8"/>
      <c r="AE43" s="8"/>
      <c r="AG43" s="8"/>
    </row>
    <row r="44" ht="12" customHeight="1">
      <c r="A44" s="11" t="s">
        <v>149</v>
      </c>
      <c r="B44" s="8" t="s">
        <v>1008</v>
      </c>
      <c r="C44" s="24">
        <v>732</v>
      </c>
      <c r="D44" s="8"/>
      <c r="E44" s="24">
        <v>736</v>
      </c>
      <c r="F44" s="8"/>
      <c r="G44" s="24">
        <v>728</v>
      </c>
      <c r="H44" s="8"/>
      <c r="I44" s="24">
        <v>732</v>
      </c>
      <c r="J44" s="8"/>
      <c r="K44" s="24">
        <v>758</v>
      </c>
      <c r="L44" s="8"/>
      <c r="M44" s="24">
        <v>756</v>
      </c>
      <c r="N44" s="8"/>
      <c r="O44" s="24">
        <v>768</v>
      </c>
      <c r="P44" s="8"/>
      <c r="Q44" s="24">
        <v>760</v>
      </c>
      <c r="R44" s="8"/>
      <c r="S44" s="24">
        <v>774</v>
      </c>
      <c r="T44" s="8"/>
      <c r="U44" s="24">
        <v>775</v>
      </c>
      <c r="V44" s="8"/>
      <c r="W44" s="24">
        <v>772</v>
      </c>
      <c r="X44" s="8"/>
      <c r="Y44" s="24">
        <v>775</v>
      </c>
      <c r="Z44" s="8"/>
      <c r="AA44" s="24">
        <v>808</v>
      </c>
      <c r="AB44" s="8"/>
      <c r="AC44" s="8"/>
      <c r="AE44" s="8"/>
      <c r="AG44" s="8"/>
    </row>
    <row r="45" ht="12" customHeight="1">
      <c r="A45" s="8" t="s">
        <v>151</v>
      </c>
      <c r="B45" s="8" t="s">
        <v>1009</v>
      </c>
      <c r="C45" s="24">
        <v>1410</v>
      </c>
      <c r="D45" s="8"/>
      <c r="E45" s="24">
        <v>1431</v>
      </c>
      <c r="F45" s="8"/>
      <c r="G45" s="24">
        <v>1405</v>
      </c>
      <c r="H45" s="8"/>
      <c r="I45" s="24">
        <v>1482</v>
      </c>
      <c r="J45" s="8"/>
      <c r="K45" s="24">
        <v>1527</v>
      </c>
      <c r="L45" s="8"/>
      <c r="M45" s="24">
        <v>1471</v>
      </c>
      <c r="N45" s="8"/>
      <c r="O45" s="24">
        <v>1471</v>
      </c>
      <c r="P45" s="8"/>
      <c r="Q45" s="24">
        <v>1497</v>
      </c>
      <c r="R45" s="8"/>
      <c r="S45" s="24">
        <v>1510</v>
      </c>
      <c r="T45" s="8"/>
      <c r="U45" s="24">
        <v>1504</v>
      </c>
      <c r="V45" s="8"/>
      <c r="W45" s="24">
        <v>1518</v>
      </c>
      <c r="X45" s="8"/>
      <c r="Y45" s="24">
        <v>1632</v>
      </c>
      <c r="Z45" s="8"/>
      <c r="AA45" s="24">
        <v>1636</v>
      </c>
      <c r="AB45" s="8"/>
      <c r="AC45" s="8"/>
      <c r="AE45" s="8"/>
      <c r="AG45" s="8"/>
    </row>
    <row r="46" ht="12" customHeight="1">
      <c r="A46" s="8" t="s">
        <v>153</v>
      </c>
      <c r="B46" s="8" t="s">
        <v>1010</v>
      </c>
      <c r="C46" s="24">
        <v>284</v>
      </c>
      <c r="D46" s="8"/>
      <c r="E46" s="24">
        <v>288</v>
      </c>
      <c r="F46" s="8"/>
      <c r="G46" s="24">
        <v>260</v>
      </c>
      <c r="H46" s="8"/>
      <c r="I46" s="24">
        <v>243</v>
      </c>
      <c r="J46" s="8"/>
      <c r="K46" s="24">
        <v>282</v>
      </c>
      <c r="L46" s="8"/>
      <c r="M46" s="24">
        <v>274</v>
      </c>
      <c r="N46" s="8"/>
      <c r="O46" s="24">
        <v>296</v>
      </c>
      <c r="P46" s="8"/>
      <c r="Q46" s="24">
        <v>252</v>
      </c>
      <c r="R46" s="8"/>
      <c r="S46" s="24">
        <v>251</v>
      </c>
      <c r="T46" s="8"/>
      <c r="U46" s="24">
        <v>238</v>
      </c>
      <c r="V46" s="8"/>
      <c r="W46" s="24">
        <v>221</v>
      </c>
      <c r="X46" s="8"/>
      <c r="Y46" s="24">
        <v>213</v>
      </c>
      <c r="Z46" s="8"/>
      <c r="AA46" s="24">
        <v>238</v>
      </c>
      <c r="AB46" s="8"/>
      <c r="AC46" s="8"/>
      <c r="AE46" s="8"/>
      <c r="AG46" s="8"/>
    </row>
    <row r="47" ht="12" customHeight="1">
      <c r="A47" s="8" t="s">
        <v>155</v>
      </c>
      <c r="B47" s="8" t="s">
        <v>1011</v>
      </c>
      <c r="C47" s="24">
        <v>819</v>
      </c>
      <c r="D47" s="8"/>
      <c r="E47" s="24">
        <v>821</v>
      </c>
      <c r="F47" s="8"/>
      <c r="G47" s="24">
        <v>830</v>
      </c>
      <c r="H47" s="8"/>
      <c r="I47" s="24">
        <v>842</v>
      </c>
      <c r="J47" s="8"/>
      <c r="K47" s="24">
        <v>853</v>
      </c>
      <c r="L47" s="8"/>
      <c r="M47" s="24">
        <v>858</v>
      </c>
      <c r="N47" s="8"/>
      <c r="O47" s="24">
        <v>862</v>
      </c>
      <c r="P47" s="8"/>
      <c r="Q47" s="24">
        <v>878</v>
      </c>
      <c r="R47" s="8"/>
      <c r="S47" s="24">
        <v>898</v>
      </c>
      <c r="T47" s="8"/>
      <c r="U47" s="24">
        <v>913</v>
      </c>
      <c r="V47" s="8"/>
      <c r="W47" s="24">
        <v>926</v>
      </c>
      <c r="X47" s="8"/>
      <c r="Y47" s="24">
        <v>935</v>
      </c>
      <c r="Z47" s="8"/>
      <c r="AA47" s="24">
        <v>962</v>
      </c>
      <c r="AB47" s="8"/>
      <c r="AC47" s="8"/>
      <c r="AE47" s="8"/>
      <c r="AG47" s="8"/>
    </row>
    <row r="48" ht="12" customHeight="1">
      <c r="A48" s="11" t="s">
        <v>157</v>
      </c>
      <c r="B48" s="8" t="s">
        <v>1012</v>
      </c>
      <c r="C48" s="24">
        <v>1175</v>
      </c>
      <c r="D48" s="8"/>
      <c r="E48" s="24">
        <v>1182</v>
      </c>
      <c r="F48" s="8"/>
      <c r="G48" s="24">
        <v>1199</v>
      </c>
      <c r="H48" s="8"/>
      <c r="I48" s="24">
        <v>1209</v>
      </c>
      <c r="J48" s="8"/>
      <c r="K48" s="24">
        <v>1220</v>
      </c>
      <c r="L48" s="8"/>
      <c r="M48" s="24">
        <v>1255</v>
      </c>
      <c r="N48" s="8"/>
      <c r="O48" s="24">
        <v>1229</v>
      </c>
      <c r="P48" s="8"/>
      <c r="Q48" s="24">
        <v>1234</v>
      </c>
      <c r="R48" s="8"/>
      <c r="S48" s="24">
        <v>1260</v>
      </c>
      <c r="T48" s="8"/>
      <c r="U48" s="24">
        <v>1261</v>
      </c>
      <c r="V48" s="8"/>
      <c r="W48" s="24">
        <v>1270</v>
      </c>
      <c r="X48" s="8"/>
      <c r="Y48" s="24">
        <v>1279</v>
      </c>
      <c r="Z48" s="8"/>
      <c r="AA48" s="24">
        <v>1301</v>
      </c>
      <c r="AB48" s="8"/>
      <c r="AC48" s="8"/>
      <c r="AE48" s="8"/>
      <c r="AG48" s="8"/>
    </row>
    <row r="49" ht="12" customHeight="1">
      <c r="A49" s="8" t="s">
        <v>159</v>
      </c>
      <c r="B49" s="8" t="s">
        <v>1013</v>
      </c>
      <c r="C49" s="24">
        <v>453</v>
      </c>
      <c r="D49" s="8"/>
      <c r="E49" s="24">
        <v>433</v>
      </c>
      <c r="F49" s="8"/>
      <c r="G49" s="24">
        <v>379</v>
      </c>
      <c r="H49" s="8"/>
      <c r="I49" s="24">
        <v>386</v>
      </c>
      <c r="J49" s="8"/>
      <c r="K49" s="24">
        <v>414</v>
      </c>
      <c r="L49" s="8"/>
      <c r="M49" s="24">
        <v>379</v>
      </c>
      <c r="N49" s="8"/>
      <c r="O49" s="24">
        <v>355</v>
      </c>
      <c r="P49" s="8"/>
      <c r="Q49" s="24">
        <v>369</v>
      </c>
      <c r="R49" s="8"/>
      <c r="S49" s="24">
        <v>383</v>
      </c>
      <c r="T49" s="8"/>
      <c r="U49" s="24">
        <v>354</v>
      </c>
      <c r="V49" s="8"/>
      <c r="W49" s="24">
        <v>301</v>
      </c>
      <c r="X49" s="8"/>
      <c r="Y49" s="24">
        <v>310</v>
      </c>
      <c r="Z49" s="8"/>
      <c r="AA49" s="24">
        <v>339</v>
      </c>
      <c r="AB49" s="8"/>
      <c r="AC49" s="8"/>
      <c r="AE49" s="8"/>
      <c r="AG49" s="8"/>
    </row>
    <row r="50" ht="12" customHeight="1">
      <c r="A50" s="8" t="s">
        <v>161</v>
      </c>
      <c r="B50" s="8" t="s">
        <v>1014</v>
      </c>
      <c r="C50" s="24">
        <v>1316</v>
      </c>
      <c r="D50" s="8"/>
      <c r="E50" s="24">
        <v>1329</v>
      </c>
      <c r="F50" s="8"/>
      <c r="G50" s="24">
        <v>1328</v>
      </c>
      <c r="H50" s="8"/>
      <c r="I50" s="24">
        <v>1332</v>
      </c>
      <c r="J50" s="8"/>
      <c r="K50" s="24">
        <v>1330</v>
      </c>
      <c r="L50" s="8"/>
      <c r="M50" s="24">
        <v>1337</v>
      </c>
      <c r="N50" s="8"/>
      <c r="O50" s="24">
        <v>1348</v>
      </c>
      <c r="P50" s="8"/>
      <c r="Q50" s="24">
        <v>1335</v>
      </c>
      <c r="R50" s="8"/>
      <c r="S50" s="24">
        <v>1335</v>
      </c>
      <c r="T50" s="8"/>
      <c r="U50" s="24">
        <v>1345</v>
      </c>
      <c r="V50" s="8"/>
      <c r="W50" s="24">
        <v>1369</v>
      </c>
      <c r="X50" s="8"/>
      <c r="Y50" s="24">
        <v>1364</v>
      </c>
      <c r="Z50" s="8"/>
      <c r="AA50" s="24">
        <v>1375</v>
      </c>
      <c r="AB50" s="8"/>
      <c r="AC50" s="8"/>
      <c r="AE50" s="8"/>
      <c r="AG50" s="8"/>
    </row>
    <row r="51" ht="12" customHeight="1">
      <c r="A51" s="8" t="s">
        <v>163</v>
      </c>
      <c r="B51" s="8" t="s">
        <v>1015</v>
      </c>
      <c r="C51" s="24">
        <v>1243</v>
      </c>
      <c r="D51" s="8"/>
      <c r="E51" s="24">
        <v>1261</v>
      </c>
      <c r="F51" s="8"/>
      <c r="G51" s="24">
        <v>1297</v>
      </c>
      <c r="H51" s="8"/>
      <c r="I51" s="24">
        <v>1293</v>
      </c>
      <c r="J51" s="8"/>
      <c r="K51" s="24">
        <v>1295</v>
      </c>
      <c r="L51" s="8"/>
      <c r="M51" s="24">
        <v>1310</v>
      </c>
      <c r="N51" s="8"/>
      <c r="O51" s="24">
        <v>1273</v>
      </c>
      <c r="P51" s="8"/>
      <c r="Q51" s="24">
        <v>1301</v>
      </c>
      <c r="R51" s="8"/>
      <c r="S51" s="24">
        <v>1327</v>
      </c>
      <c r="T51" s="8"/>
      <c r="U51" s="24">
        <v>1308</v>
      </c>
      <c r="V51" s="8"/>
      <c r="W51" s="24">
        <v>1280</v>
      </c>
      <c r="X51" s="8"/>
      <c r="Y51" s="24">
        <v>1297</v>
      </c>
      <c r="Z51" s="8"/>
      <c r="AA51" s="24">
        <v>1307</v>
      </c>
      <c r="AB51" s="8"/>
      <c r="AC51" s="8"/>
      <c r="AE51" s="8"/>
      <c r="AG51" s="8"/>
    </row>
    <row r="52" ht="12" customHeight="1">
      <c r="A52" s="8" t="s">
        <v>165</v>
      </c>
      <c r="B52" s="8" t="s">
        <v>1016</v>
      </c>
      <c r="C52" s="24">
        <v>1144</v>
      </c>
      <c r="D52" s="8"/>
      <c r="E52" s="24">
        <v>1158</v>
      </c>
      <c r="F52" s="8"/>
      <c r="G52" s="24">
        <v>1186</v>
      </c>
      <c r="H52" s="8"/>
      <c r="I52" s="24">
        <v>1203</v>
      </c>
      <c r="J52" s="8"/>
      <c r="K52" s="24">
        <v>1221</v>
      </c>
      <c r="L52" s="8"/>
      <c r="M52" s="24">
        <v>1244</v>
      </c>
      <c r="N52" s="8"/>
      <c r="O52" s="24">
        <v>1274</v>
      </c>
      <c r="P52" s="8"/>
      <c r="Q52" s="24">
        <v>1287</v>
      </c>
      <c r="R52" s="8"/>
      <c r="S52" s="24">
        <v>1290</v>
      </c>
      <c r="T52" s="8"/>
      <c r="U52" s="24">
        <v>1297</v>
      </c>
      <c r="V52" s="8"/>
      <c r="W52" s="24">
        <v>1359</v>
      </c>
      <c r="X52" s="8"/>
      <c r="Y52" s="24">
        <v>1367</v>
      </c>
      <c r="Z52" s="8"/>
      <c r="AA52" s="24">
        <v>1369</v>
      </c>
      <c r="AB52" s="8"/>
      <c r="AC52" s="8"/>
      <c r="AE52" s="8"/>
      <c r="AG52" s="8"/>
    </row>
    <row r="53" ht="12" customHeight="1">
      <c r="A53" s="8" t="s">
        <v>167</v>
      </c>
      <c r="B53" s="8" t="s">
        <v>1017</v>
      </c>
      <c r="C53" s="24">
        <v>1330</v>
      </c>
      <c r="D53" s="8"/>
      <c r="E53" s="24">
        <v>1352</v>
      </c>
      <c r="F53" s="8"/>
      <c r="G53" s="24">
        <v>1389</v>
      </c>
      <c r="H53" s="8"/>
      <c r="I53" s="24">
        <v>1419</v>
      </c>
      <c r="J53" s="8"/>
      <c r="K53" s="24">
        <v>1422</v>
      </c>
      <c r="L53" s="8"/>
      <c r="M53" s="24">
        <v>1421</v>
      </c>
      <c r="N53" s="8"/>
      <c r="O53" s="24">
        <v>1438</v>
      </c>
      <c r="P53" s="8"/>
      <c r="Q53" s="24">
        <v>1435</v>
      </c>
      <c r="R53" s="8"/>
      <c r="S53" s="24">
        <v>1452</v>
      </c>
      <c r="T53" s="8"/>
      <c r="U53" s="24">
        <v>1442</v>
      </c>
      <c r="V53" s="8"/>
      <c r="W53" s="24">
        <v>1447</v>
      </c>
      <c r="X53" s="8"/>
      <c r="Y53" s="24">
        <v>1484</v>
      </c>
      <c r="Z53" s="8"/>
      <c r="AA53" s="24">
        <v>1501</v>
      </c>
      <c r="AB53" s="8"/>
      <c r="AC53" s="8"/>
      <c r="AE53" s="8"/>
      <c r="AG53" s="8"/>
    </row>
    <row r="54" ht="12" customHeight="1">
      <c r="A54" s="8" t="s">
        <v>169</v>
      </c>
      <c r="B54" s="8" t="s">
        <v>1018</v>
      </c>
      <c r="C54" s="24">
        <v>1701</v>
      </c>
      <c r="D54" s="8"/>
      <c r="E54" s="24">
        <v>1704</v>
      </c>
      <c r="F54" s="8"/>
      <c r="G54" s="24">
        <v>1741</v>
      </c>
      <c r="H54" s="8"/>
      <c r="I54" s="24">
        <v>1757</v>
      </c>
      <c r="J54" s="8"/>
      <c r="K54" s="24">
        <v>1765</v>
      </c>
      <c r="L54" s="8"/>
      <c r="M54" s="24">
        <v>1882</v>
      </c>
      <c r="N54" s="8"/>
      <c r="O54" s="24">
        <v>1798</v>
      </c>
      <c r="P54" s="8"/>
      <c r="Q54" s="24">
        <v>1778</v>
      </c>
      <c r="R54" s="8"/>
      <c r="S54" s="24">
        <v>1838</v>
      </c>
      <c r="T54" s="8"/>
      <c r="U54" s="24">
        <v>1879</v>
      </c>
      <c r="V54" s="8"/>
      <c r="W54" s="24">
        <v>1907</v>
      </c>
      <c r="X54" s="8"/>
      <c r="Y54" s="24">
        <v>1914</v>
      </c>
      <c r="Z54" s="8"/>
      <c r="AA54" s="24">
        <v>1974</v>
      </c>
      <c r="AB54" s="8"/>
      <c r="AC54" s="8"/>
      <c r="AE54" s="8"/>
      <c r="AG54" s="8"/>
    </row>
    <row r="55" ht="12" customHeight="1">
      <c r="A55" s="11" t="s">
        <v>171</v>
      </c>
      <c r="B55" s="8" t="s">
        <v>1019</v>
      </c>
      <c r="C55" s="24">
        <v>1121</v>
      </c>
      <c r="D55" s="8"/>
      <c r="E55" s="24">
        <v>1157</v>
      </c>
      <c r="F55" s="8"/>
      <c r="G55" s="24">
        <v>1157</v>
      </c>
      <c r="H55" s="8"/>
      <c r="I55" s="24">
        <v>1172</v>
      </c>
      <c r="J55" s="8"/>
      <c r="K55" s="24">
        <v>1172</v>
      </c>
      <c r="L55" s="8"/>
      <c r="M55" s="24">
        <v>1216</v>
      </c>
      <c r="N55" s="8"/>
      <c r="O55" s="24">
        <v>1216</v>
      </c>
      <c r="P55" s="8"/>
      <c r="Q55" s="24">
        <v>1121</v>
      </c>
      <c r="R55" s="8"/>
      <c r="S55" s="24">
        <v>1121</v>
      </c>
      <c r="T55" s="8"/>
      <c r="U55" s="24">
        <v>1207</v>
      </c>
      <c r="V55" s="8"/>
      <c r="W55" s="24">
        <v>1207</v>
      </c>
      <c r="X55" s="8"/>
      <c r="Y55" s="24">
        <v>1216</v>
      </c>
      <c r="Z55" s="8"/>
      <c r="AA55" s="24">
        <v>1216</v>
      </c>
      <c r="AB55" s="8"/>
      <c r="AC55" s="8"/>
      <c r="AE55" s="8"/>
      <c r="AG55" s="8"/>
    </row>
    <row r="56" ht="12" customHeight="1">
      <c r="A56" s="8" t="s">
        <v>173</v>
      </c>
      <c r="B56" s="8" t="s">
        <v>1020</v>
      </c>
      <c r="C56" s="24">
        <v>1209</v>
      </c>
      <c r="D56" s="8"/>
      <c r="E56" s="24">
        <v>1209</v>
      </c>
      <c r="F56" s="8"/>
      <c r="G56" s="24">
        <v>1209</v>
      </c>
      <c r="H56" s="8"/>
      <c r="I56" s="24">
        <v>1253</v>
      </c>
      <c r="J56" s="8"/>
      <c r="K56" s="24">
        <v>1253</v>
      </c>
      <c r="L56" s="8"/>
      <c r="M56" s="24">
        <v>1253</v>
      </c>
      <c r="N56" s="8"/>
      <c r="O56" s="24">
        <v>1253</v>
      </c>
      <c r="P56" s="8"/>
      <c r="Q56" s="24">
        <v>979</v>
      </c>
      <c r="R56" s="8"/>
      <c r="S56" s="24">
        <v>979</v>
      </c>
      <c r="T56" s="8"/>
      <c r="U56" s="24">
        <v>979</v>
      </c>
      <c r="V56" s="8"/>
      <c r="W56" s="24">
        <v>979</v>
      </c>
      <c r="X56" s="8"/>
      <c r="Y56" s="24">
        <v>1003</v>
      </c>
      <c r="Z56" s="8"/>
      <c r="AA56" s="24">
        <v>1003</v>
      </c>
      <c r="AB56" s="8"/>
      <c r="AC56" s="8"/>
      <c r="AE56" s="8"/>
      <c r="AG56" s="8"/>
    </row>
    <row r="57" ht="12" customHeight="1">
      <c r="A57" s="8" t="s">
        <v>175</v>
      </c>
      <c r="B57" s="8" t="s">
        <v>1021</v>
      </c>
      <c r="C57" s="24">
        <v>1273</v>
      </c>
      <c r="D57" s="8"/>
      <c r="E57" s="24">
        <v>1337</v>
      </c>
      <c r="F57" s="8"/>
      <c r="G57" s="24">
        <v>1337</v>
      </c>
      <c r="H57" s="8"/>
      <c r="I57" s="24">
        <v>1337</v>
      </c>
      <c r="J57" s="8"/>
      <c r="K57" s="24">
        <v>1337</v>
      </c>
      <c r="L57" s="8"/>
      <c r="M57" s="24">
        <v>1427</v>
      </c>
      <c r="N57" s="8"/>
      <c r="O57" s="24">
        <v>1427</v>
      </c>
      <c r="P57" s="8"/>
      <c r="Q57" s="24">
        <v>1427</v>
      </c>
      <c r="R57" s="8"/>
      <c r="S57" s="24">
        <v>1427</v>
      </c>
      <c r="T57" s="8"/>
      <c r="U57" s="24">
        <v>1485</v>
      </c>
      <c r="V57" s="8"/>
      <c r="W57" s="24">
        <v>1485</v>
      </c>
      <c r="X57" s="8"/>
      <c r="Y57" s="24">
        <v>1485</v>
      </c>
      <c r="Z57" s="8"/>
      <c r="AA57" s="24">
        <v>1485</v>
      </c>
      <c r="AB57" s="8"/>
      <c r="AC57" s="8"/>
      <c r="AE57" s="8"/>
      <c r="AG57" s="8"/>
    </row>
    <row r="58" ht="12" customHeight="1">
      <c r="A58" s="8" t="s">
        <v>177</v>
      </c>
      <c r="B58" s="8" t="s">
        <v>1022</v>
      </c>
      <c r="C58" s="24">
        <v>953</v>
      </c>
      <c r="D58" s="8"/>
      <c r="E58" s="24">
        <v>1003</v>
      </c>
      <c r="F58" s="8"/>
      <c r="G58" s="24">
        <v>1003</v>
      </c>
      <c r="H58" s="8"/>
      <c r="I58" s="24">
        <v>1003</v>
      </c>
      <c r="J58" s="8"/>
      <c r="K58" s="24">
        <v>1003</v>
      </c>
      <c r="L58" s="8"/>
      <c r="M58" s="24">
        <v>1055</v>
      </c>
      <c r="N58" s="8"/>
      <c r="O58" s="24">
        <v>1055</v>
      </c>
      <c r="P58" s="8"/>
      <c r="Q58" s="24">
        <v>1055</v>
      </c>
      <c r="R58" s="8"/>
      <c r="S58" s="24">
        <v>1055</v>
      </c>
      <c r="T58" s="8"/>
      <c r="U58" s="24">
        <v>1294</v>
      </c>
      <c r="V58" s="8"/>
      <c r="W58" s="24">
        <v>1294</v>
      </c>
      <c r="X58" s="8"/>
      <c r="Y58" s="24">
        <v>1294</v>
      </c>
      <c r="Z58" s="8"/>
      <c r="AA58" s="24">
        <v>1294</v>
      </c>
      <c r="AB58" s="8"/>
      <c r="AC58" s="8"/>
      <c r="AE58" s="8"/>
      <c r="AG58" s="8"/>
    </row>
    <row r="59" ht="12" customHeight="1">
      <c r="A59" s="8" t="s">
        <v>179</v>
      </c>
      <c r="B59" s="8" t="s">
        <v>1023</v>
      </c>
      <c r="C59" s="24">
        <v>1086</v>
      </c>
      <c r="D59" s="8"/>
      <c r="E59" s="24">
        <v>1149</v>
      </c>
      <c r="F59" s="8"/>
      <c r="G59" s="24">
        <v>1149</v>
      </c>
      <c r="H59" s="8"/>
      <c r="I59" s="24">
        <v>1149</v>
      </c>
      <c r="J59" s="8"/>
      <c r="K59" s="24">
        <v>1149</v>
      </c>
      <c r="L59" s="8"/>
      <c r="M59" s="24">
        <v>1190</v>
      </c>
      <c r="N59" s="8"/>
      <c r="O59" s="24">
        <v>1190</v>
      </c>
      <c r="P59" s="8"/>
      <c r="Q59" s="24">
        <v>1190</v>
      </c>
      <c r="R59" s="8"/>
      <c r="S59" s="24">
        <v>1190</v>
      </c>
      <c r="T59" s="8"/>
      <c r="U59" s="24">
        <v>1251</v>
      </c>
      <c r="V59" s="8"/>
      <c r="W59" s="24">
        <v>1251</v>
      </c>
      <c r="X59" s="8"/>
      <c r="Y59" s="24">
        <v>1251</v>
      </c>
      <c r="Z59" s="8"/>
      <c r="AA59" s="24">
        <v>1251</v>
      </c>
      <c r="AB59" s="8"/>
      <c r="AC59" s="8"/>
      <c r="AE59" s="8"/>
      <c r="AG59" s="8"/>
    </row>
    <row r="60" ht="12" customHeight="1">
      <c r="A60" s="11" t="s">
        <v>181</v>
      </c>
      <c r="B60" s="8" t="s">
        <v>1024</v>
      </c>
      <c r="C60" s="24">
        <v>1290</v>
      </c>
      <c r="D60" s="8"/>
      <c r="E60" s="24">
        <v>1310</v>
      </c>
      <c r="F60" s="8"/>
      <c r="G60" s="24">
        <v>1344</v>
      </c>
      <c r="H60" s="8"/>
      <c r="I60" s="24">
        <v>1370</v>
      </c>
      <c r="J60" s="8"/>
      <c r="K60" s="24">
        <v>1399</v>
      </c>
      <c r="L60" s="8"/>
      <c r="M60" s="24">
        <v>1431</v>
      </c>
      <c r="N60" s="8"/>
      <c r="O60" s="24">
        <v>1466</v>
      </c>
      <c r="P60" s="8"/>
      <c r="Q60" s="24">
        <v>1487</v>
      </c>
      <c r="R60" s="8"/>
      <c r="S60" s="24">
        <v>1509</v>
      </c>
      <c r="T60" s="8"/>
      <c r="U60" s="24">
        <v>1528</v>
      </c>
      <c r="V60" s="8"/>
      <c r="W60" s="24">
        <v>1551</v>
      </c>
      <c r="X60" s="8"/>
      <c r="Y60" s="24">
        <v>1562</v>
      </c>
      <c r="Z60" s="8"/>
      <c r="AA60" s="24">
        <v>1573</v>
      </c>
      <c r="AB60" s="8"/>
      <c r="AC60" s="8"/>
      <c r="AE60" s="8"/>
      <c r="AG60" s="8"/>
    </row>
    <row r="61" ht="12" customHeight="1">
      <c r="A61" s="8" t="s">
        <v>183</v>
      </c>
      <c r="B61" s="8" t="s">
        <v>1025</v>
      </c>
      <c r="C61" s="24">
        <v>1143</v>
      </c>
      <c r="D61" s="8"/>
      <c r="E61" s="24">
        <v>1154</v>
      </c>
      <c r="F61" s="8"/>
      <c r="G61" s="24">
        <v>1182</v>
      </c>
      <c r="H61" s="8"/>
      <c r="I61" s="24">
        <v>1179</v>
      </c>
      <c r="J61" s="8"/>
      <c r="K61" s="24">
        <v>1181</v>
      </c>
      <c r="L61" s="8"/>
      <c r="M61" s="24">
        <v>1184</v>
      </c>
      <c r="N61" s="8"/>
      <c r="O61" s="24">
        <v>1192</v>
      </c>
      <c r="P61" s="8"/>
      <c r="Q61" s="24">
        <v>1190</v>
      </c>
      <c r="R61" s="8"/>
      <c r="S61" s="24">
        <v>1193</v>
      </c>
      <c r="T61" s="8"/>
      <c r="U61" s="24">
        <v>1200</v>
      </c>
      <c r="V61" s="8"/>
      <c r="W61" s="24">
        <v>1213</v>
      </c>
      <c r="X61" s="8"/>
      <c r="Y61" s="24">
        <v>1216</v>
      </c>
      <c r="Z61" s="8"/>
      <c r="AA61" s="24">
        <v>1215</v>
      </c>
      <c r="AB61" s="8"/>
      <c r="AC61" s="8"/>
      <c r="AE61" s="8"/>
      <c r="AG61" s="8"/>
    </row>
    <row r="62" ht="12" customHeight="1">
      <c r="A62" s="8" t="s">
        <v>185</v>
      </c>
      <c r="B62" s="8" t="s">
        <v>1026</v>
      </c>
      <c r="C62" s="24">
        <v>1209</v>
      </c>
      <c r="D62" s="8"/>
      <c r="E62" s="24">
        <v>1211</v>
      </c>
      <c r="F62" s="8"/>
      <c r="G62" s="24">
        <v>1200</v>
      </c>
      <c r="H62" s="8"/>
      <c r="I62" s="24">
        <v>1214</v>
      </c>
      <c r="J62" s="8"/>
      <c r="K62" s="24">
        <v>1236</v>
      </c>
      <c r="L62" s="8"/>
      <c r="M62" s="24">
        <v>1245</v>
      </c>
      <c r="N62" s="8"/>
      <c r="O62" s="24">
        <v>1278</v>
      </c>
      <c r="P62" s="8"/>
      <c r="Q62" s="24">
        <v>1296</v>
      </c>
      <c r="R62" s="8"/>
      <c r="S62" s="24">
        <v>1327</v>
      </c>
      <c r="T62" s="8"/>
      <c r="U62" s="24">
        <v>1333</v>
      </c>
      <c r="V62" s="8"/>
      <c r="W62" s="24">
        <v>1374</v>
      </c>
      <c r="X62" s="8"/>
      <c r="Y62" s="24">
        <v>1388</v>
      </c>
      <c r="Z62" s="8"/>
      <c r="AA62" s="24">
        <v>1441</v>
      </c>
      <c r="AB62" s="8"/>
      <c r="AC62" s="8"/>
      <c r="AE62" s="8"/>
      <c r="AG62" s="8"/>
    </row>
    <row r="63" ht="12" customHeight="1">
      <c r="A63" s="8" t="s">
        <v>187</v>
      </c>
      <c r="B63" s="8" t="s">
        <v>1027</v>
      </c>
      <c r="C63" s="24">
        <v>1360</v>
      </c>
      <c r="D63" s="8"/>
      <c r="E63" s="24">
        <v>1392</v>
      </c>
      <c r="F63" s="8"/>
      <c r="G63" s="24">
        <v>1442</v>
      </c>
      <c r="H63" s="8"/>
      <c r="I63" s="24">
        <v>1498</v>
      </c>
      <c r="J63" s="8"/>
      <c r="K63" s="24">
        <v>1555</v>
      </c>
      <c r="L63" s="8"/>
      <c r="M63" s="24">
        <v>1620</v>
      </c>
      <c r="N63" s="8"/>
      <c r="O63" s="24">
        <v>1680</v>
      </c>
      <c r="P63" s="8"/>
      <c r="Q63" s="24">
        <v>1726</v>
      </c>
      <c r="R63" s="8"/>
      <c r="S63" s="24">
        <v>1765</v>
      </c>
      <c r="T63" s="8"/>
      <c r="U63" s="24">
        <v>1796</v>
      </c>
      <c r="V63" s="8"/>
      <c r="W63" s="24">
        <v>1823</v>
      </c>
      <c r="X63" s="8"/>
      <c r="Y63" s="24">
        <v>1842</v>
      </c>
      <c r="Z63" s="8"/>
      <c r="AA63" s="24">
        <v>1857</v>
      </c>
      <c r="AB63" s="8"/>
      <c r="AC63" s="8"/>
      <c r="AE63" s="8"/>
      <c r="AG63" s="8"/>
    </row>
    <row r="64" ht="12" customHeight="1">
      <c r="A64" s="8" t="s">
        <v>189</v>
      </c>
      <c r="B64" s="8" t="s">
        <v>1028</v>
      </c>
      <c r="C64" s="24">
        <v>737</v>
      </c>
      <c r="D64" s="8"/>
      <c r="E64" s="24">
        <v>724</v>
      </c>
      <c r="F64" s="8"/>
      <c r="G64" s="24">
        <v>724</v>
      </c>
      <c r="H64" s="8"/>
      <c r="I64" s="24">
        <v>724</v>
      </c>
      <c r="J64" s="8"/>
      <c r="K64" s="24">
        <v>724</v>
      </c>
      <c r="L64" s="8"/>
      <c r="M64" s="24">
        <v>724</v>
      </c>
      <c r="N64" s="8"/>
      <c r="O64" s="24">
        <v>724</v>
      </c>
      <c r="P64" s="8"/>
      <c r="Q64" s="24">
        <v>695</v>
      </c>
      <c r="R64" s="8"/>
      <c r="S64" s="24">
        <v>680</v>
      </c>
      <c r="T64" s="8"/>
      <c r="U64" s="24">
        <v>680</v>
      </c>
      <c r="V64" s="8"/>
      <c r="W64" s="24">
        <v>676</v>
      </c>
      <c r="X64" s="8"/>
      <c r="Y64" s="24">
        <v>676</v>
      </c>
      <c r="Z64" s="8"/>
      <c r="AA64" s="24">
        <v>676</v>
      </c>
      <c r="AB64" s="8"/>
      <c r="AC64" s="8"/>
      <c r="AE64" s="8"/>
      <c r="AG64" s="8"/>
    </row>
    <row r="65" ht="12" customHeight="1">
      <c r="A65" s="8" t="s">
        <v>191</v>
      </c>
      <c r="B65" s="8" t="s">
        <v>1029</v>
      </c>
      <c r="C65" s="24">
        <v>1351</v>
      </c>
      <c r="D65" s="8"/>
      <c r="E65" s="24">
        <v>1366</v>
      </c>
      <c r="F65" s="8"/>
      <c r="G65" s="24">
        <v>1383</v>
      </c>
      <c r="H65" s="8"/>
      <c r="I65" s="24">
        <v>1393</v>
      </c>
      <c r="J65" s="8"/>
      <c r="K65" s="24">
        <v>1397</v>
      </c>
      <c r="L65" s="8"/>
      <c r="M65" s="24">
        <v>1404</v>
      </c>
      <c r="N65" s="8"/>
      <c r="O65" s="24">
        <v>1427</v>
      </c>
      <c r="P65" s="8"/>
      <c r="Q65" s="24">
        <v>1427</v>
      </c>
      <c r="R65" s="8"/>
      <c r="S65" s="24">
        <v>1440</v>
      </c>
      <c r="T65" s="8"/>
      <c r="U65" s="24">
        <v>1447</v>
      </c>
      <c r="V65" s="8"/>
      <c r="W65" s="24">
        <v>1468</v>
      </c>
      <c r="X65" s="8"/>
      <c r="Y65" s="24">
        <v>1464</v>
      </c>
      <c r="Z65" s="8"/>
      <c r="AA65" s="24">
        <v>1464</v>
      </c>
      <c r="AB65" s="8"/>
      <c r="AC65" s="8"/>
      <c r="AE65" s="8"/>
      <c r="AG65" s="8"/>
    </row>
    <row r="66" ht="12" customHeight="1">
      <c r="A66" s="11" t="s">
        <v>193</v>
      </c>
      <c r="B66" s="8" t="s">
        <v>1030</v>
      </c>
      <c r="C66" s="24">
        <v>1525</v>
      </c>
      <c r="D66" s="8"/>
      <c r="E66" s="24">
        <v>1629</v>
      </c>
      <c r="F66" s="8"/>
      <c r="G66" s="24">
        <v>1680</v>
      </c>
      <c r="H66" s="8"/>
      <c r="I66" s="24">
        <v>1821</v>
      </c>
      <c r="J66" s="8"/>
      <c r="K66" s="24">
        <v>2000</v>
      </c>
      <c r="L66" s="8"/>
      <c r="M66" s="24">
        <v>2090</v>
      </c>
      <c r="N66" s="8"/>
      <c r="O66" s="24">
        <v>2134</v>
      </c>
      <c r="P66" s="8"/>
      <c r="Q66" s="24">
        <v>2154</v>
      </c>
      <c r="R66" s="8"/>
      <c r="S66" s="24">
        <v>2141</v>
      </c>
      <c r="T66" s="8"/>
      <c r="U66" s="24">
        <v>2097</v>
      </c>
      <c r="V66" s="8"/>
      <c r="W66" s="24">
        <v>1961</v>
      </c>
      <c r="X66" s="8"/>
      <c r="Y66" s="24">
        <v>1834</v>
      </c>
      <c r="Z66" s="8"/>
      <c r="AA66" s="24">
        <v>1757</v>
      </c>
      <c r="AB66" s="8"/>
      <c r="AC66" s="8"/>
      <c r="AE66" s="8"/>
      <c r="AG66" s="8"/>
    </row>
    <row r="67" ht="12" customHeight="1">
      <c r="A67" s="8" t="s">
        <v>195</v>
      </c>
      <c r="B67" s="8" t="s">
        <v>1031</v>
      </c>
      <c r="C67" s="24">
        <v>1525</v>
      </c>
      <c r="D67" s="8"/>
      <c r="E67" s="24">
        <v>1629</v>
      </c>
      <c r="F67" s="8"/>
      <c r="G67" s="24">
        <v>1680</v>
      </c>
      <c r="H67" s="8"/>
      <c r="I67" s="24">
        <v>1821</v>
      </c>
      <c r="J67" s="8"/>
      <c r="K67" s="24">
        <v>2000</v>
      </c>
      <c r="L67" s="8"/>
      <c r="M67" s="24">
        <v>2090</v>
      </c>
      <c r="N67" s="8"/>
      <c r="O67" s="24">
        <v>2134</v>
      </c>
      <c r="P67" s="8"/>
      <c r="Q67" s="24">
        <v>2154</v>
      </c>
      <c r="R67" s="8"/>
      <c r="S67" s="24">
        <v>2141</v>
      </c>
      <c r="T67" s="8"/>
      <c r="U67" s="24">
        <v>2097</v>
      </c>
      <c r="V67" s="8"/>
      <c r="W67" s="24">
        <v>1961</v>
      </c>
      <c r="X67" s="8"/>
      <c r="Y67" s="24">
        <v>1834</v>
      </c>
      <c r="Z67" s="8"/>
      <c r="AA67" s="24">
        <v>1757</v>
      </c>
      <c r="AB67" s="8"/>
      <c r="AC67" s="8"/>
      <c r="AE67" s="8"/>
      <c r="AG67" s="8"/>
    </row>
    <row r="68" ht="12" customHeight="1">
      <c r="A68" s="13" t="s">
        <v>69</v>
      </c>
      <c r="B68" s="10" t="s">
        <v>66</v>
      </c>
      <c r="C68" s="25">
        <v>1224</v>
      </c>
      <c r="D68" s="10"/>
      <c r="E68" s="25">
        <v>1244</v>
      </c>
      <c r="F68" s="10"/>
      <c r="G68" s="25">
        <v>1262</v>
      </c>
      <c r="H68" s="10"/>
      <c r="I68" s="25">
        <v>1295</v>
      </c>
      <c r="J68" s="10"/>
      <c r="K68" s="25">
        <v>1313</v>
      </c>
      <c r="L68" s="10"/>
      <c r="M68" s="25">
        <v>1326</v>
      </c>
      <c r="N68" s="10"/>
      <c r="O68" s="25">
        <v>1333</v>
      </c>
      <c r="P68" s="10"/>
      <c r="Q68" s="25">
        <v>1343</v>
      </c>
      <c r="R68" s="10"/>
      <c r="S68" s="25">
        <v>1348</v>
      </c>
      <c r="T68" s="10"/>
      <c r="U68" s="25">
        <v>1353</v>
      </c>
      <c r="V68" s="10"/>
      <c r="W68" s="25">
        <v>1351</v>
      </c>
      <c r="X68" s="10"/>
      <c r="Y68" s="25">
        <v>1354</v>
      </c>
      <c r="Z68" s="10"/>
      <c r="AA68" s="25">
        <v>1359</v>
      </c>
      <c r="AB68" s="10"/>
      <c r="AC68" s="8"/>
      <c r="AE68" s="8"/>
      <c r="AG68" s="10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1032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971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198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70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350000000000001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972</v>
      </c>
      <c r="C8" s="29">
        <v>1.3</v>
      </c>
      <c r="D8" s="29"/>
      <c r="E8" s="29">
        <v>3.6000000000000001</v>
      </c>
      <c r="F8" s="29"/>
      <c r="G8" s="29">
        <v>2.2999999999999998</v>
      </c>
      <c r="H8" s="29"/>
      <c r="I8" s="29">
        <v>1</v>
      </c>
      <c r="J8" s="29"/>
      <c r="K8" s="29">
        <v>-1.2</v>
      </c>
      <c r="L8" s="29"/>
      <c r="M8" s="29">
        <v>0.5</v>
      </c>
      <c r="N8" s="29"/>
      <c r="O8" s="29">
        <v>0.29999999999999999</v>
      </c>
      <c r="P8" s="29"/>
      <c r="Q8" s="29">
        <v>1.3999999999999999</v>
      </c>
      <c r="R8" s="29"/>
      <c r="S8" s="29">
        <v>-0.80000000000000004</v>
      </c>
      <c r="T8" s="29"/>
      <c r="U8" s="29">
        <v>1.7</v>
      </c>
      <c r="V8" s="29"/>
      <c r="W8" s="29">
        <v>1.6000000000000001</v>
      </c>
      <c r="X8" s="29"/>
      <c r="Y8" s="29">
        <v>1.7</v>
      </c>
      <c r="Z8" s="29"/>
      <c r="AA8" s="29">
        <v>-0.80000000000000004</v>
      </c>
      <c r="AB8" s="18"/>
      <c r="AC8" s="18"/>
    </row>
    <row r="9" ht="12" customHeight="1">
      <c r="A9" s="8" t="s">
        <v>79</v>
      </c>
      <c r="B9" s="8" t="s">
        <v>973</v>
      </c>
      <c r="C9" s="26">
        <v>-7.5</v>
      </c>
      <c r="D9" s="8"/>
      <c r="E9" s="26">
        <v>9.4000000000000004</v>
      </c>
      <c r="F9" s="8"/>
      <c r="G9" s="26">
        <v>0.5</v>
      </c>
      <c r="H9" s="8"/>
      <c r="I9" s="26">
        <v>1.6000000000000001</v>
      </c>
      <c r="J9" s="8"/>
      <c r="K9" s="26">
        <v>-7.7999999999999998</v>
      </c>
      <c r="L9" s="8"/>
      <c r="M9" s="26">
        <v>-2.1000000000000001</v>
      </c>
      <c r="N9" s="8"/>
      <c r="O9" s="26">
        <v>-5.4000000000000004</v>
      </c>
      <c r="P9" s="8"/>
      <c r="Q9" s="26">
        <v>6</v>
      </c>
      <c r="R9" s="8"/>
      <c r="S9" s="26">
        <v>-6.7999999999999998</v>
      </c>
      <c r="T9" s="8"/>
      <c r="U9" s="26">
        <v>1.3999999999999999</v>
      </c>
      <c r="V9" s="8"/>
      <c r="W9" s="26">
        <v>3.1000000000000001</v>
      </c>
      <c r="X9" s="8"/>
      <c r="Y9" s="26">
        <v>8.4000000000000004</v>
      </c>
      <c r="Z9" s="8"/>
      <c r="AA9" s="26">
        <v>-8.5</v>
      </c>
      <c r="AB9" s="8"/>
      <c r="AC9" s="8"/>
    </row>
    <row r="10" ht="12" customHeight="1">
      <c r="A10" s="8" t="s">
        <v>81</v>
      </c>
      <c r="B10" s="8" t="s">
        <v>974</v>
      </c>
      <c r="C10" s="26">
        <v>4.2000000000000002</v>
      </c>
      <c r="D10" s="8"/>
      <c r="E10" s="26">
        <v>1.6000000000000001</v>
      </c>
      <c r="F10" s="8"/>
      <c r="G10" s="26">
        <v>1.7</v>
      </c>
      <c r="H10" s="8"/>
      <c r="I10" s="26">
        <v>0.59999999999999998</v>
      </c>
      <c r="J10" s="8"/>
      <c r="K10" s="26">
        <v>-1.3</v>
      </c>
      <c r="L10" s="8"/>
      <c r="M10" s="26">
        <v>-0.5</v>
      </c>
      <c r="N10" s="8"/>
      <c r="O10" s="26">
        <v>0.5</v>
      </c>
      <c r="P10" s="8"/>
      <c r="Q10" s="26">
        <v>1.3999999999999999</v>
      </c>
      <c r="R10" s="8"/>
      <c r="S10" s="26">
        <v>0.5</v>
      </c>
      <c r="T10" s="8"/>
      <c r="U10" s="26">
        <v>1.3999999999999999</v>
      </c>
      <c r="V10" s="8"/>
      <c r="W10" s="26">
        <v>1.3</v>
      </c>
      <c r="X10" s="8"/>
      <c r="Y10" s="26">
        <v>3.5</v>
      </c>
      <c r="Z10" s="8"/>
      <c r="AA10" s="26">
        <v>0.69999999999999996</v>
      </c>
      <c r="AB10" s="8"/>
      <c r="AC10" s="8"/>
    </row>
    <row r="11" ht="12" customHeight="1">
      <c r="A11" s="8" t="s">
        <v>83</v>
      </c>
      <c r="B11" s="8" t="s">
        <v>975</v>
      </c>
      <c r="C11" s="26">
        <v>3.1000000000000001</v>
      </c>
      <c r="D11" s="8"/>
      <c r="E11" s="26">
        <v>4.5</v>
      </c>
      <c r="F11" s="8"/>
      <c r="G11" s="26">
        <v>2.7000000000000002</v>
      </c>
      <c r="H11" s="8"/>
      <c r="I11" s="26">
        <v>0.20000000000000001</v>
      </c>
      <c r="J11" s="8"/>
      <c r="K11" s="26">
        <v>-0.40000000000000002</v>
      </c>
      <c r="L11" s="8"/>
      <c r="M11" s="26">
        <v>1.3</v>
      </c>
      <c r="N11" s="8"/>
      <c r="O11" s="26">
        <v>1.1000000000000001</v>
      </c>
      <c r="P11" s="8"/>
      <c r="Q11" s="26">
        <v>0.59999999999999998</v>
      </c>
      <c r="R11" s="8"/>
      <c r="S11" s="26">
        <v>-0.59999999999999998</v>
      </c>
      <c r="T11" s="8"/>
      <c r="U11" s="26">
        <v>3</v>
      </c>
      <c r="V11" s="8"/>
      <c r="W11" s="26">
        <v>1.5</v>
      </c>
      <c r="X11" s="8"/>
      <c r="Y11" s="26">
        <v>0.40000000000000002</v>
      </c>
      <c r="Z11" s="8"/>
      <c r="AA11" s="26">
        <v>-0.29999999999999999</v>
      </c>
      <c r="AB11" s="8"/>
      <c r="AC11" s="8"/>
    </row>
    <row r="12" ht="12" customHeight="1">
      <c r="A12" s="8" t="s">
        <v>85</v>
      </c>
      <c r="B12" s="8" t="s">
        <v>976</v>
      </c>
      <c r="C12" s="26">
        <v>2.8999999999999999</v>
      </c>
      <c r="D12" s="8"/>
      <c r="E12" s="26">
        <v>2.2000000000000002</v>
      </c>
      <c r="F12" s="8"/>
      <c r="G12" s="26">
        <v>2.7000000000000002</v>
      </c>
      <c r="H12" s="8"/>
      <c r="I12" s="26">
        <v>0.59999999999999998</v>
      </c>
      <c r="J12" s="8"/>
      <c r="K12" s="26">
        <v>0</v>
      </c>
      <c r="L12" s="8"/>
      <c r="M12" s="26">
        <v>1</v>
      </c>
      <c r="N12" s="8"/>
      <c r="O12" s="26">
        <v>2.2000000000000002</v>
      </c>
      <c r="P12" s="8"/>
      <c r="Q12" s="26">
        <v>0.69999999999999996</v>
      </c>
      <c r="R12" s="8"/>
      <c r="S12" s="26">
        <v>0</v>
      </c>
      <c r="T12" s="8"/>
      <c r="U12" s="26">
        <v>2.5</v>
      </c>
      <c r="V12" s="8"/>
      <c r="W12" s="26">
        <v>2.7000000000000002</v>
      </c>
      <c r="X12" s="8"/>
      <c r="Y12" s="26">
        <v>-0.80000000000000004</v>
      </c>
      <c r="Z12" s="8"/>
      <c r="AA12" s="26">
        <v>0.5</v>
      </c>
      <c r="AB12" s="8"/>
      <c r="AC12" s="8"/>
    </row>
    <row r="13" ht="12" customHeight="1">
      <c r="A13" s="8" t="s">
        <v>87</v>
      </c>
      <c r="B13" s="8" t="s">
        <v>977</v>
      </c>
      <c r="C13" s="26">
        <v>2</v>
      </c>
      <c r="D13" s="8"/>
      <c r="E13" s="26">
        <v>1.7</v>
      </c>
      <c r="F13" s="8"/>
      <c r="G13" s="26">
        <v>3</v>
      </c>
      <c r="H13" s="8"/>
      <c r="I13" s="26">
        <v>1.7</v>
      </c>
      <c r="J13" s="8"/>
      <c r="K13" s="26">
        <v>0.80000000000000004</v>
      </c>
      <c r="L13" s="8"/>
      <c r="M13" s="26">
        <v>0.90000000000000002</v>
      </c>
      <c r="N13" s="8"/>
      <c r="O13" s="26">
        <v>1.3</v>
      </c>
      <c r="P13" s="8"/>
      <c r="Q13" s="26">
        <v>0.5</v>
      </c>
      <c r="R13" s="8"/>
      <c r="S13" s="26">
        <v>0.40000000000000002</v>
      </c>
      <c r="T13" s="8"/>
      <c r="U13" s="26">
        <v>0.29999999999999999</v>
      </c>
      <c r="V13" s="8"/>
      <c r="W13" s="26">
        <v>0.80000000000000004</v>
      </c>
      <c r="X13" s="8"/>
      <c r="Y13" s="26">
        <v>0.80000000000000004</v>
      </c>
      <c r="Z13" s="8"/>
      <c r="AA13" s="26">
        <v>0.5</v>
      </c>
      <c r="AB13" s="8"/>
      <c r="AC13" s="8"/>
    </row>
    <row r="14" ht="12" customHeight="1">
      <c r="A14" s="11" t="s">
        <v>89</v>
      </c>
      <c r="B14" s="8" t="s">
        <v>978</v>
      </c>
      <c r="C14" s="26">
        <v>0.69999999999999996</v>
      </c>
      <c r="D14" s="8"/>
      <c r="E14" s="26">
        <v>3.2000000000000002</v>
      </c>
      <c r="F14" s="8"/>
      <c r="G14" s="26">
        <v>1.3999999999999999</v>
      </c>
      <c r="H14" s="8"/>
      <c r="I14" s="26">
        <v>1.3</v>
      </c>
      <c r="J14" s="8"/>
      <c r="K14" s="26">
        <v>0.80000000000000004</v>
      </c>
      <c r="L14" s="8"/>
      <c r="M14" s="26">
        <v>2.3999999999999999</v>
      </c>
      <c r="N14" s="8"/>
      <c r="O14" s="26">
        <v>1</v>
      </c>
      <c r="P14" s="8"/>
      <c r="Q14" s="26">
        <v>0.59999999999999998</v>
      </c>
      <c r="R14" s="8"/>
      <c r="S14" s="26">
        <v>-0.10000000000000001</v>
      </c>
      <c r="T14" s="8"/>
      <c r="U14" s="26">
        <v>1.5</v>
      </c>
      <c r="V14" s="8"/>
      <c r="W14" s="26">
        <v>-0.40000000000000002</v>
      </c>
      <c r="X14" s="8"/>
      <c r="Y14" s="26">
        <v>0.59999999999999998</v>
      </c>
      <c r="Z14" s="8"/>
      <c r="AA14" s="26">
        <v>-0.29999999999999999</v>
      </c>
      <c r="AB14" s="8"/>
      <c r="AC14" s="8"/>
    </row>
    <row r="15" ht="12" customHeight="1">
      <c r="A15" s="8" t="s">
        <v>91</v>
      </c>
      <c r="B15" s="8" t="s">
        <v>979</v>
      </c>
      <c r="C15" s="26">
        <v>0.69999999999999996</v>
      </c>
      <c r="D15" s="8"/>
      <c r="E15" s="26">
        <v>1.8</v>
      </c>
      <c r="F15" s="8"/>
      <c r="G15" s="26">
        <v>1.8</v>
      </c>
      <c r="H15" s="8"/>
      <c r="I15" s="26">
        <v>1.5</v>
      </c>
      <c r="J15" s="8"/>
      <c r="K15" s="26">
        <v>0</v>
      </c>
      <c r="L15" s="8"/>
      <c r="M15" s="26">
        <v>1</v>
      </c>
      <c r="N15" s="8"/>
      <c r="O15" s="26">
        <v>1.3</v>
      </c>
      <c r="P15" s="8"/>
      <c r="Q15" s="26">
        <v>0.80000000000000004</v>
      </c>
      <c r="R15" s="8"/>
      <c r="S15" s="26">
        <v>-0.40000000000000002</v>
      </c>
      <c r="T15" s="8"/>
      <c r="U15" s="26">
        <v>0.80000000000000004</v>
      </c>
      <c r="V15" s="8"/>
      <c r="W15" s="26">
        <v>-0.5</v>
      </c>
      <c r="X15" s="8"/>
      <c r="Y15" s="26">
        <v>0.69999999999999996</v>
      </c>
      <c r="Z15" s="8"/>
      <c r="AA15" s="26">
        <v>-0.80000000000000004</v>
      </c>
      <c r="AB15" s="8"/>
      <c r="AC15" s="8"/>
    </row>
    <row r="16" ht="12" customHeight="1">
      <c r="A16" s="8" t="s">
        <v>93</v>
      </c>
      <c r="B16" s="8" t="s">
        <v>980</v>
      </c>
      <c r="C16" s="26">
        <v>0.69999999999999996</v>
      </c>
      <c r="D16" s="8"/>
      <c r="E16" s="26">
        <v>7.4000000000000004</v>
      </c>
      <c r="F16" s="8"/>
      <c r="G16" s="26">
        <v>0.10000000000000001</v>
      </c>
      <c r="H16" s="8"/>
      <c r="I16" s="26">
        <v>0.5</v>
      </c>
      <c r="J16" s="8"/>
      <c r="K16" s="26">
        <v>3.2000000000000002</v>
      </c>
      <c r="L16" s="8"/>
      <c r="M16" s="26">
        <v>6.2999999999999998</v>
      </c>
      <c r="N16" s="8"/>
      <c r="O16" s="26">
        <v>0</v>
      </c>
      <c r="P16" s="8"/>
      <c r="Q16" s="26">
        <v>0.29999999999999999</v>
      </c>
      <c r="R16" s="8"/>
      <c r="S16" s="26">
        <v>0.69999999999999996</v>
      </c>
      <c r="T16" s="8"/>
      <c r="U16" s="26">
        <v>3.8999999999999999</v>
      </c>
      <c r="V16" s="8"/>
      <c r="W16" s="26">
        <v>0.20000000000000001</v>
      </c>
      <c r="X16" s="8"/>
      <c r="Y16" s="26">
        <v>0</v>
      </c>
      <c r="Z16" s="8"/>
      <c r="AA16" s="26">
        <v>1.6000000000000001</v>
      </c>
      <c r="AB16" s="8"/>
      <c r="AC16" s="8"/>
    </row>
    <row r="17" ht="12" customHeight="1">
      <c r="A17" s="11" t="s">
        <v>95</v>
      </c>
      <c r="B17" s="8" t="s">
        <v>981</v>
      </c>
      <c r="C17" s="26">
        <v>0.59999999999999998</v>
      </c>
      <c r="D17" s="8"/>
      <c r="E17" s="26">
        <v>-0.40000000000000002</v>
      </c>
      <c r="F17" s="8"/>
      <c r="G17" s="26">
        <v>3.2000000000000002</v>
      </c>
      <c r="H17" s="8"/>
      <c r="I17" s="26">
        <v>0.29999999999999999</v>
      </c>
      <c r="J17" s="8"/>
      <c r="K17" s="26">
        <v>1.1000000000000001</v>
      </c>
      <c r="L17" s="8"/>
      <c r="M17" s="26">
        <v>0.10000000000000001</v>
      </c>
      <c r="N17" s="8"/>
      <c r="O17" s="26">
        <v>0.40000000000000002</v>
      </c>
      <c r="P17" s="8"/>
      <c r="Q17" s="26">
        <v>-0.20000000000000001</v>
      </c>
      <c r="R17" s="8"/>
      <c r="S17" s="26">
        <v>-1</v>
      </c>
      <c r="T17" s="8"/>
      <c r="U17" s="26">
        <v>0.20000000000000001</v>
      </c>
      <c r="V17" s="8"/>
      <c r="W17" s="26">
        <v>0.10000000000000001</v>
      </c>
      <c r="X17" s="8"/>
      <c r="Y17" s="26">
        <v>0.5</v>
      </c>
      <c r="Z17" s="8"/>
      <c r="AA17" s="26">
        <v>0.90000000000000002</v>
      </c>
      <c r="AB17" s="8"/>
      <c r="AC17" s="8"/>
    </row>
    <row r="18" ht="12" customHeight="1">
      <c r="A18" s="8" t="s">
        <v>97</v>
      </c>
      <c r="B18" s="8" t="s">
        <v>982</v>
      </c>
      <c r="C18" s="26">
        <v>0.80000000000000004</v>
      </c>
      <c r="D18" s="8"/>
      <c r="E18" s="26">
        <v>-0.59999999999999998</v>
      </c>
      <c r="F18" s="8"/>
      <c r="G18" s="26">
        <v>3.7999999999999998</v>
      </c>
      <c r="H18" s="8"/>
      <c r="I18" s="26">
        <v>0.59999999999999998</v>
      </c>
      <c r="J18" s="8"/>
      <c r="K18" s="26">
        <v>1.3</v>
      </c>
      <c r="L18" s="8"/>
      <c r="M18" s="26">
        <v>0.29999999999999999</v>
      </c>
      <c r="N18" s="8"/>
      <c r="O18" s="26">
        <v>-0.29999999999999999</v>
      </c>
      <c r="P18" s="8"/>
      <c r="Q18" s="26">
        <v>-0.20000000000000001</v>
      </c>
      <c r="R18" s="8"/>
      <c r="S18" s="26">
        <v>-1.1000000000000001</v>
      </c>
      <c r="T18" s="8"/>
      <c r="U18" s="26">
        <v>-0.20000000000000001</v>
      </c>
      <c r="V18" s="8"/>
      <c r="W18" s="26">
        <v>0.69999999999999996</v>
      </c>
      <c r="X18" s="8"/>
      <c r="Y18" s="26">
        <v>0.20000000000000001</v>
      </c>
      <c r="Z18" s="8"/>
      <c r="AA18" s="26">
        <v>1.1000000000000001</v>
      </c>
      <c r="AB18" s="8"/>
      <c r="AC18" s="8"/>
    </row>
    <row r="19" ht="12" customHeight="1">
      <c r="A19" s="8" t="s">
        <v>99</v>
      </c>
      <c r="B19" s="8" t="s">
        <v>983</v>
      </c>
      <c r="C19" s="26">
        <v>-0.29999999999999999</v>
      </c>
      <c r="D19" s="8"/>
      <c r="E19" s="26">
        <v>0.5</v>
      </c>
      <c r="F19" s="8"/>
      <c r="G19" s="26">
        <v>1.3999999999999999</v>
      </c>
      <c r="H19" s="8"/>
      <c r="I19" s="26">
        <v>-0.59999999999999998</v>
      </c>
      <c r="J19" s="8"/>
      <c r="K19" s="26">
        <v>0.29999999999999999</v>
      </c>
      <c r="L19" s="8"/>
      <c r="M19" s="26">
        <v>-0.5</v>
      </c>
      <c r="N19" s="8"/>
      <c r="O19" s="26">
        <v>2.7000000000000002</v>
      </c>
      <c r="P19" s="8"/>
      <c r="Q19" s="26">
        <v>-0.40000000000000002</v>
      </c>
      <c r="R19" s="8"/>
      <c r="S19" s="26">
        <v>-0.59999999999999998</v>
      </c>
      <c r="T19" s="8"/>
      <c r="U19" s="26">
        <v>2.1000000000000001</v>
      </c>
      <c r="V19" s="8"/>
      <c r="W19" s="26">
        <v>-2.5</v>
      </c>
      <c r="X19" s="8"/>
      <c r="Y19" s="26">
        <v>1.8</v>
      </c>
      <c r="Z19" s="8"/>
      <c r="AA19" s="26">
        <v>-0.29999999999999999</v>
      </c>
      <c r="AB19" s="8"/>
      <c r="AC19" s="8"/>
    </row>
    <row r="20" ht="12" customHeight="1">
      <c r="A20" s="11" t="s">
        <v>101</v>
      </c>
      <c r="B20" s="8" t="s">
        <v>984</v>
      </c>
      <c r="C20" s="26">
        <v>1</v>
      </c>
      <c r="D20" s="8"/>
      <c r="E20" s="26">
        <v>0.80000000000000004</v>
      </c>
      <c r="F20" s="8"/>
      <c r="G20" s="26">
        <v>1.3999999999999999</v>
      </c>
      <c r="H20" s="8"/>
      <c r="I20" s="26">
        <v>2.7000000000000002</v>
      </c>
      <c r="J20" s="8"/>
      <c r="K20" s="26">
        <v>0.69999999999999996</v>
      </c>
      <c r="L20" s="8"/>
      <c r="M20" s="26">
        <v>0.5</v>
      </c>
      <c r="N20" s="8"/>
      <c r="O20" s="26">
        <v>1.2</v>
      </c>
      <c r="P20" s="8"/>
      <c r="Q20" s="26">
        <v>3.5</v>
      </c>
      <c r="R20" s="8"/>
      <c r="S20" s="26">
        <v>0.5</v>
      </c>
      <c r="T20" s="8"/>
      <c r="U20" s="26">
        <v>0.69999999999999996</v>
      </c>
      <c r="V20" s="8"/>
      <c r="W20" s="26">
        <v>1.2</v>
      </c>
      <c r="X20" s="8"/>
      <c r="Y20" s="26">
        <v>2.7000000000000002</v>
      </c>
      <c r="Z20" s="8"/>
      <c r="AA20" s="26">
        <v>0.5</v>
      </c>
      <c r="AB20" s="8"/>
      <c r="AC20" s="8"/>
    </row>
    <row r="21" ht="12" customHeight="1">
      <c r="A21" s="8" t="s">
        <v>103</v>
      </c>
      <c r="B21" s="8" t="s">
        <v>985</v>
      </c>
      <c r="C21" s="26">
        <v>1</v>
      </c>
      <c r="D21" s="8"/>
      <c r="E21" s="26">
        <v>1.2</v>
      </c>
      <c r="F21" s="8"/>
      <c r="G21" s="26">
        <v>1.2</v>
      </c>
      <c r="H21" s="8"/>
      <c r="I21" s="26">
        <v>1.2</v>
      </c>
      <c r="J21" s="8"/>
      <c r="K21" s="26">
        <v>1.1000000000000001</v>
      </c>
      <c r="L21" s="8"/>
      <c r="M21" s="26">
        <v>1.2</v>
      </c>
      <c r="N21" s="8"/>
      <c r="O21" s="26">
        <v>1.3</v>
      </c>
      <c r="P21" s="8"/>
      <c r="Q21" s="26">
        <v>0.90000000000000002</v>
      </c>
      <c r="R21" s="8"/>
      <c r="S21" s="26">
        <v>0.80000000000000004</v>
      </c>
      <c r="T21" s="8"/>
      <c r="U21" s="26">
        <v>0.69999999999999996</v>
      </c>
      <c r="V21" s="8"/>
      <c r="W21" s="26">
        <v>0.80000000000000004</v>
      </c>
      <c r="X21" s="8"/>
      <c r="Y21" s="26">
        <v>0.29999999999999999</v>
      </c>
      <c r="Z21" s="8"/>
      <c r="AA21" s="26">
        <v>0.10000000000000001</v>
      </c>
      <c r="AB21" s="8"/>
      <c r="AC21" s="8"/>
    </row>
    <row r="22" ht="12" customHeight="1">
      <c r="A22" s="8" t="s">
        <v>105</v>
      </c>
      <c r="B22" s="8" t="s">
        <v>986</v>
      </c>
      <c r="C22" s="26">
        <v>1</v>
      </c>
      <c r="D22" s="8"/>
      <c r="E22" s="26">
        <v>1.2</v>
      </c>
      <c r="F22" s="8"/>
      <c r="G22" s="26">
        <v>1.2</v>
      </c>
      <c r="H22" s="8"/>
      <c r="I22" s="26">
        <v>1.2</v>
      </c>
      <c r="J22" s="8"/>
      <c r="K22" s="26">
        <v>1.1000000000000001</v>
      </c>
      <c r="L22" s="8"/>
      <c r="M22" s="26">
        <v>1.2</v>
      </c>
      <c r="N22" s="8"/>
      <c r="O22" s="26">
        <v>1.3</v>
      </c>
      <c r="P22" s="8"/>
      <c r="Q22" s="26">
        <v>0.90000000000000002</v>
      </c>
      <c r="R22" s="8"/>
      <c r="S22" s="26">
        <v>0.80000000000000004</v>
      </c>
      <c r="T22" s="8"/>
      <c r="U22" s="26">
        <v>0.69999999999999996</v>
      </c>
      <c r="V22" s="8"/>
      <c r="W22" s="26">
        <v>0.80000000000000004</v>
      </c>
      <c r="X22" s="8"/>
      <c r="Y22" s="26">
        <v>0.29999999999999999</v>
      </c>
      <c r="Z22" s="8"/>
      <c r="AA22" s="26">
        <v>0.10000000000000001</v>
      </c>
      <c r="AB22" s="8"/>
      <c r="AC22" s="8"/>
    </row>
    <row r="23" ht="12" customHeight="1">
      <c r="A23" s="8" t="s">
        <v>107</v>
      </c>
      <c r="B23" s="8" t="s">
        <v>987</v>
      </c>
      <c r="C23" s="26">
        <v>1.6000000000000001</v>
      </c>
      <c r="D23" s="8"/>
      <c r="E23" s="26">
        <v>0</v>
      </c>
      <c r="F23" s="8"/>
      <c r="G23" s="26">
        <v>1.8</v>
      </c>
      <c r="H23" s="8"/>
      <c r="I23" s="26">
        <v>0.59999999999999998</v>
      </c>
      <c r="J23" s="8"/>
      <c r="K23" s="26">
        <v>0.10000000000000001</v>
      </c>
      <c r="L23" s="8"/>
      <c r="M23" s="26">
        <v>0.10000000000000001</v>
      </c>
      <c r="N23" s="8"/>
      <c r="O23" s="26">
        <v>1.3</v>
      </c>
      <c r="P23" s="8"/>
      <c r="Q23" s="26">
        <v>0.59999999999999998</v>
      </c>
      <c r="R23" s="8"/>
      <c r="S23" s="26">
        <v>-0.10000000000000001</v>
      </c>
      <c r="T23" s="8"/>
      <c r="U23" s="26">
        <v>0.40000000000000002</v>
      </c>
      <c r="V23" s="8"/>
      <c r="W23" s="26">
        <v>0.29999999999999999</v>
      </c>
      <c r="X23" s="8"/>
      <c r="Y23" s="26">
        <v>0.69999999999999996</v>
      </c>
      <c r="Z23" s="8"/>
      <c r="AA23" s="26">
        <v>0.80000000000000004</v>
      </c>
      <c r="AB23" s="8"/>
      <c r="AC23" s="8"/>
    </row>
    <row r="24" ht="12" customHeight="1">
      <c r="A24" s="8" t="s">
        <v>109</v>
      </c>
      <c r="B24" s="8" t="s">
        <v>988</v>
      </c>
      <c r="C24" s="26">
        <v>0</v>
      </c>
      <c r="D24" s="8"/>
      <c r="E24" s="26">
        <v>0.10000000000000001</v>
      </c>
      <c r="F24" s="8"/>
      <c r="G24" s="26">
        <v>0.20000000000000001</v>
      </c>
      <c r="H24" s="8"/>
      <c r="I24" s="26">
        <v>9.3000000000000007</v>
      </c>
      <c r="J24" s="8"/>
      <c r="K24" s="26">
        <v>0</v>
      </c>
      <c r="L24" s="8"/>
      <c r="M24" s="26">
        <v>0</v>
      </c>
      <c r="N24" s="8"/>
      <c r="O24" s="26">
        <v>0.20000000000000001</v>
      </c>
      <c r="P24" s="8"/>
      <c r="Q24" s="26">
        <v>11.4</v>
      </c>
      <c r="R24" s="8"/>
      <c r="S24" s="26">
        <v>0.20000000000000001</v>
      </c>
      <c r="T24" s="8"/>
      <c r="U24" s="26">
        <v>0</v>
      </c>
      <c r="V24" s="8"/>
      <c r="W24" s="26">
        <v>0</v>
      </c>
      <c r="X24" s="8"/>
      <c r="Y24" s="26">
        <v>8.0999999999999996</v>
      </c>
      <c r="Z24" s="8"/>
      <c r="AA24" s="26">
        <v>0</v>
      </c>
      <c r="AB24" s="8"/>
      <c r="AC24" s="8"/>
    </row>
    <row r="25" ht="12" customHeight="1">
      <c r="A25" s="8" t="s">
        <v>111</v>
      </c>
      <c r="B25" s="8" t="s">
        <v>989</v>
      </c>
      <c r="C25" s="26">
        <v>0</v>
      </c>
      <c r="D25" s="8"/>
      <c r="E25" s="26">
        <v>0</v>
      </c>
      <c r="F25" s="8"/>
      <c r="G25" s="26">
        <v>0</v>
      </c>
      <c r="H25" s="8"/>
      <c r="I25" s="26">
        <v>9.6999999999999993</v>
      </c>
      <c r="J25" s="8"/>
      <c r="K25" s="26">
        <v>0</v>
      </c>
      <c r="L25" s="8"/>
      <c r="M25" s="26">
        <v>0</v>
      </c>
      <c r="N25" s="8"/>
      <c r="O25" s="26">
        <v>0</v>
      </c>
      <c r="P25" s="8"/>
      <c r="Q25" s="26">
        <v>11.9</v>
      </c>
      <c r="R25" s="8"/>
      <c r="S25" s="26">
        <v>0</v>
      </c>
      <c r="T25" s="8"/>
      <c r="U25" s="26">
        <v>0</v>
      </c>
      <c r="V25" s="8"/>
      <c r="W25" s="26">
        <v>0</v>
      </c>
      <c r="X25" s="8"/>
      <c r="Y25" s="26">
        <v>8.8000000000000007</v>
      </c>
      <c r="Z25" s="8"/>
      <c r="AA25" s="26">
        <v>0</v>
      </c>
      <c r="AB25" s="8"/>
      <c r="AC25" s="8"/>
    </row>
    <row r="26" ht="12" customHeight="1">
      <c r="A26" s="8" t="s">
        <v>113</v>
      </c>
      <c r="B26" s="8" t="s">
        <v>990</v>
      </c>
      <c r="C26" s="26">
        <v>1.3</v>
      </c>
      <c r="D26" s="8"/>
      <c r="E26" s="26">
        <v>2.6000000000000001</v>
      </c>
      <c r="F26" s="8"/>
      <c r="G26" s="26">
        <v>2.7000000000000002</v>
      </c>
      <c r="H26" s="8"/>
      <c r="I26" s="26">
        <v>-0.90000000000000002</v>
      </c>
      <c r="J26" s="8"/>
      <c r="K26" s="26">
        <v>1.8</v>
      </c>
      <c r="L26" s="8"/>
      <c r="M26" s="26">
        <v>0.29999999999999999</v>
      </c>
      <c r="N26" s="8"/>
      <c r="O26" s="26">
        <v>2.7000000000000002</v>
      </c>
      <c r="P26" s="8"/>
      <c r="Q26" s="26">
        <v>0.90000000000000002</v>
      </c>
      <c r="R26" s="8"/>
      <c r="S26" s="26">
        <v>1.1000000000000001</v>
      </c>
      <c r="T26" s="8"/>
      <c r="U26" s="26">
        <v>2.6000000000000001</v>
      </c>
      <c r="V26" s="8"/>
      <c r="W26" s="26">
        <v>4.7000000000000002</v>
      </c>
      <c r="X26" s="8"/>
      <c r="Y26" s="26">
        <v>2.7999999999999998</v>
      </c>
      <c r="Z26" s="8"/>
      <c r="AA26" s="26">
        <v>1.8</v>
      </c>
      <c r="AB26" s="8"/>
      <c r="AC26" s="8"/>
    </row>
    <row r="27" ht="12" customHeight="1">
      <c r="A27" s="8" t="s">
        <v>115</v>
      </c>
      <c r="B27" s="8" t="s">
        <v>991</v>
      </c>
      <c r="C27" s="26">
        <v>1</v>
      </c>
      <c r="D27" s="8"/>
      <c r="E27" s="26">
        <v>2.5</v>
      </c>
      <c r="F27" s="8"/>
      <c r="G27" s="26">
        <v>2.5</v>
      </c>
      <c r="H27" s="8"/>
      <c r="I27" s="26">
        <v>-1.7</v>
      </c>
      <c r="J27" s="8"/>
      <c r="K27" s="26">
        <v>1.7</v>
      </c>
      <c r="L27" s="8"/>
      <c r="M27" s="26">
        <v>0.20000000000000001</v>
      </c>
      <c r="N27" s="8"/>
      <c r="O27" s="26">
        <v>3</v>
      </c>
      <c r="P27" s="8"/>
      <c r="Q27" s="26">
        <v>0.59999999999999998</v>
      </c>
      <c r="R27" s="8"/>
      <c r="S27" s="26">
        <v>0.5</v>
      </c>
      <c r="T27" s="8"/>
      <c r="U27" s="26">
        <v>2.2000000000000002</v>
      </c>
      <c r="V27" s="8"/>
      <c r="W27" s="26">
        <v>5</v>
      </c>
      <c r="X27" s="8"/>
      <c r="Y27" s="26">
        <v>3.2000000000000002</v>
      </c>
      <c r="Z27" s="8"/>
      <c r="AA27" s="26">
        <v>1.3</v>
      </c>
      <c r="AB27" s="8"/>
      <c r="AC27" s="8"/>
    </row>
    <row r="28" ht="12" customHeight="1">
      <c r="A28" s="11" t="s">
        <v>117</v>
      </c>
      <c r="B28" s="8" t="s">
        <v>992</v>
      </c>
      <c r="C28" s="26">
        <v>3.1000000000000001</v>
      </c>
      <c r="D28" s="8"/>
      <c r="E28" s="26">
        <v>-0.40000000000000002</v>
      </c>
      <c r="F28" s="8"/>
      <c r="G28" s="26">
        <v>2.5</v>
      </c>
      <c r="H28" s="8"/>
      <c r="I28" s="26">
        <v>-1.3</v>
      </c>
      <c r="J28" s="8"/>
      <c r="K28" s="26">
        <v>0.80000000000000004</v>
      </c>
      <c r="L28" s="8"/>
      <c r="M28" s="26">
        <v>-1.3999999999999999</v>
      </c>
      <c r="N28" s="8"/>
      <c r="O28" s="26">
        <v>1.3</v>
      </c>
      <c r="P28" s="8"/>
      <c r="Q28" s="26">
        <v>-0.20000000000000001</v>
      </c>
      <c r="R28" s="8"/>
      <c r="S28" s="26">
        <v>-0.69999999999999996</v>
      </c>
      <c r="T28" s="8"/>
      <c r="U28" s="26">
        <v>-0.40000000000000002</v>
      </c>
      <c r="V28" s="8"/>
      <c r="W28" s="26">
        <v>0.29999999999999999</v>
      </c>
      <c r="X28" s="8"/>
      <c r="Y28" s="26">
        <v>-1.2</v>
      </c>
      <c r="Z28" s="8"/>
      <c r="AA28" s="26">
        <v>0.90000000000000002</v>
      </c>
      <c r="AB28" s="8"/>
      <c r="AC28" s="8"/>
    </row>
    <row r="29" ht="12" customHeight="1">
      <c r="A29" s="8" t="s">
        <v>119</v>
      </c>
      <c r="B29" s="8" t="s">
        <v>993</v>
      </c>
      <c r="C29" s="26">
        <v>5.2000000000000002</v>
      </c>
      <c r="D29" s="8"/>
      <c r="E29" s="26">
        <v>-2</v>
      </c>
      <c r="F29" s="8"/>
      <c r="G29" s="26">
        <v>1.7</v>
      </c>
      <c r="H29" s="8"/>
      <c r="I29" s="26">
        <v>-1.2</v>
      </c>
      <c r="J29" s="8"/>
      <c r="K29" s="26">
        <v>-0.69999999999999996</v>
      </c>
      <c r="L29" s="8"/>
      <c r="M29" s="26">
        <v>-4</v>
      </c>
      <c r="N29" s="8"/>
      <c r="O29" s="26">
        <v>1.2</v>
      </c>
      <c r="P29" s="8"/>
      <c r="Q29" s="26">
        <v>1.6000000000000001</v>
      </c>
      <c r="R29" s="8"/>
      <c r="S29" s="26">
        <v>0.29999999999999999</v>
      </c>
      <c r="T29" s="8"/>
      <c r="U29" s="26">
        <v>-0.90000000000000002</v>
      </c>
      <c r="V29" s="8"/>
      <c r="W29" s="26">
        <v>-1.3999999999999999</v>
      </c>
      <c r="X29" s="8"/>
      <c r="Y29" s="26">
        <v>-2.6000000000000001</v>
      </c>
      <c r="Z29" s="8"/>
      <c r="AA29" s="26">
        <v>4.5</v>
      </c>
      <c r="AB29" s="8"/>
      <c r="AC29" s="8"/>
    </row>
    <row r="30" ht="12" customHeight="1">
      <c r="A30" s="8" t="s">
        <v>121</v>
      </c>
      <c r="B30" s="8" t="s">
        <v>994</v>
      </c>
      <c r="C30" s="26">
        <v>2.7999999999999998</v>
      </c>
      <c r="D30" s="8"/>
      <c r="E30" s="26">
        <v>1.7</v>
      </c>
      <c r="F30" s="8"/>
      <c r="G30" s="26">
        <v>1.3</v>
      </c>
      <c r="H30" s="8"/>
      <c r="I30" s="26">
        <v>-4</v>
      </c>
      <c r="J30" s="8"/>
      <c r="K30" s="26">
        <v>7.2000000000000002</v>
      </c>
      <c r="L30" s="8"/>
      <c r="M30" s="26">
        <v>-3.1000000000000001</v>
      </c>
      <c r="N30" s="8"/>
      <c r="O30" s="26">
        <v>9.5</v>
      </c>
      <c r="P30" s="8"/>
      <c r="Q30" s="26">
        <v>-4.5</v>
      </c>
      <c r="R30" s="8"/>
      <c r="S30" s="26">
        <v>-6.7000000000000002</v>
      </c>
      <c r="T30" s="8"/>
      <c r="U30" s="26">
        <v>4.2999999999999998</v>
      </c>
      <c r="V30" s="8"/>
      <c r="W30" s="26">
        <v>3.7000000000000002</v>
      </c>
      <c r="X30" s="8"/>
      <c r="Y30" s="26">
        <v>-1</v>
      </c>
      <c r="Z30" s="8"/>
      <c r="AA30" s="26">
        <v>-2.1000000000000001</v>
      </c>
      <c r="AB30" s="8"/>
      <c r="AC30" s="8"/>
    </row>
    <row r="31" ht="12" customHeight="1">
      <c r="A31" s="8" t="s">
        <v>123</v>
      </c>
      <c r="B31" s="8" t="s">
        <v>995</v>
      </c>
      <c r="C31" s="26">
        <v>0.69999999999999996</v>
      </c>
      <c r="D31" s="8"/>
      <c r="E31" s="26">
        <v>-1.3</v>
      </c>
      <c r="F31" s="8"/>
      <c r="G31" s="26">
        <v>3.5</v>
      </c>
      <c r="H31" s="8"/>
      <c r="I31" s="26">
        <v>-1.5</v>
      </c>
      <c r="J31" s="8"/>
      <c r="K31" s="26">
        <v>-0.40000000000000002</v>
      </c>
      <c r="L31" s="8"/>
      <c r="M31" s="26">
        <v>-1.3999999999999999</v>
      </c>
      <c r="N31" s="8"/>
      <c r="O31" s="26">
        <v>-0.40000000000000002</v>
      </c>
      <c r="P31" s="8"/>
      <c r="Q31" s="26">
        <v>-0.90000000000000002</v>
      </c>
      <c r="R31" s="8"/>
      <c r="S31" s="26">
        <v>0.69999999999999996</v>
      </c>
      <c r="T31" s="8"/>
      <c r="U31" s="26">
        <v>-1.5</v>
      </c>
      <c r="V31" s="8"/>
      <c r="W31" s="26">
        <v>0.69999999999999996</v>
      </c>
      <c r="X31" s="8"/>
      <c r="Y31" s="26">
        <v>-0.5</v>
      </c>
      <c r="Z31" s="8"/>
      <c r="AA31" s="26">
        <v>0.10000000000000001</v>
      </c>
      <c r="AB31" s="8"/>
      <c r="AC31" s="8"/>
    </row>
    <row r="32" ht="12" customHeight="1">
      <c r="A32" s="8" t="s">
        <v>125</v>
      </c>
      <c r="B32" s="8" t="s">
        <v>996</v>
      </c>
      <c r="C32" s="26">
        <v>6</v>
      </c>
      <c r="D32" s="8"/>
      <c r="E32" s="26">
        <v>-3.7000000000000002</v>
      </c>
      <c r="F32" s="8"/>
      <c r="G32" s="26">
        <v>3.3999999999999999</v>
      </c>
      <c r="H32" s="8"/>
      <c r="I32" s="26">
        <v>-3.1000000000000001</v>
      </c>
      <c r="J32" s="8"/>
      <c r="K32" s="26">
        <v>7.7999999999999998</v>
      </c>
      <c r="L32" s="8"/>
      <c r="M32" s="26">
        <v>0.69999999999999996</v>
      </c>
      <c r="N32" s="8"/>
      <c r="O32" s="26">
        <v>-0.40000000000000002</v>
      </c>
      <c r="P32" s="8"/>
      <c r="Q32" s="26">
        <v>-3.1000000000000001</v>
      </c>
      <c r="R32" s="8"/>
      <c r="S32" s="26">
        <v>1.3</v>
      </c>
      <c r="T32" s="8"/>
      <c r="U32" s="26">
        <v>1.8</v>
      </c>
      <c r="V32" s="8"/>
      <c r="W32" s="26">
        <v>-1.3</v>
      </c>
      <c r="X32" s="8"/>
      <c r="Y32" s="26">
        <v>-0.90000000000000002</v>
      </c>
      <c r="Z32" s="8"/>
      <c r="AA32" s="26">
        <v>-2.3999999999999999</v>
      </c>
      <c r="AB32" s="8"/>
      <c r="AC32" s="8"/>
    </row>
    <row r="33" ht="12" customHeight="1">
      <c r="A33" s="8" t="s">
        <v>127</v>
      </c>
      <c r="B33" s="8" t="s">
        <v>997</v>
      </c>
      <c r="C33" s="26">
        <v>2.2999999999999998</v>
      </c>
      <c r="D33" s="8"/>
      <c r="E33" s="26">
        <v>0.40000000000000002</v>
      </c>
      <c r="F33" s="8"/>
      <c r="G33" s="26">
        <v>3.7999999999999998</v>
      </c>
      <c r="H33" s="8"/>
      <c r="I33" s="26">
        <v>0</v>
      </c>
      <c r="J33" s="8"/>
      <c r="K33" s="26">
        <v>-0.5</v>
      </c>
      <c r="L33" s="8"/>
      <c r="M33" s="26">
        <v>1</v>
      </c>
      <c r="N33" s="8"/>
      <c r="O33" s="26">
        <v>-2.8999999999999999</v>
      </c>
      <c r="P33" s="8"/>
      <c r="Q33" s="26">
        <v>-0.29999999999999999</v>
      </c>
      <c r="R33" s="8"/>
      <c r="S33" s="26">
        <v>-0.59999999999999998</v>
      </c>
      <c r="T33" s="8"/>
      <c r="U33" s="26">
        <v>-1</v>
      </c>
      <c r="V33" s="8"/>
      <c r="W33" s="26">
        <v>0.20000000000000001</v>
      </c>
      <c r="X33" s="8"/>
      <c r="Y33" s="26">
        <v>-0.10000000000000001</v>
      </c>
      <c r="Z33" s="8"/>
      <c r="AA33" s="26">
        <v>-2.1000000000000001</v>
      </c>
      <c r="AB33" s="8"/>
      <c r="AC33" s="8"/>
    </row>
    <row r="34" ht="12" customHeight="1">
      <c r="A34" s="8" t="s">
        <v>129</v>
      </c>
      <c r="B34" s="8" t="s">
        <v>998</v>
      </c>
      <c r="C34" s="26">
        <v>2.3999999999999999</v>
      </c>
      <c r="D34" s="8"/>
      <c r="E34" s="26">
        <v>1.7</v>
      </c>
      <c r="F34" s="8"/>
      <c r="G34" s="26">
        <v>2.2000000000000002</v>
      </c>
      <c r="H34" s="8"/>
      <c r="I34" s="26">
        <v>-0.29999999999999999</v>
      </c>
      <c r="J34" s="8"/>
      <c r="K34" s="26">
        <v>-0.5</v>
      </c>
      <c r="L34" s="8"/>
      <c r="M34" s="26">
        <v>0.59999999999999998</v>
      </c>
      <c r="N34" s="8"/>
      <c r="O34" s="26">
        <v>0.80000000000000004</v>
      </c>
      <c r="P34" s="8"/>
      <c r="Q34" s="26">
        <v>1.8</v>
      </c>
      <c r="R34" s="8"/>
      <c r="S34" s="26">
        <v>-0.5</v>
      </c>
      <c r="T34" s="8"/>
      <c r="U34" s="26">
        <v>-0.80000000000000004</v>
      </c>
      <c r="V34" s="8"/>
      <c r="W34" s="26">
        <v>1.2</v>
      </c>
      <c r="X34" s="8"/>
      <c r="Y34" s="26">
        <v>-0.40000000000000002</v>
      </c>
      <c r="Z34" s="8"/>
      <c r="AA34" s="26">
        <v>-0.10000000000000001</v>
      </c>
      <c r="AB34" s="8"/>
      <c r="AC34" s="8"/>
    </row>
    <row r="35" ht="12" customHeight="1">
      <c r="A35" s="11" t="s">
        <v>131</v>
      </c>
      <c r="B35" s="8" t="s">
        <v>999</v>
      </c>
      <c r="C35" s="26">
        <v>1.3999999999999999</v>
      </c>
      <c r="D35" s="8"/>
      <c r="E35" s="26">
        <v>0.69999999999999996</v>
      </c>
      <c r="F35" s="8"/>
      <c r="G35" s="26">
        <v>1.6000000000000001</v>
      </c>
      <c r="H35" s="8"/>
      <c r="I35" s="26">
        <v>-0.40000000000000002</v>
      </c>
      <c r="J35" s="8"/>
      <c r="K35" s="26">
        <v>2.2000000000000002</v>
      </c>
      <c r="L35" s="8"/>
      <c r="M35" s="26">
        <v>1.8999999999999999</v>
      </c>
      <c r="N35" s="8"/>
      <c r="O35" s="26">
        <v>0.5</v>
      </c>
      <c r="P35" s="8"/>
      <c r="Q35" s="26">
        <v>3.7999999999999998</v>
      </c>
      <c r="R35" s="8"/>
      <c r="S35" s="26">
        <v>-0.10000000000000001</v>
      </c>
      <c r="T35" s="8"/>
      <c r="U35" s="26">
        <v>0.29999999999999999</v>
      </c>
      <c r="V35" s="8"/>
      <c r="W35" s="26">
        <v>0.10000000000000001</v>
      </c>
      <c r="X35" s="8"/>
      <c r="Y35" s="26">
        <v>0.40000000000000002</v>
      </c>
      <c r="Z35" s="8"/>
      <c r="AA35" s="26">
        <v>-0.10000000000000001</v>
      </c>
      <c r="AB35" s="8"/>
      <c r="AC35" s="8"/>
    </row>
    <row r="36" ht="12" customHeight="1">
      <c r="A36" s="8" t="s">
        <v>133</v>
      </c>
      <c r="B36" s="8" t="s">
        <v>1000</v>
      </c>
      <c r="C36" s="26">
        <v>1.3</v>
      </c>
      <c r="D36" s="8"/>
      <c r="E36" s="26">
        <v>-0.10000000000000001</v>
      </c>
      <c r="F36" s="8"/>
      <c r="G36" s="26">
        <v>1.5</v>
      </c>
      <c r="H36" s="8"/>
      <c r="I36" s="26">
        <v>-7.2999999999999998</v>
      </c>
      <c r="J36" s="8"/>
      <c r="K36" s="26">
        <v>0.40000000000000002</v>
      </c>
      <c r="L36" s="8"/>
      <c r="M36" s="26">
        <v>-0.29999999999999999</v>
      </c>
      <c r="N36" s="8"/>
      <c r="O36" s="26">
        <v>0.59999999999999998</v>
      </c>
      <c r="P36" s="8"/>
      <c r="Q36" s="26">
        <v>10.199999999999999</v>
      </c>
      <c r="R36" s="8"/>
      <c r="S36" s="26">
        <v>-3.7000000000000002</v>
      </c>
      <c r="T36" s="8"/>
      <c r="U36" s="26">
        <v>0.20000000000000001</v>
      </c>
      <c r="V36" s="8"/>
      <c r="W36" s="26">
        <v>-0.59999999999999998</v>
      </c>
      <c r="X36" s="8"/>
      <c r="Y36" s="26">
        <v>-2.6000000000000001</v>
      </c>
      <c r="Z36" s="8"/>
      <c r="AA36" s="26">
        <v>-2.3999999999999999</v>
      </c>
      <c r="AB36" s="8"/>
      <c r="AC36" s="8"/>
    </row>
    <row r="37" ht="12" customHeight="1">
      <c r="A37" s="8" t="s">
        <v>135</v>
      </c>
      <c r="B37" s="8" t="s">
        <v>1001</v>
      </c>
      <c r="C37" s="26">
        <v>1.5</v>
      </c>
      <c r="D37" s="8"/>
      <c r="E37" s="26">
        <v>0.59999999999999998</v>
      </c>
      <c r="F37" s="8"/>
      <c r="G37" s="26">
        <v>1.3</v>
      </c>
      <c r="H37" s="8"/>
      <c r="I37" s="26">
        <v>1.1000000000000001</v>
      </c>
      <c r="J37" s="8"/>
      <c r="K37" s="26">
        <v>2.3999999999999999</v>
      </c>
      <c r="L37" s="8"/>
      <c r="M37" s="26">
        <v>2.6000000000000001</v>
      </c>
      <c r="N37" s="8"/>
      <c r="O37" s="26">
        <v>0.20000000000000001</v>
      </c>
      <c r="P37" s="8"/>
      <c r="Q37" s="26">
        <v>0.80000000000000004</v>
      </c>
      <c r="R37" s="8"/>
      <c r="S37" s="26">
        <v>1</v>
      </c>
      <c r="T37" s="8"/>
      <c r="U37" s="26">
        <v>0.40000000000000002</v>
      </c>
      <c r="V37" s="8"/>
      <c r="W37" s="26">
        <v>0.40000000000000002</v>
      </c>
      <c r="X37" s="8"/>
      <c r="Y37" s="26">
        <v>1.8</v>
      </c>
      <c r="Z37" s="8"/>
      <c r="AA37" s="26">
        <v>0.90000000000000002</v>
      </c>
      <c r="AB37" s="8"/>
      <c r="AC37" s="8"/>
    </row>
    <row r="38" ht="12" customHeight="1">
      <c r="A38" s="8" t="s">
        <v>137</v>
      </c>
      <c r="B38" s="8" t="s">
        <v>1002</v>
      </c>
      <c r="C38" s="26">
        <v>1</v>
      </c>
      <c r="D38" s="8"/>
      <c r="E38" s="26">
        <v>1.7</v>
      </c>
      <c r="F38" s="8"/>
      <c r="G38" s="26">
        <v>2.6000000000000001</v>
      </c>
      <c r="H38" s="8"/>
      <c r="I38" s="26">
        <v>3.6000000000000001</v>
      </c>
      <c r="J38" s="8"/>
      <c r="K38" s="26">
        <v>4.0999999999999996</v>
      </c>
      <c r="L38" s="8"/>
      <c r="M38" s="26">
        <v>2.5</v>
      </c>
      <c r="N38" s="8"/>
      <c r="O38" s="26">
        <v>0.80000000000000004</v>
      </c>
      <c r="P38" s="8"/>
      <c r="Q38" s="26">
        <v>6.5999999999999996</v>
      </c>
      <c r="R38" s="8"/>
      <c r="S38" s="26">
        <v>0.90000000000000002</v>
      </c>
      <c r="T38" s="8"/>
      <c r="U38" s="26">
        <v>0.10000000000000001</v>
      </c>
      <c r="V38" s="8"/>
      <c r="W38" s="26">
        <v>0.90000000000000002</v>
      </c>
      <c r="X38" s="8"/>
      <c r="Y38" s="26">
        <v>1.5</v>
      </c>
      <c r="Z38" s="8"/>
      <c r="AA38" s="26">
        <v>1</v>
      </c>
      <c r="AB38" s="8"/>
      <c r="AC38" s="8"/>
    </row>
    <row r="39" ht="12" customHeight="1">
      <c r="A39" s="11" t="s">
        <v>139</v>
      </c>
      <c r="B39" s="8" t="s">
        <v>1003</v>
      </c>
      <c r="C39" s="26">
        <v>1.1000000000000001</v>
      </c>
      <c r="D39" s="8"/>
      <c r="E39" s="26">
        <v>-0.69999999999999996</v>
      </c>
      <c r="F39" s="8"/>
      <c r="G39" s="26">
        <v>-1.6000000000000001</v>
      </c>
      <c r="H39" s="8"/>
      <c r="I39" s="26">
        <v>6.4000000000000004</v>
      </c>
      <c r="J39" s="8"/>
      <c r="K39" s="26">
        <v>-0.5</v>
      </c>
      <c r="L39" s="8"/>
      <c r="M39" s="26">
        <v>-2.6000000000000001</v>
      </c>
      <c r="N39" s="8"/>
      <c r="O39" s="26">
        <v>-0.5</v>
      </c>
      <c r="P39" s="8"/>
      <c r="Q39" s="26">
        <v>-2.1000000000000001</v>
      </c>
      <c r="R39" s="8"/>
      <c r="S39" s="26">
        <v>1.2</v>
      </c>
      <c r="T39" s="8"/>
      <c r="U39" s="26">
        <v>-0.10000000000000001</v>
      </c>
      <c r="V39" s="8"/>
      <c r="W39" s="26">
        <v>-0.29999999999999999</v>
      </c>
      <c r="X39" s="8"/>
      <c r="Y39" s="26">
        <v>0.59999999999999998</v>
      </c>
      <c r="Z39" s="8"/>
      <c r="AA39" s="26">
        <v>2.3999999999999999</v>
      </c>
      <c r="AB39" s="8"/>
      <c r="AC39" s="8"/>
    </row>
    <row r="40" ht="12" customHeight="1">
      <c r="A40" s="8" t="s">
        <v>141</v>
      </c>
      <c r="B40" s="8" t="s">
        <v>1004</v>
      </c>
      <c r="C40" s="26">
        <v>0.29999999999999999</v>
      </c>
      <c r="D40" s="8"/>
      <c r="E40" s="26">
        <v>0.80000000000000004</v>
      </c>
      <c r="F40" s="8"/>
      <c r="G40" s="26">
        <v>1.2</v>
      </c>
      <c r="H40" s="8"/>
      <c r="I40" s="26">
        <v>3.1000000000000001</v>
      </c>
      <c r="J40" s="8"/>
      <c r="K40" s="26">
        <v>-1.7</v>
      </c>
      <c r="L40" s="8"/>
      <c r="M40" s="26">
        <v>-2</v>
      </c>
      <c r="N40" s="8"/>
      <c r="O40" s="26">
        <v>-1.5</v>
      </c>
      <c r="P40" s="8"/>
      <c r="Q40" s="26">
        <v>-1.6000000000000001</v>
      </c>
      <c r="R40" s="8"/>
      <c r="S40" s="26">
        <v>1</v>
      </c>
      <c r="T40" s="8"/>
      <c r="U40" s="26">
        <v>0.40000000000000002</v>
      </c>
      <c r="V40" s="8"/>
      <c r="W40" s="26">
        <v>0.29999999999999999</v>
      </c>
      <c r="X40" s="8"/>
      <c r="Y40" s="26">
        <v>0</v>
      </c>
      <c r="Z40" s="8"/>
      <c r="AA40" s="26">
        <v>0.59999999999999998</v>
      </c>
      <c r="AB40" s="8"/>
      <c r="AC40" s="8"/>
    </row>
    <row r="41" ht="12" customHeight="1">
      <c r="A41" s="8" t="s">
        <v>143</v>
      </c>
      <c r="B41" s="8" t="s">
        <v>1005</v>
      </c>
      <c r="C41" s="26">
        <v>-4.2000000000000002</v>
      </c>
      <c r="D41" s="8"/>
      <c r="E41" s="26">
        <v>-2</v>
      </c>
      <c r="F41" s="8"/>
      <c r="G41" s="26">
        <v>-1.3</v>
      </c>
      <c r="H41" s="8"/>
      <c r="I41" s="26">
        <v>11.6</v>
      </c>
      <c r="J41" s="8"/>
      <c r="K41" s="26">
        <v>0.69999999999999996</v>
      </c>
      <c r="L41" s="8"/>
      <c r="M41" s="26">
        <v>-1.3999999999999999</v>
      </c>
      <c r="N41" s="8"/>
      <c r="O41" s="26">
        <v>1.8999999999999999</v>
      </c>
      <c r="P41" s="8"/>
      <c r="Q41" s="26">
        <v>-4.2999999999999998</v>
      </c>
      <c r="R41" s="8"/>
      <c r="S41" s="26">
        <v>-0.80000000000000004</v>
      </c>
      <c r="T41" s="8"/>
      <c r="U41" s="26">
        <v>2.7999999999999998</v>
      </c>
      <c r="V41" s="8"/>
      <c r="W41" s="26">
        <v>-1</v>
      </c>
      <c r="X41" s="8"/>
      <c r="Y41" s="26">
        <v>0.40000000000000002</v>
      </c>
      <c r="Z41" s="8"/>
      <c r="AA41" s="26">
        <v>1.6000000000000001</v>
      </c>
      <c r="AB41" s="8"/>
      <c r="AC41" s="8"/>
    </row>
    <row r="42" ht="12" customHeight="1">
      <c r="A42" s="8" t="s">
        <v>145</v>
      </c>
      <c r="B42" s="8" t="s">
        <v>1006</v>
      </c>
      <c r="C42" s="26">
        <v>-7.2999999999999998</v>
      </c>
      <c r="D42" s="8"/>
      <c r="E42" s="26">
        <v>-2.6000000000000001</v>
      </c>
      <c r="F42" s="8"/>
      <c r="G42" s="26">
        <v>-1.5</v>
      </c>
      <c r="H42" s="8"/>
      <c r="I42" s="26">
        <v>16.5</v>
      </c>
      <c r="J42" s="8"/>
      <c r="K42" s="26">
        <v>0</v>
      </c>
      <c r="L42" s="8"/>
      <c r="M42" s="26">
        <v>-2.2000000000000002</v>
      </c>
      <c r="N42" s="8"/>
      <c r="O42" s="26">
        <v>0.80000000000000004</v>
      </c>
      <c r="P42" s="8"/>
      <c r="Q42" s="26">
        <v>-6.5999999999999996</v>
      </c>
      <c r="R42" s="8"/>
      <c r="S42" s="26">
        <v>-1.5</v>
      </c>
      <c r="T42" s="8"/>
      <c r="U42" s="26">
        <v>4.5999999999999996</v>
      </c>
      <c r="V42" s="8"/>
      <c r="W42" s="26">
        <v>-4.7999999999999998</v>
      </c>
      <c r="X42" s="8"/>
      <c r="Y42" s="26">
        <v>0.20000000000000001</v>
      </c>
      <c r="Z42" s="8"/>
      <c r="AA42" s="26">
        <v>2.5</v>
      </c>
      <c r="AB42" s="8"/>
      <c r="AC42" s="8"/>
    </row>
    <row r="43" ht="12" customHeight="1">
      <c r="A43" s="8" t="s">
        <v>147</v>
      </c>
      <c r="B43" s="8" t="s">
        <v>1007</v>
      </c>
      <c r="C43" s="26">
        <v>15.300000000000001</v>
      </c>
      <c r="D43" s="8"/>
      <c r="E43" s="26">
        <v>-0.5</v>
      </c>
      <c r="F43" s="8"/>
      <c r="G43" s="26">
        <v>-7.2000000000000002</v>
      </c>
      <c r="H43" s="8"/>
      <c r="I43" s="26">
        <v>2.3999999999999999</v>
      </c>
      <c r="J43" s="8"/>
      <c r="K43" s="26">
        <v>-1.1000000000000001</v>
      </c>
      <c r="L43" s="8"/>
      <c r="M43" s="26">
        <v>-6</v>
      </c>
      <c r="N43" s="8"/>
      <c r="O43" s="26">
        <v>-3.7000000000000002</v>
      </c>
      <c r="P43" s="8"/>
      <c r="Q43" s="26">
        <v>2.2000000000000002</v>
      </c>
      <c r="R43" s="8"/>
      <c r="S43" s="26">
        <v>6</v>
      </c>
      <c r="T43" s="8"/>
      <c r="U43" s="26">
        <v>-4.7000000000000002</v>
      </c>
      <c r="V43" s="8"/>
      <c r="W43" s="26">
        <v>-0.10000000000000001</v>
      </c>
      <c r="X43" s="8"/>
      <c r="Y43" s="26">
        <v>1.8</v>
      </c>
      <c r="Z43" s="8"/>
      <c r="AA43" s="26">
        <v>6</v>
      </c>
      <c r="AB43" s="8"/>
      <c r="AC43" s="8"/>
    </row>
    <row r="44" ht="12" customHeight="1">
      <c r="A44" s="11" t="s">
        <v>149</v>
      </c>
      <c r="B44" s="8" t="s">
        <v>1008</v>
      </c>
      <c r="C44" s="26">
        <v>0.29999999999999999</v>
      </c>
      <c r="D44" s="8"/>
      <c r="E44" s="26">
        <v>0.5</v>
      </c>
      <c r="F44" s="8"/>
      <c r="G44" s="26">
        <v>-1.1000000000000001</v>
      </c>
      <c r="H44" s="8"/>
      <c r="I44" s="26">
        <v>0.5</v>
      </c>
      <c r="J44" s="8"/>
      <c r="K44" s="26">
        <v>3.6000000000000001</v>
      </c>
      <c r="L44" s="8"/>
      <c r="M44" s="26">
        <v>-0.29999999999999999</v>
      </c>
      <c r="N44" s="8"/>
      <c r="O44" s="26">
        <v>1.6000000000000001</v>
      </c>
      <c r="P44" s="8"/>
      <c r="Q44" s="26">
        <v>-1</v>
      </c>
      <c r="R44" s="8"/>
      <c r="S44" s="26">
        <v>1.8</v>
      </c>
      <c r="T44" s="8"/>
      <c r="U44" s="26">
        <v>0.10000000000000001</v>
      </c>
      <c r="V44" s="8"/>
      <c r="W44" s="26">
        <v>-0.40000000000000002</v>
      </c>
      <c r="X44" s="8"/>
      <c r="Y44" s="26">
        <v>0.40000000000000002</v>
      </c>
      <c r="Z44" s="8"/>
      <c r="AA44" s="26">
        <v>4.2999999999999998</v>
      </c>
      <c r="AB44" s="8"/>
      <c r="AC44" s="8"/>
    </row>
    <row r="45" ht="12" customHeight="1">
      <c r="A45" s="8" t="s">
        <v>151</v>
      </c>
      <c r="B45" s="8" t="s">
        <v>1009</v>
      </c>
      <c r="C45" s="26">
        <v>2</v>
      </c>
      <c r="D45" s="8"/>
      <c r="E45" s="26">
        <v>1.5</v>
      </c>
      <c r="F45" s="8"/>
      <c r="G45" s="26">
        <v>-1.8</v>
      </c>
      <c r="H45" s="8"/>
      <c r="I45" s="26">
        <v>5.5</v>
      </c>
      <c r="J45" s="8"/>
      <c r="K45" s="26">
        <v>3</v>
      </c>
      <c r="L45" s="8"/>
      <c r="M45" s="26">
        <v>-3.7000000000000002</v>
      </c>
      <c r="N45" s="8"/>
      <c r="O45" s="26">
        <v>0</v>
      </c>
      <c r="P45" s="8"/>
      <c r="Q45" s="26">
        <v>1.8</v>
      </c>
      <c r="R45" s="8"/>
      <c r="S45" s="26">
        <v>0.90000000000000002</v>
      </c>
      <c r="T45" s="8"/>
      <c r="U45" s="26">
        <v>-0.40000000000000002</v>
      </c>
      <c r="V45" s="8"/>
      <c r="W45" s="26">
        <v>0.90000000000000002</v>
      </c>
      <c r="X45" s="8"/>
      <c r="Y45" s="26">
        <v>7.5</v>
      </c>
      <c r="Z45" s="8"/>
      <c r="AA45" s="26">
        <v>0.20000000000000001</v>
      </c>
      <c r="AB45" s="8"/>
      <c r="AC45" s="8"/>
    </row>
    <row r="46" ht="12" customHeight="1">
      <c r="A46" s="8" t="s">
        <v>153</v>
      </c>
      <c r="B46" s="8" t="s">
        <v>1010</v>
      </c>
      <c r="C46" s="26">
        <v>-0.40000000000000002</v>
      </c>
      <c r="D46" s="8"/>
      <c r="E46" s="26">
        <v>1.3999999999999999</v>
      </c>
      <c r="F46" s="8"/>
      <c r="G46" s="26">
        <v>-9.6999999999999993</v>
      </c>
      <c r="H46" s="8"/>
      <c r="I46" s="26">
        <v>-6.5</v>
      </c>
      <c r="J46" s="8"/>
      <c r="K46" s="26">
        <v>16</v>
      </c>
      <c r="L46" s="8"/>
      <c r="M46" s="26">
        <v>-2.7999999999999998</v>
      </c>
      <c r="N46" s="8"/>
      <c r="O46" s="26">
        <v>8</v>
      </c>
      <c r="P46" s="8"/>
      <c r="Q46" s="26">
        <v>-14.9</v>
      </c>
      <c r="R46" s="8"/>
      <c r="S46" s="26">
        <v>-0.40000000000000002</v>
      </c>
      <c r="T46" s="8"/>
      <c r="U46" s="26">
        <v>-5.2000000000000002</v>
      </c>
      <c r="V46" s="8"/>
      <c r="W46" s="26">
        <v>-7.0999999999999996</v>
      </c>
      <c r="X46" s="8"/>
      <c r="Y46" s="26">
        <v>-3.6000000000000001</v>
      </c>
      <c r="Z46" s="8"/>
      <c r="AA46" s="26">
        <v>11.699999999999999</v>
      </c>
      <c r="AB46" s="8"/>
      <c r="AC46" s="8"/>
    </row>
    <row r="47" ht="12" customHeight="1">
      <c r="A47" s="8" t="s">
        <v>155</v>
      </c>
      <c r="B47" s="8" t="s">
        <v>1011</v>
      </c>
      <c r="C47" s="26">
        <v>0.10000000000000001</v>
      </c>
      <c r="D47" s="8"/>
      <c r="E47" s="26">
        <v>0.20000000000000001</v>
      </c>
      <c r="F47" s="8"/>
      <c r="G47" s="26">
        <v>1.1000000000000001</v>
      </c>
      <c r="H47" s="8"/>
      <c r="I47" s="26">
        <v>1.3999999999999999</v>
      </c>
      <c r="J47" s="8"/>
      <c r="K47" s="26">
        <v>1.3</v>
      </c>
      <c r="L47" s="8"/>
      <c r="M47" s="26">
        <v>0.59999999999999998</v>
      </c>
      <c r="N47" s="8"/>
      <c r="O47" s="26">
        <v>0.5</v>
      </c>
      <c r="P47" s="8"/>
      <c r="Q47" s="26">
        <v>1.8999999999999999</v>
      </c>
      <c r="R47" s="8"/>
      <c r="S47" s="26">
        <v>2.2999999999999998</v>
      </c>
      <c r="T47" s="8"/>
      <c r="U47" s="26">
        <v>1.7</v>
      </c>
      <c r="V47" s="8"/>
      <c r="W47" s="26">
        <v>1.3999999999999999</v>
      </c>
      <c r="X47" s="8"/>
      <c r="Y47" s="26">
        <v>1</v>
      </c>
      <c r="Z47" s="8"/>
      <c r="AA47" s="26">
        <v>2.8999999999999999</v>
      </c>
      <c r="AB47" s="8"/>
      <c r="AC47" s="8"/>
    </row>
    <row r="48" ht="12" customHeight="1">
      <c r="A48" s="11" t="s">
        <v>157</v>
      </c>
      <c r="B48" s="8" t="s">
        <v>1012</v>
      </c>
      <c r="C48" s="26">
        <v>3.2999999999999998</v>
      </c>
      <c r="D48" s="8"/>
      <c r="E48" s="26">
        <v>0.59999999999999998</v>
      </c>
      <c r="F48" s="8"/>
      <c r="G48" s="26">
        <v>1.3999999999999999</v>
      </c>
      <c r="H48" s="8"/>
      <c r="I48" s="26">
        <v>0.80000000000000004</v>
      </c>
      <c r="J48" s="8"/>
      <c r="K48" s="26">
        <v>0.90000000000000002</v>
      </c>
      <c r="L48" s="8"/>
      <c r="M48" s="26">
        <v>2.8999999999999999</v>
      </c>
      <c r="N48" s="8"/>
      <c r="O48" s="26">
        <v>-2.1000000000000001</v>
      </c>
      <c r="P48" s="8"/>
      <c r="Q48" s="26">
        <v>0.40000000000000002</v>
      </c>
      <c r="R48" s="8"/>
      <c r="S48" s="26">
        <v>2.1000000000000001</v>
      </c>
      <c r="T48" s="8"/>
      <c r="U48" s="26">
        <v>0.10000000000000001</v>
      </c>
      <c r="V48" s="8"/>
      <c r="W48" s="26">
        <v>0.69999999999999996</v>
      </c>
      <c r="X48" s="8"/>
      <c r="Y48" s="26">
        <v>0.69999999999999996</v>
      </c>
      <c r="Z48" s="8"/>
      <c r="AA48" s="26">
        <v>1.7</v>
      </c>
      <c r="AB48" s="8"/>
      <c r="AC48" s="8"/>
    </row>
    <row r="49" ht="12" customHeight="1">
      <c r="A49" s="8" t="s">
        <v>159</v>
      </c>
      <c r="B49" s="8" t="s">
        <v>1013</v>
      </c>
      <c r="C49" s="26">
        <v>4.9000000000000004</v>
      </c>
      <c r="D49" s="8"/>
      <c r="E49" s="26">
        <v>-4.4000000000000004</v>
      </c>
      <c r="F49" s="8"/>
      <c r="G49" s="26">
        <v>-12.5</v>
      </c>
      <c r="H49" s="8"/>
      <c r="I49" s="26">
        <v>1.8</v>
      </c>
      <c r="J49" s="8"/>
      <c r="K49" s="26">
        <v>7.2999999999999998</v>
      </c>
      <c r="L49" s="8"/>
      <c r="M49" s="26">
        <v>-8.5</v>
      </c>
      <c r="N49" s="8"/>
      <c r="O49" s="26">
        <v>-6.2999999999999998</v>
      </c>
      <c r="P49" s="8"/>
      <c r="Q49" s="26">
        <v>3.8999999999999999</v>
      </c>
      <c r="R49" s="8"/>
      <c r="S49" s="26">
        <v>3.7999999999999998</v>
      </c>
      <c r="T49" s="8"/>
      <c r="U49" s="26">
        <v>-7.5999999999999996</v>
      </c>
      <c r="V49" s="8"/>
      <c r="W49" s="26">
        <v>-15</v>
      </c>
      <c r="X49" s="8"/>
      <c r="Y49" s="26">
        <v>3</v>
      </c>
      <c r="Z49" s="8"/>
      <c r="AA49" s="26">
        <v>9.4000000000000004</v>
      </c>
      <c r="AB49" s="8"/>
      <c r="AC49" s="8"/>
    </row>
    <row r="50" ht="12" customHeight="1">
      <c r="A50" s="8" t="s">
        <v>161</v>
      </c>
      <c r="B50" s="8" t="s">
        <v>1014</v>
      </c>
      <c r="C50" s="26">
        <v>1.5</v>
      </c>
      <c r="D50" s="8"/>
      <c r="E50" s="26">
        <v>1</v>
      </c>
      <c r="F50" s="8"/>
      <c r="G50" s="26">
        <v>-0.10000000000000001</v>
      </c>
      <c r="H50" s="8"/>
      <c r="I50" s="26">
        <v>0.29999999999999999</v>
      </c>
      <c r="J50" s="8"/>
      <c r="K50" s="26">
        <v>-0.20000000000000001</v>
      </c>
      <c r="L50" s="8"/>
      <c r="M50" s="26">
        <v>0.5</v>
      </c>
      <c r="N50" s="8"/>
      <c r="O50" s="26">
        <v>0.80000000000000004</v>
      </c>
      <c r="P50" s="8"/>
      <c r="Q50" s="26">
        <v>-1</v>
      </c>
      <c r="R50" s="8"/>
      <c r="S50" s="26">
        <v>0</v>
      </c>
      <c r="T50" s="8"/>
      <c r="U50" s="26">
        <v>0.69999999999999996</v>
      </c>
      <c r="V50" s="8"/>
      <c r="W50" s="26">
        <v>1.8</v>
      </c>
      <c r="X50" s="8"/>
      <c r="Y50" s="26">
        <v>-0.40000000000000002</v>
      </c>
      <c r="Z50" s="8"/>
      <c r="AA50" s="26">
        <v>0.80000000000000004</v>
      </c>
      <c r="AB50" s="8"/>
      <c r="AC50" s="8"/>
    </row>
    <row r="51" ht="12" customHeight="1">
      <c r="A51" s="8" t="s">
        <v>163</v>
      </c>
      <c r="B51" s="8" t="s">
        <v>1015</v>
      </c>
      <c r="C51" s="26">
        <v>2.8999999999999999</v>
      </c>
      <c r="D51" s="8"/>
      <c r="E51" s="26">
        <v>1.3999999999999999</v>
      </c>
      <c r="F51" s="8"/>
      <c r="G51" s="26">
        <v>2.8999999999999999</v>
      </c>
      <c r="H51" s="8"/>
      <c r="I51" s="26">
        <v>-0.29999999999999999</v>
      </c>
      <c r="J51" s="8"/>
      <c r="K51" s="26">
        <v>0.20000000000000001</v>
      </c>
      <c r="L51" s="8"/>
      <c r="M51" s="26">
        <v>1.2</v>
      </c>
      <c r="N51" s="8"/>
      <c r="O51" s="26">
        <v>-2.7999999999999998</v>
      </c>
      <c r="P51" s="8"/>
      <c r="Q51" s="26">
        <v>2.2000000000000002</v>
      </c>
      <c r="R51" s="8"/>
      <c r="S51" s="26">
        <v>2</v>
      </c>
      <c r="T51" s="8"/>
      <c r="U51" s="26">
        <v>-1.3999999999999999</v>
      </c>
      <c r="V51" s="8"/>
      <c r="W51" s="26">
        <v>-2.1000000000000001</v>
      </c>
      <c r="X51" s="8"/>
      <c r="Y51" s="26">
        <v>1.3</v>
      </c>
      <c r="Z51" s="8"/>
      <c r="AA51" s="26">
        <v>0.80000000000000004</v>
      </c>
      <c r="AB51" s="8"/>
      <c r="AC51" s="8"/>
    </row>
    <row r="52" ht="12" customHeight="1">
      <c r="A52" s="8" t="s">
        <v>165</v>
      </c>
      <c r="B52" s="8" t="s">
        <v>1016</v>
      </c>
      <c r="C52" s="26">
        <v>2.2999999999999998</v>
      </c>
      <c r="D52" s="8"/>
      <c r="E52" s="26">
        <v>1.2</v>
      </c>
      <c r="F52" s="8"/>
      <c r="G52" s="26">
        <v>2.3999999999999999</v>
      </c>
      <c r="H52" s="8"/>
      <c r="I52" s="26">
        <v>1.3999999999999999</v>
      </c>
      <c r="J52" s="8"/>
      <c r="K52" s="26">
        <v>1.5</v>
      </c>
      <c r="L52" s="8"/>
      <c r="M52" s="26">
        <v>1.8999999999999999</v>
      </c>
      <c r="N52" s="8"/>
      <c r="O52" s="26">
        <v>2.3999999999999999</v>
      </c>
      <c r="P52" s="8"/>
      <c r="Q52" s="26">
        <v>1</v>
      </c>
      <c r="R52" s="8"/>
      <c r="S52" s="26">
        <v>0.20000000000000001</v>
      </c>
      <c r="T52" s="8"/>
      <c r="U52" s="26">
        <v>0.5</v>
      </c>
      <c r="V52" s="8"/>
      <c r="W52" s="26">
        <v>4.7999999999999998</v>
      </c>
      <c r="X52" s="8"/>
      <c r="Y52" s="26">
        <v>0.59999999999999998</v>
      </c>
      <c r="Z52" s="8"/>
      <c r="AA52" s="26">
        <v>0.10000000000000001</v>
      </c>
      <c r="AB52" s="8"/>
      <c r="AC52" s="8"/>
    </row>
    <row r="53" ht="12" customHeight="1">
      <c r="A53" s="8" t="s">
        <v>167</v>
      </c>
      <c r="B53" s="8" t="s">
        <v>1017</v>
      </c>
      <c r="C53" s="26">
        <v>3.2999999999999998</v>
      </c>
      <c r="D53" s="8"/>
      <c r="E53" s="26">
        <v>1.7</v>
      </c>
      <c r="F53" s="8"/>
      <c r="G53" s="26">
        <v>2.7000000000000002</v>
      </c>
      <c r="H53" s="8"/>
      <c r="I53" s="26">
        <v>2.2000000000000002</v>
      </c>
      <c r="J53" s="8"/>
      <c r="K53" s="26">
        <v>0.20000000000000001</v>
      </c>
      <c r="L53" s="8"/>
      <c r="M53" s="26">
        <v>-0.10000000000000001</v>
      </c>
      <c r="N53" s="8"/>
      <c r="O53" s="26">
        <v>1.2</v>
      </c>
      <c r="P53" s="8"/>
      <c r="Q53" s="26">
        <v>-0.20000000000000001</v>
      </c>
      <c r="R53" s="8"/>
      <c r="S53" s="26">
        <v>1.2</v>
      </c>
      <c r="T53" s="8"/>
      <c r="U53" s="26">
        <v>-0.69999999999999996</v>
      </c>
      <c r="V53" s="8"/>
      <c r="W53" s="26">
        <v>0.29999999999999999</v>
      </c>
      <c r="X53" s="8"/>
      <c r="Y53" s="26">
        <v>2.6000000000000001</v>
      </c>
      <c r="Z53" s="8"/>
      <c r="AA53" s="26">
        <v>1.1000000000000001</v>
      </c>
      <c r="AB53" s="8"/>
      <c r="AC53" s="8"/>
    </row>
    <row r="54" ht="12" customHeight="1">
      <c r="A54" s="8" t="s">
        <v>169</v>
      </c>
      <c r="B54" s="8" t="s">
        <v>1018</v>
      </c>
      <c r="C54" s="26">
        <v>4.7999999999999998</v>
      </c>
      <c r="D54" s="8"/>
      <c r="E54" s="26">
        <v>0.20000000000000001</v>
      </c>
      <c r="F54" s="8"/>
      <c r="G54" s="26">
        <v>2.2000000000000002</v>
      </c>
      <c r="H54" s="8"/>
      <c r="I54" s="26">
        <v>0.90000000000000002</v>
      </c>
      <c r="J54" s="8"/>
      <c r="K54" s="26">
        <v>0.5</v>
      </c>
      <c r="L54" s="8"/>
      <c r="M54" s="26">
        <v>6.5999999999999996</v>
      </c>
      <c r="N54" s="8"/>
      <c r="O54" s="26">
        <v>-4.5</v>
      </c>
      <c r="P54" s="8"/>
      <c r="Q54" s="26">
        <v>-1.1000000000000001</v>
      </c>
      <c r="R54" s="8"/>
      <c r="S54" s="26">
        <v>3.3999999999999999</v>
      </c>
      <c r="T54" s="8"/>
      <c r="U54" s="26">
        <v>2.2000000000000002</v>
      </c>
      <c r="V54" s="8"/>
      <c r="W54" s="26">
        <v>1.5</v>
      </c>
      <c r="X54" s="8"/>
      <c r="Y54" s="26">
        <v>0.40000000000000002</v>
      </c>
      <c r="Z54" s="8"/>
      <c r="AA54" s="26">
        <v>3.1000000000000001</v>
      </c>
      <c r="AB54" s="8"/>
      <c r="AC54" s="8"/>
    </row>
    <row r="55" ht="12" customHeight="1">
      <c r="A55" s="11" t="s">
        <v>171</v>
      </c>
      <c r="B55" s="8" t="s">
        <v>1019</v>
      </c>
      <c r="C55" s="26">
        <v>0</v>
      </c>
      <c r="D55" s="8"/>
      <c r="E55" s="26">
        <v>3.2000000000000002</v>
      </c>
      <c r="F55" s="8"/>
      <c r="G55" s="26">
        <v>0</v>
      </c>
      <c r="H55" s="8"/>
      <c r="I55" s="26">
        <v>1.3</v>
      </c>
      <c r="J55" s="8"/>
      <c r="K55" s="26">
        <v>0</v>
      </c>
      <c r="L55" s="8"/>
      <c r="M55" s="26">
        <v>3.7999999999999998</v>
      </c>
      <c r="N55" s="8"/>
      <c r="O55" s="26">
        <v>0</v>
      </c>
      <c r="P55" s="8"/>
      <c r="Q55" s="26">
        <v>-7.7999999999999998</v>
      </c>
      <c r="R55" s="8"/>
      <c r="S55" s="26">
        <v>0</v>
      </c>
      <c r="T55" s="8"/>
      <c r="U55" s="26">
        <v>7.7000000000000002</v>
      </c>
      <c r="V55" s="8"/>
      <c r="W55" s="26">
        <v>0</v>
      </c>
      <c r="X55" s="8"/>
      <c r="Y55" s="26">
        <v>0.69999999999999996</v>
      </c>
      <c r="Z55" s="8"/>
      <c r="AA55" s="26">
        <v>0</v>
      </c>
      <c r="AB55" s="8"/>
      <c r="AC55" s="8"/>
    </row>
    <row r="56" ht="12" customHeight="1">
      <c r="A56" s="8" t="s">
        <v>173</v>
      </c>
      <c r="B56" s="8" t="s">
        <v>1020</v>
      </c>
      <c r="C56" s="26">
        <v>0</v>
      </c>
      <c r="D56" s="8"/>
      <c r="E56" s="26">
        <v>0</v>
      </c>
      <c r="F56" s="8"/>
      <c r="G56" s="26">
        <v>0</v>
      </c>
      <c r="H56" s="8"/>
      <c r="I56" s="26">
        <v>3.6000000000000001</v>
      </c>
      <c r="J56" s="8"/>
      <c r="K56" s="26">
        <v>0</v>
      </c>
      <c r="L56" s="8"/>
      <c r="M56" s="26">
        <v>0</v>
      </c>
      <c r="N56" s="8"/>
      <c r="O56" s="26">
        <v>0</v>
      </c>
      <c r="P56" s="8"/>
      <c r="Q56" s="26">
        <v>-21.899999999999999</v>
      </c>
      <c r="R56" s="8"/>
      <c r="S56" s="26">
        <v>0</v>
      </c>
      <c r="T56" s="8"/>
      <c r="U56" s="26">
        <v>0</v>
      </c>
      <c r="V56" s="8"/>
      <c r="W56" s="26">
        <v>0</v>
      </c>
      <c r="X56" s="8"/>
      <c r="Y56" s="26">
        <v>2.5</v>
      </c>
      <c r="Z56" s="8"/>
      <c r="AA56" s="26">
        <v>0</v>
      </c>
      <c r="AB56" s="8"/>
      <c r="AC56" s="8"/>
    </row>
    <row r="57" ht="12" customHeight="1">
      <c r="A57" s="8" t="s">
        <v>175</v>
      </c>
      <c r="B57" s="8" t="s">
        <v>1021</v>
      </c>
      <c r="C57" s="26">
        <v>0</v>
      </c>
      <c r="D57" s="8"/>
      <c r="E57" s="26">
        <v>5</v>
      </c>
      <c r="F57" s="8"/>
      <c r="G57" s="26">
        <v>0</v>
      </c>
      <c r="H57" s="8"/>
      <c r="I57" s="26">
        <v>0</v>
      </c>
      <c r="J57" s="8"/>
      <c r="K57" s="26">
        <v>0</v>
      </c>
      <c r="L57" s="8"/>
      <c r="M57" s="26">
        <v>6.7000000000000002</v>
      </c>
      <c r="N57" s="8"/>
      <c r="O57" s="26">
        <v>0</v>
      </c>
      <c r="P57" s="8"/>
      <c r="Q57" s="26">
        <v>0</v>
      </c>
      <c r="R57" s="8"/>
      <c r="S57" s="26">
        <v>0</v>
      </c>
      <c r="T57" s="8"/>
      <c r="U57" s="26">
        <v>4.0999999999999996</v>
      </c>
      <c r="V57" s="8"/>
      <c r="W57" s="26">
        <v>0</v>
      </c>
      <c r="X57" s="8"/>
      <c r="Y57" s="26">
        <v>0</v>
      </c>
      <c r="Z57" s="8"/>
      <c r="AA57" s="26">
        <v>0</v>
      </c>
      <c r="AB57" s="8"/>
      <c r="AC57" s="8"/>
    </row>
    <row r="58" ht="12" customHeight="1">
      <c r="A58" s="8" t="s">
        <v>177</v>
      </c>
      <c r="B58" s="8" t="s">
        <v>1022</v>
      </c>
      <c r="C58" s="26">
        <v>0</v>
      </c>
      <c r="D58" s="8"/>
      <c r="E58" s="26">
        <v>5.2000000000000002</v>
      </c>
      <c r="F58" s="8"/>
      <c r="G58" s="26">
        <v>0</v>
      </c>
      <c r="H58" s="8"/>
      <c r="I58" s="26">
        <v>0</v>
      </c>
      <c r="J58" s="8"/>
      <c r="K58" s="26">
        <v>0</v>
      </c>
      <c r="L58" s="8"/>
      <c r="M58" s="26">
        <v>5.2000000000000002</v>
      </c>
      <c r="N58" s="8"/>
      <c r="O58" s="26">
        <v>0</v>
      </c>
      <c r="P58" s="8"/>
      <c r="Q58" s="26">
        <v>0</v>
      </c>
      <c r="R58" s="8"/>
      <c r="S58" s="26">
        <v>0</v>
      </c>
      <c r="T58" s="8"/>
      <c r="U58" s="26">
        <v>22.699999999999999</v>
      </c>
      <c r="V58" s="8"/>
      <c r="W58" s="26">
        <v>0</v>
      </c>
      <c r="X58" s="8"/>
      <c r="Y58" s="26">
        <v>0</v>
      </c>
      <c r="Z58" s="8"/>
      <c r="AA58" s="26">
        <v>0</v>
      </c>
      <c r="AB58" s="8"/>
      <c r="AC58" s="8"/>
    </row>
    <row r="59" ht="12" customHeight="1">
      <c r="A59" s="8" t="s">
        <v>179</v>
      </c>
      <c r="B59" s="8" t="s">
        <v>1023</v>
      </c>
      <c r="C59" s="26">
        <v>0</v>
      </c>
      <c r="D59" s="8"/>
      <c r="E59" s="26">
        <v>5.7999999999999998</v>
      </c>
      <c r="F59" s="8"/>
      <c r="G59" s="26">
        <v>0</v>
      </c>
      <c r="H59" s="8"/>
      <c r="I59" s="26">
        <v>0</v>
      </c>
      <c r="J59" s="8"/>
      <c r="K59" s="26">
        <v>0</v>
      </c>
      <c r="L59" s="8"/>
      <c r="M59" s="26">
        <v>3.6000000000000001</v>
      </c>
      <c r="N59" s="8"/>
      <c r="O59" s="26">
        <v>0</v>
      </c>
      <c r="P59" s="8"/>
      <c r="Q59" s="26">
        <v>0</v>
      </c>
      <c r="R59" s="8"/>
      <c r="S59" s="26">
        <v>0</v>
      </c>
      <c r="T59" s="8"/>
      <c r="U59" s="26">
        <v>5.0999999999999996</v>
      </c>
      <c r="V59" s="8"/>
      <c r="W59" s="26">
        <v>0</v>
      </c>
      <c r="X59" s="8"/>
      <c r="Y59" s="26">
        <v>0</v>
      </c>
      <c r="Z59" s="8"/>
      <c r="AA59" s="26">
        <v>0</v>
      </c>
      <c r="AB59" s="8"/>
      <c r="AC59" s="8"/>
    </row>
    <row r="60" ht="12" customHeight="1">
      <c r="A60" s="11" t="s">
        <v>181</v>
      </c>
      <c r="B60" s="8" t="s">
        <v>1024</v>
      </c>
      <c r="C60" s="26">
        <v>1.7</v>
      </c>
      <c r="D60" s="8"/>
      <c r="E60" s="26">
        <v>1.6000000000000001</v>
      </c>
      <c r="F60" s="8"/>
      <c r="G60" s="26">
        <v>2.6000000000000001</v>
      </c>
      <c r="H60" s="8"/>
      <c r="I60" s="26">
        <v>1.8999999999999999</v>
      </c>
      <c r="J60" s="8"/>
      <c r="K60" s="26">
        <v>2.1000000000000001</v>
      </c>
      <c r="L60" s="8"/>
      <c r="M60" s="26">
        <v>2.2999999999999998</v>
      </c>
      <c r="N60" s="8"/>
      <c r="O60" s="26">
        <v>2.3999999999999999</v>
      </c>
      <c r="P60" s="8"/>
      <c r="Q60" s="26">
        <v>1.3999999999999999</v>
      </c>
      <c r="R60" s="8"/>
      <c r="S60" s="26">
        <v>1.5</v>
      </c>
      <c r="T60" s="8"/>
      <c r="U60" s="26">
        <v>1.3</v>
      </c>
      <c r="V60" s="8"/>
      <c r="W60" s="26">
        <v>1.5</v>
      </c>
      <c r="X60" s="8"/>
      <c r="Y60" s="26">
        <v>0.69999999999999996</v>
      </c>
      <c r="Z60" s="8"/>
      <c r="AA60" s="26">
        <v>0.69999999999999996</v>
      </c>
      <c r="AB60" s="8"/>
      <c r="AC60" s="8"/>
    </row>
    <row r="61" ht="12" customHeight="1">
      <c r="A61" s="8" t="s">
        <v>183</v>
      </c>
      <c r="B61" s="8" t="s">
        <v>1025</v>
      </c>
      <c r="C61" s="26">
        <v>2.1000000000000001</v>
      </c>
      <c r="D61" s="8"/>
      <c r="E61" s="26">
        <v>1</v>
      </c>
      <c r="F61" s="8"/>
      <c r="G61" s="26">
        <v>2.3999999999999999</v>
      </c>
      <c r="H61" s="8"/>
      <c r="I61" s="26">
        <v>-0.29999999999999999</v>
      </c>
      <c r="J61" s="8"/>
      <c r="K61" s="26">
        <v>0.20000000000000001</v>
      </c>
      <c r="L61" s="8"/>
      <c r="M61" s="26">
        <v>0.29999999999999999</v>
      </c>
      <c r="N61" s="8"/>
      <c r="O61" s="26">
        <v>0.69999999999999996</v>
      </c>
      <c r="P61" s="8"/>
      <c r="Q61" s="26">
        <v>-0.20000000000000001</v>
      </c>
      <c r="R61" s="8"/>
      <c r="S61" s="26">
        <v>0.29999999999999999</v>
      </c>
      <c r="T61" s="8"/>
      <c r="U61" s="26">
        <v>0.59999999999999998</v>
      </c>
      <c r="V61" s="8"/>
      <c r="W61" s="26">
        <v>1.1000000000000001</v>
      </c>
      <c r="X61" s="8"/>
      <c r="Y61" s="26">
        <v>0.20000000000000001</v>
      </c>
      <c r="Z61" s="8"/>
      <c r="AA61" s="26">
        <v>-0.10000000000000001</v>
      </c>
      <c r="AB61" s="8"/>
      <c r="AC61" s="8"/>
    </row>
    <row r="62" ht="12" customHeight="1">
      <c r="A62" s="8" t="s">
        <v>185</v>
      </c>
      <c r="B62" s="8" t="s">
        <v>1026</v>
      </c>
      <c r="C62" s="26">
        <v>2.8999999999999999</v>
      </c>
      <c r="D62" s="8"/>
      <c r="E62" s="26">
        <v>0.20000000000000001</v>
      </c>
      <c r="F62" s="8"/>
      <c r="G62" s="26">
        <v>-0.90000000000000002</v>
      </c>
      <c r="H62" s="8"/>
      <c r="I62" s="26">
        <v>1.2</v>
      </c>
      <c r="J62" s="8"/>
      <c r="K62" s="26">
        <v>1.8</v>
      </c>
      <c r="L62" s="8"/>
      <c r="M62" s="26">
        <v>0.69999999999999996</v>
      </c>
      <c r="N62" s="8"/>
      <c r="O62" s="26">
        <v>2.7000000000000002</v>
      </c>
      <c r="P62" s="8"/>
      <c r="Q62" s="26">
        <v>1.3999999999999999</v>
      </c>
      <c r="R62" s="8"/>
      <c r="S62" s="26">
        <v>2.3999999999999999</v>
      </c>
      <c r="T62" s="8"/>
      <c r="U62" s="26">
        <v>0.5</v>
      </c>
      <c r="V62" s="8"/>
      <c r="W62" s="26">
        <v>3.1000000000000001</v>
      </c>
      <c r="X62" s="8"/>
      <c r="Y62" s="26">
        <v>1</v>
      </c>
      <c r="Z62" s="8"/>
      <c r="AA62" s="26">
        <v>3.7999999999999998</v>
      </c>
      <c r="AB62" s="8"/>
      <c r="AC62" s="8"/>
    </row>
    <row r="63" ht="12" customHeight="1">
      <c r="A63" s="8" t="s">
        <v>187</v>
      </c>
      <c r="B63" s="8" t="s">
        <v>1027</v>
      </c>
      <c r="C63" s="26">
        <v>1.6000000000000001</v>
      </c>
      <c r="D63" s="8"/>
      <c r="E63" s="26">
        <v>2.3999999999999999</v>
      </c>
      <c r="F63" s="8"/>
      <c r="G63" s="26">
        <v>3.6000000000000001</v>
      </c>
      <c r="H63" s="8"/>
      <c r="I63" s="26">
        <v>3.8999999999999999</v>
      </c>
      <c r="J63" s="8"/>
      <c r="K63" s="26">
        <v>3.7999999999999998</v>
      </c>
      <c r="L63" s="8"/>
      <c r="M63" s="26">
        <v>4.2000000000000002</v>
      </c>
      <c r="N63" s="8"/>
      <c r="O63" s="26">
        <v>3.7000000000000002</v>
      </c>
      <c r="P63" s="8"/>
      <c r="Q63" s="26">
        <v>2.7000000000000002</v>
      </c>
      <c r="R63" s="8"/>
      <c r="S63" s="26">
        <v>2.2999999999999998</v>
      </c>
      <c r="T63" s="8"/>
      <c r="U63" s="26">
        <v>1.8</v>
      </c>
      <c r="V63" s="8"/>
      <c r="W63" s="26">
        <v>1.5</v>
      </c>
      <c r="X63" s="8"/>
      <c r="Y63" s="26">
        <v>1</v>
      </c>
      <c r="Z63" s="8"/>
      <c r="AA63" s="26">
        <v>0.80000000000000004</v>
      </c>
      <c r="AB63" s="8"/>
      <c r="AC63" s="8"/>
    </row>
    <row r="64" ht="12" customHeight="1">
      <c r="A64" s="8" t="s">
        <v>189</v>
      </c>
      <c r="B64" s="8" t="s">
        <v>1028</v>
      </c>
      <c r="C64" s="26">
        <v>-2.8999999999999999</v>
      </c>
      <c r="D64" s="8"/>
      <c r="E64" s="26">
        <v>-1.8</v>
      </c>
      <c r="F64" s="8"/>
      <c r="G64" s="26">
        <v>0</v>
      </c>
      <c r="H64" s="8"/>
      <c r="I64" s="26">
        <v>0</v>
      </c>
      <c r="J64" s="8"/>
      <c r="K64" s="26">
        <v>0</v>
      </c>
      <c r="L64" s="8"/>
      <c r="M64" s="26">
        <v>0</v>
      </c>
      <c r="N64" s="8"/>
      <c r="O64" s="26">
        <v>0</v>
      </c>
      <c r="P64" s="8"/>
      <c r="Q64" s="26">
        <v>-4</v>
      </c>
      <c r="R64" s="8"/>
      <c r="S64" s="26">
        <v>-2.2000000000000002</v>
      </c>
      <c r="T64" s="8"/>
      <c r="U64" s="26">
        <v>0</v>
      </c>
      <c r="V64" s="8"/>
      <c r="W64" s="26">
        <v>-0.59999999999999998</v>
      </c>
      <c r="X64" s="8"/>
      <c r="Y64" s="26">
        <v>0</v>
      </c>
      <c r="Z64" s="8"/>
      <c r="AA64" s="26">
        <v>0</v>
      </c>
      <c r="AB64" s="8"/>
      <c r="AC64" s="8"/>
    </row>
    <row r="65" ht="12" customHeight="1">
      <c r="A65" s="8" t="s">
        <v>191</v>
      </c>
      <c r="B65" s="8" t="s">
        <v>1029</v>
      </c>
      <c r="C65" s="26">
        <v>0.20000000000000001</v>
      </c>
      <c r="D65" s="8"/>
      <c r="E65" s="26">
        <v>1.1000000000000001</v>
      </c>
      <c r="F65" s="8"/>
      <c r="G65" s="26">
        <v>1.2</v>
      </c>
      <c r="H65" s="8"/>
      <c r="I65" s="26">
        <v>0.69999999999999996</v>
      </c>
      <c r="J65" s="8"/>
      <c r="K65" s="26">
        <v>0.29999999999999999</v>
      </c>
      <c r="L65" s="8"/>
      <c r="M65" s="26">
        <v>0.5</v>
      </c>
      <c r="N65" s="8"/>
      <c r="O65" s="26">
        <v>1.6000000000000001</v>
      </c>
      <c r="P65" s="8"/>
      <c r="Q65" s="26">
        <v>0</v>
      </c>
      <c r="R65" s="8"/>
      <c r="S65" s="26">
        <v>0.90000000000000002</v>
      </c>
      <c r="T65" s="8"/>
      <c r="U65" s="26">
        <v>0.5</v>
      </c>
      <c r="V65" s="8"/>
      <c r="W65" s="26">
        <v>1.5</v>
      </c>
      <c r="X65" s="8"/>
      <c r="Y65" s="26">
        <v>-0.29999999999999999</v>
      </c>
      <c r="Z65" s="8"/>
      <c r="AA65" s="26">
        <v>0</v>
      </c>
      <c r="AB65" s="8"/>
      <c r="AC65" s="8"/>
    </row>
    <row r="66" ht="12" customHeight="1">
      <c r="A66" s="11" t="s">
        <v>193</v>
      </c>
      <c r="B66" s="8" t="s">
        <v>1030</v>
      </c>
      <c r="C66" s="26">
        <v>6.2999999999999998</v>
      </c>
      <c r="D66" s="8"/>
      <c r="E66" s="26">
        <v>6.7999999999999998</v>
      </c>
      <c r="F66" s="8"/>
      <c r="G66" s="26">
        <v>3.1000000000000001</v>
      </c>
      <c r="H66" s="8"/>
      <c r="I66" s="26">
        <v>8.4000000000000004</v>
      </c>
      <c r="J66" s="8"/>
      <c r="K66" s="26">
        <v>9.8000000000000007</v>
      </c>
      <c r="L66" s="8"/>
      <c r="M66" s="26">
        <v>4.5</v>
      </c>
      <c r="N66" s="8"/>
      <c r="O66" s="26">
        <v>2.1000000000000001</v>
      </c>
      <c r="P66" s="8"/>
      <c r="Q66" s="26">
        <v>0.90000000000000002</v>
      </c>
      <c r="R66" s="8"/>
      <c r="S66" s="26">
        <v>-0.59999999999999998</v>
      </c>
      <c r="T66" s="8"/>
      <c r="U66" s="26">
        <v>-2.1000000000000001</v>
      </c>
      <c r="V66" s="8"/>
      <c r="W66" s="26">
        <v>-6.5</v>
      </c>
      <c r="X66" s="8"/>
      <c r="Y66" s="26">
        <v>-6.5</v>
      </c>
      <c r="Z66" s="8"/>
      <c r="AA66" s="26">
        <v>-4.2000000000000002</v>
      </c>
      <c r="AB66" s="8"/>
      <c r="AC66" s="8"/>
    </row>
    <row r="67" ht="12" customHeight="1">
      <c r="A67" s="8" t="s">
        <v>195</v>
      </c>
      <c r="B67" s="8" t="s">
        <v>1031</v>
      </c>
      <c r="C67" s="26">
        <v>6.2999999999999998</v>
      </c>
      <c r="D67" s="8"/>
      <c r="E67" s="26">
        <v>6.7999999999999998</v>
      </c>
      <c r="F67" s="8"/>
      <c r="G67" s="26">
        <v>3.1000000000000001</v>
      </c>
      <c r="H67" s="8"/>
      <c r="I67" s="26">
        <v>8.4000000000000004</v>
      </c>
      <c r="J67" s="8"/>
      <c r="K67" s="26">
        <v>9.8000000000000007</v>
      </c>
      <c r="L67" s="8"/>
      <c r="M67" s="26">
        <v>4.5</v>
      </c>
      <c r="N67" s="8"/>
      <c r="O67" s="26">
        <v>2.1000000000000001</v>
      </c>
      <c r="P67" s="8"/>
      <c r="Q67" s="26">
        <v>0.90000000000000002</v>
      </c>
      <c r="R67" s="8"/>
      <c r="S67" s="26">
        <v>-0.59999999999999998</v>
      </c>
      <c r="T67" s="8"/>
      <c r="U67" s="26">
        <v>-2.1000000000000001</v>
      </c>
      <c r="V67" s="8"/>
      <c r="W67" s="26">
        <v>-6.5</v>
      </c>
      <c r="X67" s="8"/>
      <c r="Y67" s="26">
        <v>-6.5</v>
      </c>
      <c r="Z67" s="8"/>
      <c r="AA67" s="26">
        <v>-4.2000000000000002</v>
      </c>
      <c r="AB67" s="8"/>
      <c r="AC67" s="8"/>
    </row>
    <row r="68" ht="12" customHeight="1">
      <c r="A68" s="13" t="s">
        <v>69</v>
      </c>
      <c r="B68" s="10" t="s">
        <v>66</v>
      </c>
      <c r="C68" s="27">
        <v>1.8</v>
      </c>
      <c r="D68" s="10"/>
      <c r="E68" s="27">
        <v>1.6000000000000001</v>
      </c>
      <c r="F68" s="10"/>
      <c r="G68" s="27">
        <v>1.3999999999999999</v>
      </c>
      <c r="H68" s="10"/>
      <c r="I68" s="27">
        <v>2.6000000000000001</v>
      </c>
      <c r="J68" s="10"/>
      <c r="K68" s="27">
        <v>1.3999999999999999</v>
      </c>
      <c r="L68" s="10"/>
      <c r="M68" s="27">
        <v>1</v>
      </c>
      <c r="N68" s="10"/>
      <c r="O68" s="27">
        <v>0.5</v>
      </c>
      <c r="P68" s="10"/>
      <c r="Q68" s="27">
        <v>0.80000000000000004</v>
      </c>
      <c r="R68" s="10"/>
      <c r="S68" s="27">
        <v>0.40000000000000002</v>
      </c>
      <c r="T68" s="10"/>
      <c r="U68" s="27">
        <v>0.40000000000000002</v>
      </c>
      <c r="V68" s="10"/>
      <c r="W68" s="27">
        <v>-0.10000000000000001</v>
      </c>
      <c r="X68" s="10"/>
      <c r="Y68" s="27">
        <v>0.20000000000000001</v>
      </c>
      <c r="Z68" s="10"/>
      <c r="AA68" s="27">
        <v>0.40000000000000002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defaultColWidth="11.59765625" defaultRowHeight="14.25"/>
  <cols>
    <col customWidth="1" min="1" max="1" width="50.73046875"/>
    <col customWidth="1" min="2" max="3" width="9.73046875"/>
    <col customWidth="1" min="4" max="4" width="2.86328125"/>
    <col customWidth="1" min="5" max="5" width="9.73046875"/>
    <col customWidth="1" min="6" max="6" width="2.86328125"/>
    <col customWidth="1" min="7" max="7" width="9.73046875"/>
    <col customWidth="1" min="8" max="8" width="2.86328125"/>
    <col customWidth="1" min="9" max="9" width="9.73046875"/>
    <col customWidth="1" min="10" max="10" width="2.86328125"/>
    <col customWidth="1" min="11" max="11" width="9.73046875"/>
    <col customWidth="1" min="12" max="12" width="2.86328125"/>
    <col customWidth="1" min="13" max="13" width="9.73046875"/>
    <col customWidth="1" min="14" max="14" width="2.86328125"/>
    <col customWidth="1" min="15" max="15" width="9.73046875"/>
    <col customWidth="1" min="16" max="16" width="2.86328125"/>
    <col customWidth="1" min="17" max="17" width="9.73046875"/>
    <col customWidth="1" min="18" max="18" width="2.86328125"/>
    <col customWidth="1" min="19" max="19" width="9.73046875"/>
    <col customWidth="1" min="20" max="20" width="2.86328125"/>
    <col customWidth="1" min="21" max="21" width="9.73046875"/>
    <col customWidth="1" min="22" max="22" width="2.86328125"/>
    <col customWidth="1" min="23" max="23" width="9.73046875"/>
    <col customWidth="1" min="24" max="24" width="2.86328125"/>
    <col customWidth="1" min="25" max="25" width="9.73046875"/>
    <col customWidth="1" min="26" max="26" width="2.86328125"/>
    <col customWidth="1" min="27" max="27" width="9.73046875"/>
    <col customWidth="1" min="28" max="28" width="2.86328125"/>
  </cols>
  <sheetData>
    <row r="1" ht="16.350000000000001" customHeight="1">
      <c r="A1" s="4" t="s">
        <v>1033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ht="20.25" customHeight="1">
      <c r="A2" s="5" t="s">
        <v>971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ht="16.350000000000001" customHeight="1">
      <c r="A3" s="6" t="s">
        <v>200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ht="16.350000000000001" customHeight="1">
      <c r="A4" s="4" t="s">
        <v>201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6.149999999999999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>
      <c r="A6" s="39" t="s">
        <v>76</v>
      </c>
      <c r="B6" s="37" t="s">
        <v>24</v>
      </c>
      <c r="C6" s="35" t="s">
        <v>25</v>
      </c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</row>
    <row r="7" ht="24" customHeight="1">
      <c r="A7" s="40"/>
      <c r="B7" s="38"/>
      <c r="C7" s="39" t="s">
        <v>26</v>
      </c>
      <c r="D7" s="41"/>
      <c r="E7" s="39" t="s">
        <v>27</v>
      </c>
      <c r="F7" s="41"/>
      <c r="G7" s="39" t="s">
        <v>28</v>
      </c>
      <c r="H7" s="41"/>
      <c r="I7" s="39" t="s">
        <v>29</v>
      </c>
      <c r="J7" s="41"/>
      <c r="K7" s="39" t="s">
        <v>30</v>
      </c>
      <c r="L7" s="41"/>
      <c r="M7" s="39" t="s">
        <v>31</v>
      </c>
      <c r="N7" s="41"/>
      <c r="O7" s="39" t="s">
        <v>32</v>
      </c>
      <c r="P7" s="41"/>
      <c r="Q7" s="39" t="s">
        <v>33</v>
      </c>
      <c r="R7" s="41"/>
      <c r="S7" s="39" t="s">
        <v>34</v>
      </c>
      <c r="T7" s="41"/>
      <c r="U7" s="39" t="s">
        <v>35</v>
      </c>
      <c r="V7" s="41"/>
      <c r="W7" s="39" t="s">
        <v>36</v>
      </c>
      <c r="X7" s="41"/>
      <c r="Y7" s="39" t="s">
        <v>37</v>
      </c>
      <c r="Z7" s="41"/>
      <c r="AA7" s="39" t="s">
        <v>38</v>
      </c>
      <c r="AB7" s="41"/>
    </row>
    <row r="8" ht="12" customHeight="1">
      <c r="A8" s="12" t="s">
        <v>77</v>
      </c>
      <c r="B8" s="18" t="s">
        <v>972</v>
      </c>
      <c r="C8" s="22">
        <v>10.4</v>
      </c>
      <c r="D8" s="22"/>
      <c r="E8" s="22">
        <v>11.1</v>
      </c>
      <c r="F8" s="22"/>
      <c r="G8" s="22">
        <v>12</v>
      </c>
      <c r="H8" s="22"/>
      <c r="I8" s="22">
        <v>8.5</v>
      </c>
      <c r="J8" s="22"/>
      <c r="K8" s="22">
        <v>5.7999999999999998</v>
      </c>
      <c r="L8" s="22"/>
      <c r="M8" s="22">
        <v>2.6000000000000001</v>
      </c>
      <c r="N8" s="22"/>
      <c r="O8" s="22">
        <v>0.5</v>
      </c>
      <c r="P8" s="22"/>
      <c r="Q8" s="22">
        <v>0.90000000000000002</v>
      </c>
      <c r="R8" s="22"/>
      <c r="S8" s="22">
        <v>1.3</v>
      </c>
      <c r="T8" s="22"/>
      <c r="U8" s="22">
        <v>2.5</v>
      </c>
      <c r="V8" s="22"/>
      <c r="W8" s="22">
        <v>3.8999999999999999</v>
      </c>
      <c r="X8" s="22"/>
      <c r="Y8" s="22">
        <v>4.2000000000000002</v>
      </c>
      <c r="Z8" s="22"/>
      <c r="AA8" s="22">
        <v>4.2000000000000002</v>
      </c>
      <c r="AB8" s="22"/>
      <c r="AC8" s="18"/>
    </row>
    <row r="9" ht="12" customHeight="1">
      <c r="A9" s="8" t="s">
        <v>79</v>
      </c>
      <c r="B9" s="8" t="s">
        <v>973</v>
      </c>
      <c r="C9" s="26">
        <v>20.300000000000001</v>
      </c>
      <c r="D9" s="8"/>
      <c r="E9" s="26">
        <v>20</v>
      </c>
      <c r="F9" s="8"/>
      <c r="G9" s="26">
        <v>20.300000000000001</v>
      </c>
      <c r="H9" s="8"/>
      <c r="I9" s="26">
        <v>3.3999999999999999</v>
      </c>
      <c r="J9" s="8"/>
      <c r="K9" s="26">
        <v>3</v>
      </c>
      <c r="L9" s="8"/>
      <c r="M9" s="26">
        <v>-7.9000000000000004</v>
      </c>
      <c r="N9" s="8"/>
      <c r="O9" s="26">
        <v>-13.300000000000001</v>
      </c>
      <c r="P9" s="8"/>
      <c r="Q9" s="26">
        <v>-9.5</v>
      </c>
      <c r="R9" s="8"/>
      <c r="S9" s="26">
        <v>-8.5</v>
      </c>
      <c r="T9" s="8"/>
      <c r="U9" s="26">
        <v>-5.2000000000000002</v>
      </c>
      <c r="V9" s="8"/>
      <c r="W9" s="26">
        <v>3.3999999999999999</v>
      </c>
      <c r="X9" s="8"/>
      <c r="Y9" s="26">
        <v>5.7000000000000002</v>
      </c>
      <c r="Z9" s="8"/>
      <c r="AA9" s="26">
        <v>3.7999999999999998</v>
      </c>
      <c r="AB9" s="8"/>
      <c r="AC9" s="8"/>
    </row>
    <row r="10" ht="12" customHeight="1">
      <c r="A10" s="8" t="s">
        <v>81</v>
      </c>
      <c r="B10" s="8" t="s">
        <v>974</v>
      </c>
      <c r="C10" s="26">
        <v>10.699999999999999</v>
      </c>
      <c r="D10" s="8"/>
      <c r="E10" s="26">
        <v>9.0999999999999996</v>
      </c>
      <c r="F10" s="8"/>
      <c r="G10" s="26">
        <v>10.800000000000001</v>
      </c>
      <c r="H10" s="8"/>
      <c r="I10" s="26">
        <v>8.3000000000000007</v>
      </c>
      <c r="J10" s="8"/>
      <c r="K10" s="26">
        <v>2.6000000000000001</v>
      </c>
      <c r="L10" s="8"/>
      <c r="M10" s="26">
        <v>0.5</v>
      </c>
      <c r="N10" s="8"/>
      <c r="O10" s="26">
        <v>-0.69999999999999996</v>
      </c>
      <c r="P10" s="8"/>
      <c r="Q10" s="26">
        <v>0.10000000000000001</v>
      </c>
      <c r="R10" s="8"/>
      <c r="S10" s="26">
        <v>1.8999999999999999</v>
      </c>
      <c r="T10" s="8"/>
      <c r="U10" s="26">
        <v>3.7999999999999998</v>
      </c>
      <c r="V10" s="8"/>
      <c r="W10" s="26">
        <v>4.7000000000000002</v>
      </c>
      <c r="X10" s="8"/>
      <c r="Y10" s="26">
        <v>6.9000000000000004</v>
      </c>
      <c r="Z10" s="8"/>
      <c r="AA10" s="26">
        <v>7.2000000000000002</v>
      </c>
      <c r="AB10" s="8"/>
      <c r="AC10" s="8"/>
    </row>
    <row r="11" ht="12" customHeight="1">
      <c r="A11" s="8" t="s">
        <v>83</v>
      </c>
      <c r="B11" s="8" t="s">
        <v>975</v>
      </c>
      <c r="C11" s="26">
        <v>10</v>
      </c>
      <c r="D11" s="8"/>
      <c r="E11" s="26">
        <v>12.300000000000001</v>
      </c>
      <c r="F11" s="8"/>
      <c r="G11" s="26">
        <v>13.1</v>
      </c>
      <c r="H11" s="8"/>
      <c r="I11" s="26">
        <v>10.9</v>
      </c>
      <c r="J11" s="8"/>
      <c r="K11" s="26">
        <v>7.0999999999999996</v>
      </c>
      <c r="L11" s="8"/>
      <c r="M11" s="26">
        <v>3.8999999999999999</v>
      </c>
      <c r="N11" s="8"/>
      <c r="O11" s="26">
        <v>2.2000000000000002</v>
      </c>
      <c r="P11" s="8"/>
      <c r="Q11" s="26">
        <v>2.6000000000000001</v>
      </c>
      <c r="R11" s="8"/>
      <c r="S11" s="26">
        <v>2.3999999999999999</v>
      </c>
      <c r="T11" s="8"/>
      <c r="U11" s="26">
        <v>4.0999999999999996</v>
      </c>
      <c r="V11" s="8"/>
      <c r="W11" s="26">
        <v>4.5</v>
      </c>
      <c r="X11" s="8"/>
      <c r="Y11" s="26">
        <v>4.2999999999999998</v>
      </c>
      <c r="Z11" s="8"/>
      <c r="AA11" s="26">
        <v>4.5999999999999996</v>
      </c>
      <c r="AB11" s="8"/>
      <c r="AC11" s="8"/>
    </row>
    <row r="12" ht="12" customHeight="1">
      <c r="A12" s="8" t="s">
        <v>85</v>
      </c>
      <c r="B12" s="8" t="s">
        <v>976</v>
      </c>
      <c r="C12" s="26">
        <v>8.0999999999999996</v>
      </c>
      <c r="D12" s="8"/>
      <c r="E12" s="26">
        <v>7.9000000000000004</v>
      </c>
      <c r="F12" s="8"/>
      <c r="G12" s="26">
        <v>9.9000000000000004</v>
      </c>
      <c r="H12" s="8"/>
      <c r="I12" s="26">
        <v>8.5999999999999996</v>
      </c>
      <c r="J12" s="8"/>
      <c r="K12" s="26">
        <v>5.5</v>
      </c>
      <c r="L12" s="8"/>
      <c r="M12" s="26">
        <v>4.2999999999999998</v>
      </c>
      <c r="N12" s="8"/>
      <c r="O12" s="26">
        <v>3.7999999999999998</v>
      </c>
      <c r="P12" s="8"/>
      <c r="Q12" s="26">
        <v>4</v>
      </c>
      <c r="R12" s="8"/>
      <c r="S12" s="26">
        <v>4</v>
      </c>
      <c r="T12" s="8"/>
      <c r="U12" s="26">
        <v>5.5</v>
      </c>
      <c r="V12" s="8"/>
      <c r="W12" s="26">
        <v>6</v>
      </c>
      <c r="X12" s="8"/>
      <c r="Y12" s="26">
        <v>4.4000000000000004</v>
      </c>
      <c r="Z12" s="8"/>
      <c r="AA12" s="26">
        <v>5</v>
      </c>
      <c r="AB12" s="8"/>
      <c r="AC12" s="8"/>
    </row>
    <row r="13" ht="12" customHeight="1">
      <c r="A13" s="8" t="s">
        <v>87</v>
      </c>
      <c r="B13" s="8" t="s">
        <v>977</v>
      </c>
      <c r="C13" s="26">
        <v>7.5</v>
      </c>
      <c r="D13" s="8"/>
      <c r="E13" s="26">
        <v>8.1999999999999993</v>
      </c>
      <c r="F13" s="8"/>
      <c r="G13" s="26">
        <v>8.8000000000000007</v>
      </c>
      <c r="H13" s="8"/>
      <c r="I13" s="26">
        <v>8.5999999999999996</v>
      </c>
      <c r="J13" s="8"/>
      <c r="K13" s="26">
        <v>7.4000000000000004</v>
      </c>
      <c r="L13" s="8"/>
      <c r="M13" s="26">
        <v>6.5999999999999996</v>
      </c>
      <c r="N13" s="8"/>
      <c r="O13" s="26">
        <v>4.7000000000000002</v>
      </c>
      <c r="P13" s="8"/>
      <c r="Q13" s="26">
        <v>3.5</v>
      </c>
      <c r="R13" s="8"/>
      <c r="S13" s="26">
        <v>3.1000000000000001</v>
      </c>
      <c r="T13" s="8"/>
      <c r="U13" s="26">
        <v>2.3999999999999999</v>
      </c>
      <c r="V13" s="8"/>
      <c r="W13" s="26">
        <v>2</v>
      </c>
      <c r="X13" s="8"/>
      <c r="Y13" s="26">
        <v>2.2999999999999998</v>
      </c>
      <c r="Z13" s="8"/>
      <c r="AA13" s="26">
        <v>2.3999999999999999</v>
      </c>
      <c r="AB13" s="8"/>
      <c r="AC13" s="8"/>
    </row>
    <row r="14" ht="12" customHeight="1">
      <c r="A14" s="11" t="s">
        <v>89</v>
      </c>
      <c r="B14" s="8" t="s">
        <v>978</v>
      </c>
      <c r="C14" s="26">
        <v>6.0999999999999996</v>
      </c>
      <c r="D14" s="8"/>
      <c r="E14" s="26">
        <v>7.2000000000000002</v>
      </c>
      <c r="F14" s="8"/>
      <c r="G14" s="26">
        <v>7.4000000000000004</v>
      </c>
      <c r="H14" s="8"/>
      <c r="I14" s="26">
        <v>6.7000000000000002</v>
      </c>
      <c r="J14" s="8"/>
      <c r="K14" s="26">
        <v>6.7999999999999998</v>
      </c>
      <c r="L14" s="8"/>
      <c r="M14" s="26">
        <v>6</v>
      </c>
      <c r="N14" s="8"/>
      <c r="O14" s="26">
        <v>5.5999999999999996</v>
      </c>
      <c r="P14" s="8"/>
      <c r="Q14" s="26">
        <v>4.9000000000000004</v>
      </c>
      <c r="R14" s="8"/>
      <c r="S14" s="26">
        <v>4</v>
      </c>
      <c r="T14" s="8"/>
      <c r="U14" s="26">
        <v>3</v>
      </c>
      <c r="V14" s="8"/>
      <c r="W14" s="26">
        <v>1.6000000000000001</v>
      </c>
      <c r="X14" s="8"/>
      <c r="Y14" s="26">
        <v>1.6000000000000001</v>
      </c>
      <c r="Z14" s="8"/>
      <c r="AA14" s="26">
        <v>1.3999999999999999</v>
      </c>
      <c r="AB14" s="8"/>
      <c r="AC14" s="8"/>
    </row>
    <row r="15" ht="12" customHeight="1">
      <c r="A15" s="8" t="s">
        <v>91</v>
      </c>
      <c r="B15" s="8" t="s">
        <v>979</v>
      </c>
      <c r="C15" s="26">
        <v>6.5999999999999996</v>
      </c>
      <c r="D15" s="8"/>
      <c r="E15" s="26">
        <v>6.7999999999999998</v>
      </c>
      <c r="F15" s="8"/>
      <c r="G15" s="26">
        <v>7</v>
      </c>
      <c r="H15" s="8"/>
      <c r="I15" s="26">
        <v>5.9000000000000004</v>
      </c>
      <c r="J15" s="8"/>
      <c r="K15" s="26">
        <v>5.2000000000000002</v>
      </c>
      <c r="L15" s="8"/>
      <c r="M15" s="26">
        <v>4.4000000000000004</v>
      </c>
      <c r="N15" s="8"/>
      <c r="O15" s="26">
        <v>3.8999999999999999</v>
      </c>
      <c r="P15" s="8"/>
      <c r="Q15" s="26">
        <v>3.2000000000000002</v>
      </c>
      <c r="R15" s="8"/>
      <c r="S15" s="26">
        <v>2.7999999999999998</v>
      </c>
      <c r="T15" s="8"/>
      <c r="U15" s="26">
        <v>2.6000000000000001</v>
      </c>
      <c r="V15" s="8"/>
      <c r="W15" s="26">
        <v>0.69999999999999996</v>
      </c>
      <c r="X15" s="8"/>
      <c r="Y15" s="26">
        <v>0.59999999999999998</v>
      </c>
      <c r="Z15" s="8"/>
      <c r="AA15" s="26">
        <v>0.20000000000000001</v>
      </c>
      <c r="AB15" s="8"/>
      <c r="AC15" s="8"/>
    </row>
    <row r="16" ht="12" customHeight="1">
      <c r="A16" s="8" t="s">
        <v>93</v>
      </c>
      <c r="B16" s="8" t="s">
        <v>980</v>
      </c>
      <c r="C16" s="26">
        <v>5.0999999999999996</v>
      </c>
      <c r="D16" s="8"/>
      <c r="E16" s="26">
        <v>8.4000000000000004</v>
      </c>
      <c r="F16" s="8"/>
      <c r="G16" s="26">
        <v>8.5</v>
      </c>
      <c r="H16" s="8"/>
      <c r="I16" s="26">
        <v>8.8000000000000007</v>
      </c>
      <c r="J16" s="8"/>
      <c r="K16" s="26">
        <v>11.5</v>
      </c>
      <c r="L16" s="8"/>
      <c r="M16" s="26">
        <v>10.4</v>
      </c>
      <c r="N16" s="8"/>
      <c r="O16" s="26">
        <v>10.199999999999999</v>
      </c>
      <c r="P16" s="8"/>
      <c r="Q16" s="26">
        <v>10</v>
      </c>
      <c r="R16" s="8"/>
      <c r="S16" s="26">
        <v>7.2999999999999998</v>
      </c>
      <c r="T16" s="8"/>
      <c r="U16" s="26">
        <v>4.9000000000000004</v>
      </c>
      <c r="V16" s="8"/>
      <c r="W16" s="26">
        <v>5.2000000000000002</v>
      </c>
      <c r="X16" s="8"/>
      <c r="Y16" s="26">
        <v>4.9000000000000004</v>
      </c>
      <c r="Z16" s="8"/>
      <c r="AA16" s="26">
        <v>5.7999999999999998</v>
      </c>
      <c r="AB16" s="8"/>
      <c r="AC16" s="8"/>
    </row>
    <row r="17" ht="12" customHeight="1">
      <c r="A17" s="11" t="s">
        <v>95</v>
      </c>
      <c r="B17" s="8" t="s">
        <v>981</v>
      </c>
      <c r="C17" s="26">
        <v>1.6000000000000001</v>
      </c>
      <c r="D17" s="8"/>
      <c r="E17" s="26">
        <v>2</v>
      </c>
      <c r="F17" s="8"/>
      <c r="G17" s="26">
        <v>4.5999999999999996</v>
      </c>
      <c r="H17" s="8"/>
      <c r="I17" s="26">
        <v>3.7000000000000002</v>
      </c>
      <c r="J17" s="8"/>
      <c r="K17" s="26">
        <v>4.2999999999999998</v>
      </c>
      <c r="L17" s="8"/>
      <c r="M17" s="26">
        <v>4.7999999999999998</v>
      </c>
      <c r="N17" s="8"/>
      <c r="O17" s="26">
        <v>1.8999999999999999</v>
      </c>
      <c r="P17" s="8"/>
      <c r="Q17" s="26">
        <v>1.3999999999999999</v>
      </c>
      <c r="R17" s="8"/>
      <c r="S17" s="26">
        <v>-0.69999999999999996</v>
      </c>
      <c r="T17" s="8"/>
      <c r="U17" s="26">
        <v>-0.59999999999999998</v>
      </c>
      <c r="V17" s="8"/>
      <c r="W17" s="26">
        <v>-0.90000000000000002</v>
      </c>
      <c r="X17" s="8"/>
      <c r="Y17" s="26">
        <v>-0.29999999999999999</v>
      </c>
      <c r="Z17" s="8"/>
      <c r="AA17" s="26">
        <v>1.7</v>
      </c>
      <c r="AB17" s="8"/>
      <c r="AC17" s="8"/>
    </row>
    <row r="18" ht="12" customHeight="1">
      <c r="A18" s="8" t="s">
        <v>97</v>
      </c>
      <c r="B18" s="8" t="s">
        <v>982</v>
      </c>
      <c r="C18" s="26">
        <v>1.3999999999999999</v>
      </c>
      <c r="D18" s="8"/>
      <c r="E18" s="26">
        <v>1.3999999999999999</v>
      </c>
      <c r="F18" s="8"/>
      <c r="G18" s="26">
        <v>5.2000000000000002</v>
      </c>
      <c r="H18" s="8"/>
      <c r="I18" s="26">
        <v>4.5999999999999996</v>
      </c>
      <c r="J18" s="8"/>
      <c r="K18" s="26">
        <v>5.0999999999999996</v>
      </c>
      <c r="L18" s="8"/>
      <c r="M18" s="26">
        <v>6</v>
      </c>
      <c r="N18" s="8"/>
      <c r="O18" s="26">
        <v>1.8999999999999999</v>
      </c>
      <c r="P18" s="8"/>
      <c r="Q18" s="26">
        <v>1.1000000000000001</v>
      </c>
      <c r="R18" s="8"/>
      <c r="S18" s="26">
        <v>-1.3</v>
      </c>
      <c r="T18" s="8"/>
      <c r="U18" s="26">
        <v>-1.7</v>
      </c>
      <c r="V18" s="8"/>
      <c r="W18" s="26">
        <v>-0.80000000000000004</v>
      </c>
      <c r="X18" s="8"/>
      <c r="Y18" s="26">
        <v>-0.5</v>
      </c>
      <c r="Z18" s="8"/>
      <c r="AA18" s="26">
        <v>1.8</v>
      </c>
      <c r="AB18" s="8"/>
      <c r="AC18" s="8"/>
    </row>
    <row r="19" ht="12" customHeight="1">
      <c r="A19" s="8" t="s">
        <v>99</v>
      </c>
      <c r="B19" s="8" t="s">
        <v>983</v>
      </c>
      <c r="C19" s="26">
        <v>2.7999999999999998</v>
      </c>
      <c r="D19" s="8"/>
      <c r="E19" s="26">
        <v>4.2999999999999998</v>
      </c>
      <c r="F19" s="8"/>
      <c r="G19" s="26">
        <v>2.6000000000000001</v>
      </c>
      <c r="H19" s="8"/>
      <c r="I19" s="26">
        <v>0.90000000000000002</v>
      </c>
      <c r="J19" s="8"/>
      <c r="K19" s="26">
        <v>1.5</v>
      </c>
      <c r="L19" s="8"/>
      <c r="M19" s="26">
        <v>0.5</v>
      </c>
      <c r="N19" s="8"/>
      <c r="O19" s="26">
        <v>1.8</v>
      </c>
      <c r="P19" s="8"/>
      <c r="Q19" s="26">
        <v>2</v>
      </c>
      <c r="R19" s="8"/>
      <c r="S19" s="26">
        <v>1.1000000000000001</v>
      </c>
      <c r="T19" s="8"/>
      <c r="U19" s="26">
        <v>3.7999999999999998</v>
      </c>
      <c r="V19" s="8"/>
      <c r="W19" s="26">
        <v>-1.3999999999999999</v>
      </c>
      <c r="X19" s="8"/>
      <c r="Y19" s="26">
        <v>0.80000000000000004</v>
      </c>
      <c r="Z19" s="8"/>
      <c r="AA19" s="26">
        <v>1.2</v>
      </c>
      <c r="AB19" s="8"/>
      <c r="AC19" s="8"/>
    </row>
    <row r="20" ht="12" customHeight="1">
      <c r="A20" s="11" t="s">
        <v>101</v>
      </c>
      <c r="B20" s="8" t="s">
        <v>984</v>
      </c>
      <c r="C20" s="26">
        <v>5.7999999999999998</v>
      </c>
      <c r="D20" s="8"/>
      <c r="E20" s="26">
        <v>5.5</v>
      </c>
      <c r="F20" s="8"/>
      <c r="G20" s="26">
        <v>5.5999999999999996</v>
      </c>
      <c r="H20" s="8"/>
      <c r="I20" s="26">
        <v>6</v>
      </c>
      <c r="J20" s="8"/>
      <c r="K20" s="26">
        <v>5.5999999999999996</v>
      </c>
      <c r="L20" s="8"/>
      <c r="M20" s="26">
        <v>5.2999999999999998</v>
      </c>
      <c r="N20" s="8"/>
      <c r="O20" s="26">
        <v>5.0999999999999996</v>
      </c>
      <c r="P20" s="8"/>
      <c r="Q20" s="26">
        <v>5.9000000000000004</v>
      </c>
      <c r="R20" s="8"/>
      <c r="S20" s="26">
        <v>5.7999999999999998</v>
      </c>
      <c r="T20" s="8"/>
      <c r="U20" s="26">
        <v>6</v>
      </c>
      <c r="V20" s="8"/>
      <c r="W20" s="26">
        <v>6</v>
      </c>
      <c r="X20" s="8"/>
      <c r="Y20" s="26">
        <v>5.2999999999999998</v>
      </c>
      <c r="Z20" s="8"/>
      <c r="AA20" s="26">
        <v>5.2999999999999998</v>
      </c>
      <c r="AB20" s="8"/>
      <c r="AC20" s="8"/>
    </row>
    <row r="21" ht="12" customHeight="1">
      <c r="A21" s="8" t="s">
        <v>103</v>
      </c>
      <c r="B21" s="8" t="s">
        <v>985</v>
      </c>
      <c r="C21" s="26">
        <v>4.7000000000000002</v>
      </c>
      <c r="D21" s="8"/>
      <c r="E21" s="26">
        <v>4.7000000000000002</v>
      </c>
      <c r="F21" s="8"/>
      <c r="G21" s="26">
        <v>4.5</v>
      </c>
      <c r="H21" s="8"/>
      <c r="I21" s="26">
        <v>4.7000000000000002</v>
      </c>
      <c r="J21" s="8"/>
      <c r="K21" s="26">
        <v>4.7999999999999998</v>
      </c>
      <c r="L21" s="8"/>
      <c r="M21" s="26">
        <v>4.9000000000000004</v>
      </c>
      <c r="N21" s="8"/>
      <c r="O21" s="26">
        <v>4.9000000000000004</v>
      </c>
      <c r="P21" s="8"/>
      <c r="Q21" s="26">
        <v>4.5999999999999996</v>
      </c>
      <c r="R21" s="8"/>
      <c r="S21" s="26">
        <v>4.2000000000000002</v>
      </c>
      <c r="T21" s="8"/>
      <c r="U21" s="26">
        <v>3.7999999999999998</v>
      </c>
      <c r="V21" s="8"/>
      <c r="W21" s="26">
        <v>3.2999999999999998</v>
      </c>
      <c r="X21" s="8"/>
      <c r="Y21" s="26">
        <v>2.6000000000000001</v>
      </c>
      <c r="Z21" s="8"/>
      <c r="AA21" s="26">
        <v>1.8999999999999999</v>
      </c>
      <c r="AB21" s="8"/>
      <c r="AC21" s="8"/>
    </row>
    <row r="22" ht="12" customHeight="1">
      <c r="A22" s="8" t="s">
        <v>105</v>
      </c>
      <c r="B22" s="8" t="s">
        <v>986</v>
      </c>
      <c r="C22" s="26">
        <v>4.7000000000000002</v>
      </c>
      <c r="D22" s="8"/>
      <c r="E22" s="26">
        <v>4.7000000000000002</v>
      </c>
      <c r="F22" s="8"/>
      <c r="G22" s="26">
        <v>4.5</v>
      </c>
      <c r="H22" s="8"/>
      <c r="I22" s="26">
        <v>4.7000000000000002</v>
      </c>
      <c r="J22" s="8"/>
      <c r="K22" s="26">
        <v>4.7999999999999998</v>
      </c>
      <c r="L22" s="8"/>
      <c r="M22" s="26">
        <v>4.9000000000000004</v>
      </c>
      <c r="N22" s="8"/>
      <c r="O22" s="26">
        <v>4.9000000000000004</v>
      </c>
      <c r="P22" s="8"/>
      <c r="Q22" s="26">
        <v>4.5999999999999996</v>
      </c>
      <c r="R22" s="8"/>
      <c r="S22" s="26">
        <v>4.2000000000000002</v>
      </c>
      <c r="T22" s="8"/>
      <c r="U22" s="26">
        <v>3.7999999999999998</v>
      </c>
      <c r="V22" s="8"/>
      <c r="W22" s="26">
        <v>3.2999999999999998</v>
      </c>
      <c r="X22" s="8"/>
      <c r="Y22" s="26">
        <v>2.6000000000000001</v>
      </c>
      <c r="Z22" s="8"/>
      <c r="AA22" s="26">
        <v>1.8999999999999999</v>
      </c>
      <c r="AB22" s="8"/>
      <c r="AC22" s="8"/>
    </row>
    <row r="23" ht="12" customHeight="1">
      <c r="A23" s="8" t="s">
        <v>107</v>
      </c>
      <c r="B23" s="8" t="s">
        <v>987</v>
      </c>
      <c r="C23" s="26">
        <v>7.5999999999999996</v>
      </c>
      <c r="D23" s="8"/>
      <c r="E23" s="26">
        <v>5.7999999999999998</v>
      </c>
      <c r="F23" s="8"/>
      <c r="G23" s="26">
        <v>5.5</v>
      </c>
      <c r="H23" s="8"/>
      <c r="I23" s="26">
        <v>4.0999999999999996</v>
      </c>
      <c r="J23" s="8"/>
      <c r="K23" s="26">
        <v>2.5</v>
      </c>
      <c r="L23" s="8"/>
      <c r="M23" s="26">
        <v>2.7000000000000002</v>
      </c>
      <c r="N23" s="8"/>
      <c r="O23" s="26">
        <v>2.1000000000000001</v>
      </c>
      <c r="P23" s="8"/>
      <c r="Q23" s="26">
        <v>2.1000000000000001</v>
      </c>
      <c r="R23" s="8"/>
      <c r="S23" s="26">
        <v>1.8999999999999999</v>
      </c>
      <c r="T23" s="8"/>
      <c r="U23" s="26">
        <v>2.2000000000000002</v>
      </c>
      <c r="V23" s="8"/>
      <c r="W23" s="26">
        <v>1.3</v>
      </c>
      <c r="X23" s="8"/>
      <c r="Y23" s="26">
        <v>1.3999999999999999</v>
      </c>
      <c r="Z23" s="8"/>
      <c r="AA23" s="26">
        <v>2.2000000000000002</v>
      </c>
      <c r="AB23" s="8"/>
      <c r="AC23" s="8"/>
    </row>
    <row r="24" ht="12" customHeight="1">
      <c r="A24" s="8" t="s">
        <v>109</v>
      </c>
      <c r="B24" s="8" t="s">
        <v>988</v>
      </c>
      <c r="C24" s="26">
        <v>7</v>
      </c>
      <c r="D24" s="8"/>
      <c r="E24" s="26">
        <v>7.0999999999999996</v>
      </c>
      <c r="F24" s="8"/>
      <c r="G24" s="26">
        <v>7.2000000000000002</v>
      </c>
      <c r="H24" s="8"/>
      <c r="I24" s="26">
        <v>9.5999999999999996</v>
      </c>
      <c r="J24" s="8"/>
      <c r="K24" s="26">
        <v>9.5999999999999996</v>
      </c>
      <c r="L24" s="8"/>
      <c r="M24" s="26">
        <v>9.5</v>
      </c>
      <c r="N24" s="8"/>
      <c r="O24" s="26">
        <v>9.5</v>
      </c>
      <c r="P24" s="8"/>
      <c r="Q24" s="26">
        <v>11.6</v>
      </c>
      <c r="R24" s="8"/>
      <c r="S24" s="26">
        <v>11.800000000000001</v>
      </c>
      <c r="T24" s="8"/>
      <c r="U24" s="26">
        <v>11.800000000000001</v>
      </c>
      <c r="V24" s="8"/>
      <c r="W24" s="26">
        <v>11.6</v>
      </c>
      <c r="X24" s="8"/>
      <c r="Y24" s="26">
        <v>8.3000000000000007</v>
      </c>
      <c r="Z24" s="8"/>
      <c r="AA24" s="26">
        <v>8.0999999999999996</v>
      </c>
      <c r="AB24" s="8"/>
      <c r="AC24" s="8"/>
    </row>
    <row r="25" ht="12" customHeight="1">
      <c r="A25" s="8" t="s">
        <v>111</v>
      </c>
      <c r="B25" s="8" t="s">
        <v>989</v>
      </c>
      <c r="C25" s="26">
        <v>7.2999999999999998</v>
      </c>
      <c r="D25" s="8"/>
      <c r="E25" s="26">
        <v>7.2999999999999998</v>
      </c>
      <c r="F25" s="8"/>
      <c r="G25" s="26">
        <v>7.2999999999999998</v>
      </c>
      <c r="H25" s="8"/>
      <c r="I25" s="26">
        <v>9.6999999999999993</v>
      </c>
      <c r="J25" s="8"/>
      <c r="K25" s="26">
        <v>9.6999999999999993</v>
      </c>
      <c r="L25" s="8"/>
      <c r="M25" s="26">
        <v>9.6999999999999993</v>
      </c>
      <c r="N25" s="8"/>
      <c r="O25" s="26">
        <v>9.6999999999999993</v>
      </c>
      <c r="P25" s="8"/>
      <c r="Q25" s="26">
        <v>11.9</v>
      </c>
      <c r="R25" s="8"/>
      <c r="S25" s="26">
        <v>11.9</v>
      </c>
      <c r="T25" s="8"/>
      <c r="U25" s="26">
        <v>11.9</v>
      </c>
      <c r="V25" s="8"/>
      <c r="W25" s="26">
        <v>11.9</v>
      </c>
      <c r="X25" s="8"/>
      <c r="Y25" s="26">
        <v>8.8000000000000007</v>
      </c>
      <c r="Z25" s="8"/>
      <c r="AA25" s="26">
        <v>8.8000000000000007</v>
      </c>
      <c r="AB25" s="8"/>
      <c r="AC25" s="8"/>
    </row>
    <row r="26" ht="12" customHeight="1">
      <c r="A26" s="8" t="s">
        <v>113</v>
      </c>
      <c r="B26" s="8" t="s">
        <v>990</v>
      </c>
      <c r="C26" s="26">
        <v>3.1000000000000001</v>
      </c>
      <c r="D26" s="8"/>
      <c r="E26" s="26">
        <v>4.4000000000000004</v>
      </c>
      <c r="F26" s="8"/>
      <c r="G26" s="26">
        <v>5.2000000000000002</v>
      </c>
      <c r="H26" s="8"/>
      <c r="I26" s="26">
        <v>5.7000000000000002</v>
      </c>
      <c r="J26" s="8"/>
      <c r="K26" s="26">
        <v>6.2000000000000002</v>
      </c>
      <c r="L26" s="8"/>
      <c r="M26" s="26">
        <v>3.7999999999999998</v>
      </c>
      <c r="N26" s="8"/>
      <c r="O26" s="26">
        <v>3.7999999999999998</v>
      </c>
      <c r="P26" s="8"/>
      <c r="Q26" s="26">
        <v>5.7000000000000002</v>
      </c>
      <c r="R26" s="8"/>
      <c r="S26" s="26">
        <v>5</v>
      </c>
      <c r="T26" s="8"/>
      <c r="U26" s="26">
        <v>7.4000000000000004</v>
      </c>
      <c r="V26" s="8"/>
      <c r="W26" s="26">
        <v>9.5</v>
      </c>
      <c r="X26" s="8"/>
      <c r="Y26" s="26">
        <v>11.6</v>
      </c>
      <c r="Z26" s="8"/>
      <c r="AA26" s="26">
        <v>12.4</v>
      </c>
      <c r="AB26" s="8"/>
      <c r="AC26" s="8"/>
    </row>
    <row r="27" ht="12" customHeight="1">
      <c r="A27" s="8" t="s">
        <v>115</v>
      </c>
      <c r="B27" s="8" t="s">
        <v>991</v>
      </c>
      <c r="C27" s="26">
        <v>2.3999999999999999</v>
      </c>
      <c r="D27" s="8"/>
      <c r="E27" s="26">
        <v>3.3999999999999999</v>
      </c>
      <c r="F27" s="8"/>
      <c r="G27" s="26">
        <v>4.2000000000000002</v>
      </c>
      <c r="H27" s="8"/>
      <c r="I27" s="26">
        <v>4.2000000000000002</v>
      </c>
      <c r="J27" s="8"/>
      <c r="K27" s="26">
        <v>4.9000000000000004</v>
      </c>
      <c r="L27" s="8"/>
      <c r="M27" s="26">
        <v>2.6000000000000001</v>
      </c>
      <c r="N27" s="8"/>
      <c r="O27" s="26">
        <v>3.1000000000000001</v>
      </c>
      <c r="P27" s="8"/>
      <c r="Q27" s="26">
        <v>5.5999999999999996</v>
      </c>
      <c r="R27" s="8"/>
      <c r="S27" s="26">
        <v>4.2999999999999998</v>
      </c>
      <c r="T27" s="8"/>
      <c r="U27" s="26">
        <v>6.4000000000000004</v>
      </c>
      <c r="V27" s="8"/>
      <c r="W27" s="26">
        <v>8.5</v>
      </c>
      <c r="X27" s="8"/>
      <c r="Y27" s="26">
        <v>11.300000000000001</v>
      </c>
      <c r="Z27" s="8"/>
      <c r="AA27" s="26">
        <v>12.1</v>
      </c>
      <c r="AB27" s="8"/>
      <c r="AC27" s="8"/>
    </row>
    <row r="28" ht="12" customHeight="1">
      <c r="A28" s="11" t="s">
        <v>117</v>
      </c>
      <c r="B28" s="8" t="s">
        <v>992</v>
      </c>
      <c r="C28" s="26">
        <v>7.9000000000000004</v>
      </c>
      <c r="D28" s="8"/>
      <c r="E28" s="26">
        <v>7</v>
      </c>
      <c r="F28" s="8"/>
      <c r="G28" s="26">
        <v>6.7000000000000002</v>
      </c>
      <c r="H28" s="8"/>
      <c r="I28" s="26">
        <v>3.7000000000000002</v>
      </c>
      <c r="J28" s="8"/>
      <c r="K28" s="26">
        <v>1.5</v>
      </c>
      <c r="L28" s="8"/>
      <c r="M28" s="26">
        <v>0.5</v>
      </c>
      <c r="N28" s="8"/>
      <c r="O28" s="26">
        <v>-0.69999999999999996</v>
      </c>
      <c r="P28" s="8"/>
      <c r="Q28" s="26">
        <v>0.5</v>
      </c>
      <c r="R28" s="8"/>
      <c r="S28" s="26">
        <v>-1</v>
      </c>
      <c r="T28" s="8"/>
      <c r="U28" s="26">
        <v>0</v>
      </c>
      <c r="V28" s="8"/>
      <c r="W28" s="26">
        <v>-1</v>
      </c>
      <c r="X28" s="8"/>
      <c r="Y28" s="26">
        <v>-2</v>
      </c>
      <c r="Z28" s="8"/>
      <c r="AA28" s="26">
        <v>-0.5</v>
      </c>
      <c r="AB28" s="8"/>
      <c r="AC28" s="8"/>
    </row>
    <row r="29" ht="12" customHeight="1">
      <c r="A29" s="8" t="s">
        <v>119</v>
      </c>
      <c r="B29" s="8" t="s">
        <v>993</v>
      </c>
      <c r="C29" s="26">
        <v>7.2999999999999998</v>
      </c>
      <c r="D29" s="8"/>
      <c r="E29" s="26">
        <v>7.4000000000000004</v>
      </c>
      <c r="F29" s="8"/>
      <c r="G29" s="26">
        <v>6.2000000000000002</v>
      </c>
      <c r="H29" s="8"/>
      <c r="I29" s="26">
        <v>3.6000000000000001</v>
      </c>
      <c r="J29" s="8"/>
      <c r="K29" s="26">
        <v>-2.2999999999999998</v>
      </c>
      <c r="L29" s="8"/>
      <c r="M29" s="26">
        <v>-4.2000000000000002</v>
      </c>
      <c r="N29" s="8"/>
      <c r="O29" s="26">
        <v>-4.7000000000000002</v>
      </c>
      <c r="P29" s="8"/>
      <c r="Q29" s="26">
        <v>-2</v>
      </c>
      <c r="R29" s="8"/>
      <c r="S29" s="26">
        <v>-0.90000000000000002</v>
      </c>
      <c r="T29" s="8"/>
      <c r="U29" s="26">
        <v>2.2000000000000002</v>
      </c>
      <c r="V29" s="8"/>
      <c r="W29" s="26">
        <v>-0.40000000000000002</v>
      </c>
      <c r="X29" s="8"/>
      <c r="Y29" s="26">
        <v>-4.5</v>
      </c>
      <c r="Z29" s="8"/>
      <c r="AA29" s="26">
        <v>-0.5</v>
      </c>
      <c r="AB29" s="8"/>
      <c r="AC29" s="8"/>
    </row>
    <row r="30" ht="12" customHeight="1">
      <c r="A30" s="8" t="s">
        <v>121</v>
      </c>
      <c r="B30" s="8" t="s">
        <v>994</v>
      </c>
      <c r="C30" s="26">
        <v>3.1000000000000001</v>
      </c>
      <c r="D30" s="8"/>
      <c r="E30" s="26">
        <v>6.5999999999999996</v>
      </c>
      <c r="F30" s="8"/>
      <c r="G30" s="26">
        <v>2.6000000000000001</v>
      </c>
      <c r="H30" s="8"/>
      <c r="I30" s="26">
        <v>1.6000000000000001</v>
      </c>
      <c r="J30" s="8"/>
      <c r="K30" s="26">
        <v>5.9000000000000004</v>
      </c>
      <c r="L30" s="8"/>
      <c r="M30" s="26">
        <v>0.90000000000000002</v>
      </c>
      <c r="N30" s="8"/>
      <c r="O30" s="26">
        <v>9.0999999999999996</v>
      </c>
      <c r="P30" s="8"/>
      <c r="Q30" s="26">
        <v>8.5999999999999996</v>
      </c>
      <c r="R30" s="8"/>
      <c r="S30" s="26">
        <v>-5.5</v>
      </c>
      <c r="T30" s="8"/>
      <c r="U30" s="26">
        <v>1.8</v>
      </c>
      <c r="V30" s="8"/>
      <c r="W30" s="26">
        <v>-3.6000000000000001</v>
      </c>
      <c r="X30" s="8"/>
      <c r="Y30" s="26">
        <v>-0.10000000000000001</v>
      </c>
      <c r="Z30" s="8"/>
      <c r="AA30" s="26">
        <v>4.9000000000000004</v>
      </c>
      <c r="AB30" s="8"/>
      <c r="AC30" s="8"/>
    </row>
    <row r="31" ht="12" customHeight="1">
      <c r="A31" s="8" t="s">
        <v>123</v>
      </c>
      <c r="B31" s="8" t="s">
        <v>995</v>
      </c>
      <c r="C31" s="26">
        <v>6.2999999999999998</v>
      </c>
      <c r="D31" s="8"/>
      <c r="E31" s="26">
        <v>2.2999999999999998</v>
      </c>
      <c r="F31" s="8"/>
      <c r="G31" s="26">
        <v>3.8999999999999999</v>
      </c>
      <c r="H31" s="8"/>
      <c r="I31" s="26">
        <v>1.3999999999999999</v>
      </c>
      <c r="J31" s="8"/>
      <c r="K31" s="26">
        <v>0.29999999999999999</v>
      </c>
      <c r="L31" s="8"/>
      <c r="M31" s="26">
        <v>0.20000000000000001</v>
      </c>
      <c r="N31" s="8"/>
      <c r="O31" s="26">
        <v>-3.5</v>
      </c>
      <c r="P31" s="8"/>
      <c r="Q31" s="26">
        <v>-3</v>
      </c>
      <c r="R31" s="8"/>
      <c r="S31" s="26">
        <v>-1.8999999999999999</v>
      </c>
      <c r="T31" s="8"/>
      <c r="U31" s="26">
        <v>-2</v>
      </c>
      <c r="V31" s="8"/>
      <c r="W31" s="26">
        <v>-0.90000000000000002</v>
      </c>
      <c r="X31" s="8"/>
      <c r="Y31" s="26">
        <v>-0.5</v>
      </c>
      <c r="Z31" s="8"/>
      <c r="AA31" s="26">
        <v>-1.1000000000000001</v>
      </c>
      <c r="AB31" s="8"/>
      <c r="AC31" s="8"/>
    </row>
    <row r="32" ht="12" customHeight="1">
      <c r="A32" s="8" t="s">
        <v>125</v>
      </c>
      <c r="B32" s="8" t="s">
        <v>996</v>
      </c>
      <c r="C32" s="26">
        <v>13.6</v>
      </c>
      <c r="D32" s="8"/>
      <c r="E32" s="26">
        <v>10.6</v>
      </c>
      <c r="F32" s="8"/>
      <c r="G32" s="26">
        <v>10</v>
      </c>
      <c r="H32" s="8"/>
      <c r="I32" s="26">
        <v>2.2999999999999998</v>
      </c>
      <c r="J32" s="8"/>
      <c r="K32" s="26">
        <v>4</v>
      </c>
      <c r="L32" s="8"/>
      <c r="M32" s="26">
        <v>8.8000000000000007</v>
      </c>
      <c r="N32" s="8"/>
      <c r="O32" s="26">
        <v>4.7999999999999998</v>
      </c>
      <c r="P32" s="8"/>
      <c r="Q32" s="26">
        <v>4.7999999999999998</v>
      </c>
      <c r="R32" s="8"/>
      <c r="S32" s="26">
        <v>-1.5</v>
      </c>
      <c r="T32" s="8"/>
      <c r="U32" s="26">
        <v>-0.5</v>
      </c>
      <c r="V32" s="8"/>
      <c r="W32" s="26">
        <v>-1.3999999999999999</v>
      </c>
      <c r="X32" s="8"/>
      <c r="Y32" s="26">
        <v>0.80000000000000004</v>
      </c>
      <c r="Z32" s="8"/>
      <c r="AA32" s="26">
        <v>-2.8999999999999999</v>
      </c>
      <c r="AB32" s="8"/>
      <c r="AC32" s="8"/>
    </row>
    <row r="33" ht="12" customHeight="1">
      <c r="A33" s="8" t="s">
        <v>127</v>
      </c>
      <c r="B33" s="8" t="s">
        <v>997</v>
      </c>
      <c r="C33" s="26">
        <v>9.4000000000000004</v>
      </c>
      <c r="D33" s="8"/>
      <c r="E33" s="26">
        <v>8.5</v>
      </c>
      <c r="F33" s="8"/>
      <c r="G33" s="26">
        <v>8.9000000000000004</v>
      </c>
      <c r="H33" s="8"/>
      <c r="I33" s="26">
        <v>6.5999999999999996</v>
      </c>
      <c r="J33" s="8"/>
      <c r="K33" s="26">
        <v>3.7000000000000002</v>
      </c>
      <c r="L33" s="8"/>
      <c r="M33" s="26">
        <v>4.2999999999999998</v>
      </c>
      <c r="N33" s="8"/>
      <c r="O33" s="26">
        <v>-2.3999999999999999</v>
      </c>
      <c r="P33" s="8"/>
      <c r="Q33" s="26">
        <v>-2.7000000000000002</v>
      </c>
      <c r="R33" s="8"/>
      <c r="S33" s="26">
        <v>-2.7999999999999998</v>
      </c>
      <c r="T33" s="8"/>
      <c r="U33" s="26">
        <v>-4.7000000000000002</v>
      </c>
      <c r="V33" s="8"/>
      <c r="W33" s="26">
        <v>-1.7</v>
      </c>
      <c r="X33" s="8"/>
      <c r="Y33" s="26">
        <v>-1.5</v>
      </c>
      <c r="Z33" s="8"/>
      <c r="AA33" s="26">
        <v>-3</v>
      </c>
      <c r="AB33" s="8"/>
      <c r="AC33" s="8"/>
    </row>
    <row r="34" ht="12" customHeight="1">
      <c r="A34" s="8" t="s">
        <v>129</v>
      </c>
      <c r="B34" s="8" t="s">
        <v>998</v>
      </c>
      <c r="C34" s="26">
        <v>10.4</v>
      </c>
      <c r="D34" s="8"/>
      <c r="E34" s="26">
        <v>9.5</v>
      </c>
      <c r="F34" s="8"/>
      <c r="G34" s="26">
        <v>10.1</v>
      </c>
      <c r="H34" s="8"/>
      <c r="I34" s="26">
        <v>6.0999999999999996</v>
      </c>
      <c r="J34" s="8"/>
      <c r="K34" s="26">
        <v>3.1000000000000001</v>
      </c>
      <c r="L34" s="8"/>
      <c r="M34" s="26">
        <v>2</v>
      </c>
      <c r="N34" s="8"/>
      <c r="O34" s="26">
        <v>0.5</v>
      </c>
      <c r="P34" s="8"/>
      <c r="Q34" s="26">
        <v>2.7000000000000002</v>
      </c>
      <c r="R34" s="8"/>
      <c r="S34" s="26">
        <v>2.7000000000000002</v>
      </c>
      <c r="T34" s="8"/>
      <c r="U34" s="26">
        <v>1.2</v>
      </c>
      <c r="V34" s="8"/>
      <c r="W34" s="26">
        <v>1.6000000000000001</v>
      </c>
      <c r="X34" s="8"/>
      <c r="Y34" s="26">
        <v>-0.5</v>
      </c>
      <c r="Z34" s="8"/>
      <c r="AA34" s="26">
        <v>-0.10000000000000001</v>
      </c>
      <c r="AB34" s="8"/>
      <c r="AC34" s="8"/>
    </row>
    <row r="35" ht="12" customHeight="1">
      <c r="A35" s="11" t="s">
        <v>131</v>
      </c>
      <c r="B35" s="8" t="s">
        <v>999</v>
      </c>
      <c r="C35" s="26">
        <v>5.2000000000000002</v>
      </c>
      <c r="D35" s="8"/>
      <c r="E35" s="26">
        <v>5.2000000000000002</v>
      </c>
      <c r="F35" s="8"/>
      <c r="G35" s="26">
        <v>5</v>
      </c>
      <c r="H35" s="8"/>
      <c r="I35" s="26">
        <v>3.2000000000000002</v>
      </c>
      <c r="J35" s="8"/>
      <c r="K35" s="26">
        <v>4.0999999999999996</v>
      </c>
      <c r="L35" s="8"/>
      <c r="M35" s="26">
        <v>5.4000000000000004</v>
      </c>
      <c r="N35" s="8"/>
      <c r="O35" s="26">
        <v>4.2999999999999998</v>
      </c>
      <c r="P35" s="8"/>
      <c r="Q35" s="26">
        <v>8.6999999999999993</v>
      </c>
      <c r="R35" s="8"/>
      <c r="S35" s="26">
        <v>6.2000000000000002</v>
      </c>
      <c r="T35" s="8"/>
      <c r="U35" s="26">
        <v>4.5</v>
      </c>
      <c r="V35" s="8"/>
      <c r="W35" s="26">
        <v>4.0999999999999996</v>
      </c>
      <c r="X35" s="8"/>
      <c r="Y35" s="26">
        <v>0.69999999999999996</v>
      </c>
      <c r="Z35" s="8"/>
      <c r="AA35" s="26">
        <v>0.69999999999999996</v>
      </c>
      <c r="AB35" s="8"/>
      <c r="AC35" s="8"/>
    </row>
    <row r="36" ht="12" customHeight="1">
      <c r="A36" s="8" t="s">
        <v>133</v>
      </c>
      <c r="B36" s="8" t="s">
        <v>1000</v>
      </c>
      <c r="C36" s="26">
        <v>4.7000000000000002</v>
      </c>
      <c r="D36" s="8"/>
      <c r="E36" s="26">
        <v>2.8999999999999999</v>
      </c>
      <c r="F36" s="8"/>
      <c r="G36" s="26">
        <v>4</v>
      </c>
      <c r="H36" s="8"/>
      <c r="I36" s="26">
        <v>-4.7999999999999998</v>
      </c>
      <c r="J36" s="8"/>
      <c r="K36" s="26">
        <v>-5.5999999999999996</v>
      </c>
      <c r="L36" s="8"/>
      <c r="M36" s="26">
        <v>-5.7999999999999998</v>
      </c>
      <c r="N36" s="8"/>
      <c r="O36" s="26">
        <v>-6.5999999999999996</v>
      </c>
      <c r="P36" s="8"/>
      <c r="Q36" s="26">
        <v>11</v>
      </c>
      <c r="R36" s="8"/>
      <c r="S36" s="26">
        <v>6.5</v>
      </c>
      <c r="T36" s="8"/>
      <c r="U36" s="26">
        <v>7</v>
      </c>
      <c r="V36" s="8"/>
      <c r="W36" s="26">
        <v>5.7000000000000002</v>
      </c>
      <c r="X36" s="8"/>
      <c r="Y36" s="26">
        <v>-6.5999999999999996</v>
      </c>
      <c r="Z36" s="8"/>
      <c r="AA36" s="26">
        <v>-5.2999999999999998</v>
      </c>
      <c r="AB36" s="8"/>
      <c r="AC36" s="8"/>
    </row>
    <row r="37" ht="12" customHeight="1">
      <c r="A37" s="8" t="s">
        <v>135</v>
      </c>
      <c r="B37" s="8" t="s">
        <v>1001</v>
      </c>
      <c r="C37" s="26">
        <v>4.7999999999999998</v>
      </c>
      <c r="D37" s="8"/>
      <c r="E37" s="26">
        <v>4.9000000000000004</v>
      </c>
      <c r="F37" s="8"/>
      <c r="G37" s="26">
        <v>4.5999999999999996</v>
      </c>
      <c r="H37" s="8"/>
      <c r="I37" s="26">
        <v>4.5999999999999996</v>
      </c>
      <c r="J37" s="8"/>
      <c r="K37" s="26">
        <v>5.5999999999999996</v>
      </c>
      <c r="L37" s="8"/>
      <c r="M37" s="26">
        <v>7.5999999999999996</v>
      </c>
      <c r="N37" s="8"/>
      <c r="O37" s="26">
        <v>6.5</v>
      </c>
      <c r="P37" s="8"/>
      <c r="Q37" s="26">
        <v>6.2000000000000002</v>
      </c>
      <c r="R37" s="8"/>
      <c r="S37" s="26">
        <v>4.5999999999999996</v>
      </c>
      <c r="T37" s="8"/>
      <c r="U37" s="26">
        <v>2.3999999999999999</v>
      </c>
      <c r="V37" s="8"/>
      <c r="W37" s="26">
        <v>2.5</v>
      </c>
      <c r="X37" s="8"/>
      <c r="Y37" s="26">
        <v>3.5</v>
      </c>
      <c r="Z37" s="8"/>
      <c r="AA37" s="26">
        <v>3.5</v>
      </c>
      <c r="AB37" s="8"/>
      <c r="AC37" s="8"/>
    </row>
    <row r="38" ht="12" customHeight="1">
      <c r="A38" s="8" t="s">
        <v>137</v>
      </c>
      <c r="B38" s="8" t="s">
        <v>1002</v>
      </c>
      <c r="C38" s="26">
        <v>7.7000000000000002</v>
      </c>
      <c r="D38" s="8"/>
      <c r="E38" s="26">
        <v>9.5999999999999996</v>
      </c>
      <c r="F38" s="8"/>
      <c r="G38" s="26">
        <v>7.5999999999999996</v>
      </c>
      <c r="H38" s="8"/>
      <c r="I38" s="26">
        <v>9.1999999999999993</v>
      </c>
      <c r="J38" s="8"/>
      <c r="K38" s="26">
        <v>12.6</v>
      </c>
      <c r="L38" s="8"/>
      <c r="M38" s="26">
        <v>13.4</v>
      </c>
      <c r="N38" s="8"/>
      <c r="O38" s="26">
        <v>11.4</v>
      </c>
      <c r="P38" s="8"/>
      <c r="Q38" s="26">
        <v>14.699999999999999</v>
      </c>
      <c r="R38" s="8"/>
      <c r="S38" s="26">
        <v>11.199999999999999</v>
      </c>
      <c r="T38" s="8"/>
      <c r="U38" s="26">
        <v>8.5</v>
      </c>
      <c r="V38" s="8"/>
      <c r="W38" s="26">
        <v>8.5999999999999996</v>
      </c>
      <c r="X38" s="8"/>
      <c r="Y38" s="26">
        <v>3.3999999999999999</v>
      </c>
      <c r="Z38" s="8"/>
      <c r="AA38" s="26">
        <v>3.5</v>
      </c>
      <c r="AB38" s="8"/>
      <c r="AC38" s="8"/>
    </row>
    <row r="39" ht="12" customHeight="1">
      <c r="A39" s="11" t="s">
        <v>139</v>
      </c>
      <c r="B39" s="8" t="s">
        <v>1003</v>
      </c>
      <c r="C39" s="26">
        <v>8.6999999999999993</v>
      </c>
      <c r="D39" s="8"/>
      <c r="E39" s="26">
        <v>4.7999999999999998</v>
      </c>
      <c r="F39" s="8"/>
      <c r="G39" s="26">
        <v>0.40000000000000002</v>
      </c>
      <c r="H39" s="8"/>
      <c r="I39" s="26">
        <v>5.0999999999999996</v>
      </c>
      <c r="J39" s="8"/>
      <c r="K39" s="26">
        <v>3.5</v>
      </c>
      <c r="L39" s="8"/>
      <c r="M39" s="26">
        <v>1.5</v>
      </c>
      <c r="N39" s="8"/>
      <c r="O39" s="26">
        <v>2.6000000000000001</v>
      </c>
      <c r="P39" s="8"/>
      <c r="Q39" s="26">
        <v>-5.5999999999999996</v>
      </c>
      <c r="R39" s="8"/>
      <c r="S39" s="26">
        <v>-3.8999999999999999</v>
      </c>
      <c r="T39" s="8"/>
      <c r="U39" s="26">
        <v>-1.5</v>
      </c>
      <c r="V39" s="8"/>
      <c r="W39" s="26">
        <v>-1.2</v>
      </c>
      <c r="X39" s="8"/>
      <c r="Y39" s="26">
        <v>1.5</v>
      </c>
      <c r="Z39" s="8"/>
      <c r="AA39" s="26">
        <v>2.6000000000000001</v>
      </c>
      <c r="AB39" s="8"/>
      <c r="AC39" s="8"/>
    </row>
    <row r="40" ht="12" customHeight="1">
      <c r="A40" s="8" t="s">
        <v>141</v>
      </c>
      <c r="B40" s="8" t="s">
        <v>1004</v>
      </c>
      <c r="C40" s="26">
        <v>3.1000000000000001</v>
      </c>
      <c r="D40" s="8"/>
      <c r="E40" s="26">
        <v>1.8999999999999999</v>
      </c>
      <c r="F40" s="8"/>
      <c r="G40" s="26">
        <v>2.2999999999999998</v>
      </c>
      <c r="H40" s="8"/>
      <c r="I40" s="26">
        <v>5.5</v>
      </c>
      <c r="J40" s="8"/>
      <c r="K40" s="26">
        <v>3.3999999999999999</v>
      </c>
      <c r="L40" s="8"/>
      <c r="M40" s="26">
        <v>0.5</v>
      </c>
      <c r="N40" s="8"/>
      <c r="O40" s="26">
        <v>-2.2999999999999998</v>
      </c>
      <c r="P40" s="8"/>
      <c r="Q40" s="26">
        <v>-6.7000000000000002</v>
      </c>
      <c r="R40" s="8"/>
      <c r="S40" s="26">
        <v>-4.2000000000000002</v>
      </c>
      <c r="T40" s="8"/>
      <c r="U40" s="26">
        <v>-1.8</v>
      </c>
      <c r="V40" s="8"/>
      <c r="W40" s="26">
        <v>0</v>
      </c>
      <c r="X40" s="8"/>
      <c r="Y40" s="26">
        <v>1.7</v>
      </c>
      <c r="Z40" s="8"/>
      <c r="AA40" s="26">
        <v>1.3</v>
      </c>
      <c r="AB40" s="8"/>
      <c r="AC40" s="8"/>
    </row>
    <row r="41" ht="12" customHeight="1">
      <c r="A41" s="8" t="s">
        <v>143</v>
      </c>
      <c r="B41" s="8" t="s">
        <v>1005</v>
      </c>
      <c r="C41" s="26">
        <v>5.2999999999999998</v>
      </c>
      <c r="D41" s="8"/>
      <c r="E41" s="26">
        <v>-3.1000000000000001</v>
      </c>
      <c r="F41" s="8"/>
      <c r="G41" s="26">
        <v>-9.5999999999999996</v>
      </c>
      <c r="H41" s="8"/>
      <c r="I41" s="26">
        <v>3.3999999999999999</v>
      </c>
      <c r="J41" s="8"/>
      <c r="K41" s="26">
        <v>8.6999999999999993</v>
      </c>
      <c r="L41" s="8"/>
      <c r="M41" s="26">
        <v>9.4000000000000004</v>
      </c>
      <c r="N41" s="8"/>
      <c r="O41" s="26">
        <v>12.9</v>
      </c>
      <c r="P41" s="8"/>
      <c r="Q41" s="26">
        <v>-3.2000000000000002</v>
      </c>
      <c r="R41" s="8"/>
      <c r="S41" s="26">
        <v>-4.7000000000000002</v>
      </c>
      <c r="T41" s="8"/>
      <c r="U41" s="26">
        <v>-0.59999999999999998</v>
      </c>
      <c r="V41" s="8"/>
      <c r="W41" s="26">
        <v>-3.3999999999999999</v>
      </c>
      <c r="X41" s="8"/>
      <c r="Y41" s="26">
        <v>1.3999999999999999</v>
      </c>
      <c r="Z41" s="8"/>
      <c r="AA41" s="26">
        <v>3.7999999999999998</v>
      </c>
      <c r="AB41" s="8"/>
      <c r="AC41" s="8"/>
    </row>
    <row r="42" ht="12" customHeight="1">
      <c r="A42" s="8" t="s">
        <v>145</v>
      </c>
      <c r="B42" s="8" t="s">
        <v>1006</v>
      </c>
      <c r="C42" s="26">
        <v>2.2999999999999998</v>
      </c>
      <c r="D42" s="8"/>
      <c r="E42" s="26">
        <v>-8.3000000000000007</v>
      </c>
      <c r="F42" s="8"/>
      <c r="G42" s="26">
        <v>-15</v>
      </c>
      <c r="H42" s="8"/>
      <c r="I42" s="26">
        <v>3.7000000000000002</v>
      </c>
      <c r="J42" s="8"/>
      <c r="K42" s="26">
        <v>11.800000000000001</v>
      </c>
      <c r="L42" s="8"/>
      <c r="M42" s="26">
        <v>12.199999999999999</v>
      </c>
      <c r="N42" s="8"/>
      <c r="O42" s="26">
        <v>14.699999999999999</v>
      </c>
      <c r="P42" s="8"/>
      <c r="Q42" s="26">
        <v>-8</v>
      </c>
      <c r="R42" s="8"/>
      <c r="S42" s="26">
        <v>-9.4000000000000004</v>
      </c>
      <c r="T42" s="8"/>
      <c r="U42" s="26">
        <v>-3</v>
      </c>
      <c r="V42" s="8"/>
      <c r="W42" s="26">
        <v>-8.4000000000000004</v>
      </c>
      <c r="X42" s="8"/>
      <c r="Y42" s="26">
        <v>-1.7</v>
      </c>
      <c r="Z42" s="8"/>
      <c r="AA42" s="26">
        <v>2.2000000000000002</v>
      </c>
      <c r="AB42" s="8"/>
      <c r="AC42" s="8"/>
    </row>
    <row r="43" ht="12" customHeight="1">
      <c r="A43" s="8" t="s">
        <v>147</v>
      </c>
      <c r="B43" s="8" t="s">
        <v>1007</v>
      </c>
      <c r="C43" s="26">
        <v>16.300000000000001</v>
      </c>
      <c r="D43" s="8"/>
      <c r="E43" s="26">
        <v>26.5</v>
      </c>
      <c r="F43" s="8"/>
      <c r="G43" s="26">
        <v>24.199999999999999</v>
      </c>
      <c r="H43" s="8"/>
      <c r="I43" s="26">
        <v>8.9000000000000004</v>
      </c>
      <c r="J43" s="8"/>
      <c r="K43" s="26">
        <v>-6.5</v>
      </c>
      <c r="L43" s="8"/>
      <c r="M43" s="26">
        <v>-11.699999999999999</v>
      </c>
      <c r="N43" s="8"/>
      <c r="O43" s="26">
        <v>-8.4000000000000004</v>
      </c>
      <c r="P43" s="8"/>
      <c r="Q43" s="26">
        <v>-8.5999999999999996</v>
      </c>
      <c r="R43" s="8"/>
      <c r="S43" s="26">
        <v>-2</v>
      </c>
      <c r="T43" s="8"/>
      <c r="U43" s="26">
        <v>-0.59999999999999998</v>
      </c>
      <c r="V43" s="8"/>
      <c r="W43" s="26">
        <v>3.2000000000000002</v>
      </c>
      <c r="X43" s="8"/>
      <c r="Y43" s="26">
        <v>2.7999999999999998</v>
      </c>
      <c r="Z43" s="8"/>
      <c r="AA43" s="26">
        <v>2.7999999999999998</v>
      </c>
      <c r="AB43" s="8"/>
      <c r="AC43" s="8"/>
    </row>
    <row r="44" ht="12" customHeight="1">
      <c r="A44" s="11" t="s">
        <v>149</v>
      </c>
      <c r="B44" s="8" t="s">
        <v>1008</v>
      </c>
      <c r="C44" s="26">
        <v>-0.69999999999999996</v>
      </c>
      <c r="D44" s="8"/>
      <c r="E44" s="26">
        <v>0</v>
      </c>
      <c r="F44" s="8"/>
      <c r="G44" s="26">
        <v>-1.8999999999999999</v>
      </c>
      <c r="H44" s="8"/>
      <c r="I44" s="26">
        <v>0.29999999999999999</v>
      </c>
      <c r="J44" s="8"/>
      <c r="K44" s="26">
        <v>3.6000000000000001</v>
      </c>
      <c r="L44" s="8"/>
      <c r="M44" s="26">
        <v>2.7000000000000002</v>
      </c>
      <c r="N44" s="8"/>
      <c r="O44" s="26">
        <v>5.5</v>
      </c>
      <c r="P44" s="8"/>
      <c r="Q44" s="26">
        <v>3.7999999999999998</v>
      </c>
      <c r="R44" s="8"/>
      <c r="S44" s="26">
        <v>2.1000000000000001</v>
      </c>
      <c r="T44" s="8"/>
      <c r="U44" s="26">
        <v>2.5</v>
      </c>
      <c r="V44" s="8"/>
      <c r="W44" s="26">
        <v>0.5</v>
      </c>
      <c r="X44" s="8"/>
      <c r="Y44" s="26">
        <v>2</v>
      </c>
      <c r="Z44" s="8"/>
      <c r="AA44" s="26">
        <v>4.4000000000000004</v>
      </c>
      <c r="AB44" s="8"/>
      <c r="AC44" s="8"/>
    </row>
    <row r="45" ht="12" customHeight="1">
      <c r="A45" s="8" t="s">
        <v>151</v>
      </c>
      <c r="B45" s="8" t="s">
        <v>1009</v>
      </c>
      <c r="C45" s="26">
        <v>12.6</v>
      </c>
      <c r="D45" s="8"/>
      <c r="E45" s="26">
        <v>12.5</v>
      </c>
      <c r="F45" s="8"/>
      <c r="G45" s="26">
        <v>5.7000000000000002</v>
      </c>
      <c r="H45" s="8"/>
      <c r="I45" s="26">
        <v>7.2000000000000002</v>
      </c>
      <c r="J45" s="8"/>
      <c r="K45" s="26">
        <v>8.3000000000000007</v>
      </c>
      <c r="L45" s="8"/>
      <c r="M45" s="26">
        <v>2.7999999999999998</v>
      </c>
      <c r="N45" s="8"/>
      <c r="O45" s="26">
        <v>4.7000000000000002</v>
      </c>
      <c r="P45" s="8"/>
      <c r="Q45" s="26">
        <v>1</v>
      </c>
      <c r="R45" s="8"/>
      <c r="S45" s="26">
        <v>-1.1000000000000001</v>
      </c>
      <c r="T45" s="8"/>
      <c r="U45" s="26">
        <v>2.2000000000000002</v>
      </c>
      <c r="V45" s="8"/>
      <c r="W45" s="26">
        <v>3.2000000000000002</v>
      </c>
      <c r="X45" s="8"/>
      <c r="Y45" s="26">
        <v>9</v>
      </c>
      <c r="Z45" s="8"/>
      <c r="AA45" s="26">
        <v>8.3000000000000007</v>
      </c>
      <c r="AB45" s="8"/>
      <c r="AC45" s="8"/>
    </row>
    <row r="46" ht="12" customHeight="1">
      <c r="A46" s="8" t="s">
        <v>153</v>
      </c>
      <c r="B46" s="8" t="s">
        <v>1010</v>
      </c>
      <c r="C46" s="26">
        <v>-15.199999999999999</v>
      </c>
      <c r="D46" s="8"/>
      <c r="E46" s="26">
        <v>-10.6</v>
      </c>
      <c r="F46" s="8"/>
      <c r="G46" s="26">
        <v>-24.899999999999999</v>
      </c>
      <c r="H46" s="8"/>
      <c r="I46" s="26">
        <v>-14.699999999999999</v>
      </c>
      <c r="J46" s="8"/>
      <c r="K46" s="26">
        <v>-0.69999999999999996</v>
      </c>
      <c r="L46" s="8"/>
      <c r="M46" s="26">
        <v>-4.9000000000000004</v>
      </c>
      <c r="N46" s="8"/>
      <c r="O46" s="26">
        <v>13.800000000000001</v>
      </c>
      <c r="P46" s="8"/>
      <c r="Q46" s="26">
        <v>3.7000000000000002</v>
      </c>
      <c r="R46" s="8"/>
      <c r="S46" s="26">
        <v>-11</v>
      </c>
      <c r="T46" s="8"/>
      <c r="U46" s="26">
        <v>-13.1</v>
      </c>
      <c r="V46" s="8"/>
      <c r="W46" s="26">
        <v>-25.300000000000001</v>
      </c>
      <c r="X46" s="8"/>
      <c r="Y46" s="26">
        <v>-15.5</v>
      </c>
      <c r="Z46" s="8"/>
      <c r="AA46" s="26">
        <v>-5.2000000000000002</v>
      </c>
      <c r="AB46" s="8"/>
      <c r="AC46" s="8"/>
    </row>
    <row r="47" ht="12" customHeight="1">
      <c r="A47" s="8" t="s">
        <v>155</v>
      </c>
      <c r="B47" s="8" t="s">
        <v>1011</v>
      </c>
      <c r="C47" s="26">
        <v>1.8999999999999999</v>
      </c>
      <c r="D47" s="8"/>
      <c r="E47" s="26">
        <v>1.5</v>
      </c>
      <c r="F47" s="8"/>
      <c r="G47" s="26">
        <v>3.8999999999999999</v>
      </c>
      <c r="H47" s="8"/>
      <c r="I47" s="26">
        <v>2.8999999999999999</v>
      </c>
      <c r="J47" s="8"/>
      <c r="K47" s="26">
        <v>4.2000000000000002</v>
      </c>
      <c r="L47" s="8"/>
      <c r="M47" s="26">
        <v>4.5</v>
      </c>
      <c r="N47" s="8"/>
      <c r="O47" s="26">
        <v>3.8999999999999999</v>
      </c>
      <c r="P47" s="8"/>
      <c r="Q47" s="26">
        <v>4.2999999999999998</v>
      </c>
      <c r="R47" s="8"/>
      <c r="S47" s="26">
        <v>5.2999999999999998</v>
      </c>
      <c r="T47" s="8"/>
      <c r="U47" s="26">
        <v>6.4000000000000004</v>
      </c>
      <c r="V47" s="8"/>
      <c r="W47" s="26">
        <v>7.4000000000000004</v>
      </c>
      <c r="X47" s="8"/>
      <c r="Y47" s="26">
        <v>6.5</v>
      </c>
      <c r="Z47" s="8"/>
      <c r="AA47" s="26">
        <v>7.0999999999999996</v>
      </c>
      <c r="AB47" s="8"/>
      <c r="AC47" s="8"/>
    </row>
    <row r="48" ht="12" customHeight="1">
      <c r="A48" s="11" t="s">
        <v>157</v>
      </c>
      <c r="B48" s="8" t="s">
        <v>1012</v>
      </c>
      <c r="C48" s="26">
        <v>6.0999999999999996</v>
      </c>
      <c r="D48" s="8"/>
      <c r="E48" s="26">
        <v>7.5999999999999996</v>
      </c>
      <c r="F48" s="8"/>
      <c r="G48" s="26">
        <v>7.9000000000000004</v>
      </c>
      <c r="H48" s="8"/>
      <c r="I48" s="26">
        <v>6.2999999999999998</v>
      </c>
      <c r="J48" s="8"/>
      <c r="K48" s="26">
        <v>3.7999999999999998</v>
      </c>
      <c r="L48" s="8"/>
      <c r="M48" s="26">
        <v>6.2000000000000002</v>
      </c>
      <c r="N48" s="8"/>
      <c r="O48" s="26">
        <v>2.5</v>
      </c>
      <c r="P48" s="8"/>
      <c r="Q48" s="26">
        <v>2.1000000000000001</v>
      </c>
      <c r="R48" s="8"/>
      <c r="S48" s="26">
        <v>3.2999999999999998</v>
      </c>
      <c r="T48" s="8"/>
      <c r="U48" s="26">
        <v>0.5</v>
      </c>
      <c r="V48" s="8"/>
      <c r="W48" s="26">
        <v>3.2999999999999998</v>
      </c>
      <c r="X48" s="8"/>
      <c r="Y48" s="26">
        <v>3.6000000000000001</v>
      </c>
      <c r="Z48" s="8"/>
      <c r="AA48" s="26">
        <v>3.2999999999999998</v>
      </c>
      <c r="AB48" s="8"/>
      <c r="AC48" s="8"/>
    </row>
    <row r="49" ht="12" customHeight="1">
      <c r="A49" s="8" t="s">
        <v>159</v>
      </c>
      <c r="B49" s="8" t="s">
        <v>1013</v>
      </c>
      <c r="C49" s="26">
        <v>-5.4000000000000004</v>
      </c>
      <c r="D49" s="8"/>
      <c r="E49" s="26">
        <v>-2.7000000000000002</v>
      </c>
      <c r="F49" s="8"/>
      <c r="G49" s="26">
        <v>-6.9000000000000004</v>
      </c>
      <c r="H49" s="8"/>
      <c r="I49" s="26">
        <v>-10.6</v>
      </c>
      <c r="J49" s="8"/>
      <c r="K49" s="26">
        <v>-8.5999999999999996</v>
      </c>
      <c r="L49" s="8"/>
      <c r="M49" s="26">
        <v>-12.5</v>
      </c>
      <c r="N49" s="8"/>
      <c r="O49" s="26">
        <v>-6.2999999999999998</v>
      </c>
      <c r="P49" s="8"/>
      <c r="Q49" s="26">
        <v>-4.4000000000000004</v>
      </c>
      <c r="R49" s="8"/>
      <c r="S49" s="26">
        <v>-7.5</v>
      </c>
      <c r="T49" s="8"/>
      <c r="U49" s="26">
        <v>-6.5999999999999996</v>
      </c>
      <c r="V49" s="8"/>
      <c r="W49" s="26">
        <v>-15.199999999999999</v>
      </c>
      <c r="X49" s="8"/>
      <c r="Y49" s="26">
        <v>-16</v>
      </c>
      <c r="Z49" s="8"/>
      <c r="AA49" s="26">
        <v>-11.5</v>
      </c>
      <c r="AB49" s="8"/>
      <c r="AC49" s="8"/>
    </row>
    <row r="50" ht="12" customHeight="1">
      <c r="A50" s="8" t="s">
        <v>161</v>
      </c>
      <c r="B50" s="8" t="s">
        <v>1014</v>
      </c>
      <c r="C50" s="26">
        <v>6.9000000000000004</v>
      </c>
      <c r="D50" s="8"/>
      <c r="E50" s="26">
        <v>7.0999999999999996</v>
      </c>
      <c r="F50" s="8"/>
      <c r="G50" s="26">
        <v>3.3999999999999999</v>
      </c>
      <c r="H50" s="8"/>
      <c r="I50" s="26">
        <v>2.7999999999999998</v>
      </c>
      <c r="J50" s="8"/>
      <c r="K50" s="26">
        <v>1.1000000000000001</v>
      </c>
      <c r="L50" s="8"/>
      <c r="M50" s="26">
        <v>0.59999999999999998</v>
      </c>
      <c r="N50" s="8"/>
      <c r="O50" s="26">
        <v>1.5</v>
      </c>
      <c r="P50" s="8"/>
      <c r="Q50" s="26">
        <v>0.20000000000000001</v>
      </c>
      <c r="R50" s="8"/>
      <c r="S50" s="26">
        <v>0.40000000000000002</v>
      </c>
      <c r="T50" s="8"/>
      <c r="U50" s="26">
        <v>0.59999999999999998</v>
      </c>
      <c r="V50" s="8"/>
      <c r="W50" s="26">
        <v>1.6000000000000001</v>
      </c>
      <c r="X50" s="8"/>
      <c r="Y50" s="26">
        <v>2.2000000000000002</v>
      </c>
      <c r="Z50" s="8"/>
      <c r="AA50" s="26">
        <v>3</v>
      </c>
      <c r="AB50" s="8"/>
      <c r="AC50" s="8"/>
    </row>
    <row r="51" ht="12" customHeight="1">
      <c r="A51" s="8" t="s">
        <v>163</v>
      </c>
      <c r="B51" s="8" t="s">
        <v>1015</v>
      </c>
      <c r="C51" s="26">
        <v>6.2999999999999998</v>
      </c>
      <c r="D51" s="8"/>
      <c r="E51" s="26">
        <v>8.8000000000000007</v>
      </c>
      <c r="F51" s="8"/>
      <c r="G51" s="26">
        <v>9.5999999999999996</v>
      </c>
      <c r="H51" s="8"/>
      <c r="I51" s="26">
        <v>7</v>
      </c>
      <c r="J51" s="8"/>
      <c r="K51" s="26">
        <v>4.2000000000000002</v>
      </c>
      <c r="L51" s="8"/>
      <c r="M51" s="26">
        <v>3.8999999999999999</v>
      </c>
      <c r="N51" s="8"/>
      <c r="O51" s="26">
        <v>-1.8999999999999999</v>
      </c>
      <c r="P51" s="8"/>
      <c r="Q51" s="26">
        <v>0.59999999999999998</v>
      </c>
      <c r="R51" s="8"/>
      <c r="S51" s="26">
        <v>2.5</v>
      </c>
      <c r="T51" s="8"/>
      <c r="U51" s="26">
        <v>-0.20000000000000001</v>
      </c>
      <c r="V51" s="8"/>
      <c r="W51" s="26">
        <v>0.5</v>
      </c>
      <c r="X51" s="8"/>
      <c r="Y51" s="26">
        <v>-0.29999999999999999</v>
      </c>
      <c r="Z51" s="8"/>
      <c r="AA51" s="26">
        <v>-1.5</v>
      </c>
      <c r="AB51" s="8"/>
      <c r="AC51" s="8"/>
    </row>
    <row r="52" ht="12" customHeight="1">
      <c r="A52" s="8" t="s">
        <v>165</v>
      </c>
      <c r="B52" s="8" t="s">
        <v>1016</v>
      </c>
      <c r="C52" s="26">
        <v>2.3999999999999999</v>
      </c>
      <c r="D52" s="8"/>
      <c r="E52" s="26">
        <v>3.6000000000000001</v>
      </c>
      <c r="F52" s="8"/>
      <c r="G52" s="26">
        <v>4.7999999999999998</v>
      </c>
      <c r="H52" s="8"/>
      <c r="I52" s="26">
        <v>7.5999999999999996</v>
      </c>
      <c r="J52" s="8"/>
      <c r="K52" s="26">
        <v>6.7000000000000002</v>
      </c>
      <c r="L52" s="8"/>
      <c r="M52" s="26">
        <v>7.4000000000000004</v>
      </c>
      <c r="N52" s="8"/>
      <c r="O52" s="26">
        <v>7.4000000000000004</v>
      </c>
      <c r="P52" s="8"/>
      <c r="Q52" s="26">
        <v>7</v>
      </c>
      <c r="R52" s="8"/>
      <c r="S52" s="26">
        <v>5.7000000000000002</v>
      </c>
      <c r="T52" s="8"/>
      <c r="U52" s="26">
        <v>4.2999999999999998</v>
      </c>
      <c r="V52" s="8"/>
      <c r="W52" s="26">
        <v>6.7000000000000002</v>
      </c>
      <c r="X52" s="8"/>
      <c r="Y52" s="26">
        <v>6.2000000000000002</v>
      </c>
      <c r="Z52" s="8"/>
      <c r="AA52" s="26">
        <v>6.0999999999999996</v>
      </c>
      <c r="AB52" s="8"/>
      <c r="AC52" s="8"/>
    </row>
    <row r="53" ht="12" customHeight="1">
      <c r="A53" s="8" t="s">
        <v>167</v>
      </c>
      <c r="B53" s="8" t="s">
        <v>1017</v>
      </c>
      <c r="C53" s="26">
        <v>5.2999999999999998</v>
      </c>
      <c r="D53" s="8"/>
      <c r="E53" s="26">
        <v>9.4000000000000004</v>
      </c>
      <c r="F53" s="8"/>
      <c r="G53" s="26">
        <v>7.4000000000000004</v>
      </c>
      <c r="H53" s="8"/>
      <c r="I53" s="26">
        <v>10.199999999999999</v>
      </c>
      <c r="J53" s="8"/>
      <c r="K53" s="26">
        <v>6.9000000000000004</v>
      </c>
      <c r="L53" s="8"/>
      <c r="M53" s="26">
        <v>5.0999999999999996</v>
      </c>
      <c r="N53" s="8"/>
      <c r="O53" s="26">
        <v>3.5</v>
      </c>
      <c r="P53" s="8"/>
      <c r="Q53" s="26">
        <v>1.1000000000000001</v>
      </c>
      <c r="R53" s="8"/>
      <c r="S53" s="26">
        <v>2.1000000000000001</v>
      </c>
      <c r="T53" s="8"/>
      <c r="U53" s="26">
        <v>1.5</v>
      </c>
      <c r="V53" s="8"/>
      <c r="W53" s="26">
        <v>0.59999999999999998</v>
      </c>
      <c r="X53" s="8"/>
      <c r="Y53" s="26">
        <v>3.3999999999999999</v>
      </c>
      <c r="Z53" s="8"/>
      <c r="AA53" s="26">
        <v>3.3999999999999999</v>
      </c>
      <c r="AB53" s="8"/>
      <c r="AC53" s="8"/>
    </row>
    <row r="54" ht="12" customHeight="1">
      <c r="A54" s="8" t="s">
        <v>169</v>
      </c>
      <c r="B54" s="8" t="s">
        <v>1018</v>
      </c>
      <c r="C54" s="26">
        <v>15.4</v>
      </c>
      <c r="D54" s="8"/>
      <c r="E54" s="26">
        <v>13.4</v>
      </c>
      <c r="F54" s="8"/>
      <c r="G54" s="26">
        <v>14.5</v>
      </c>
      <c r="H54" s="8"/>
      <c r="I54" s="26">
        <v>8.3000000000000007</v>
      </c>
      <c r="J54" s="8"/>
      <c r="K54" s="26">
        <v>3.7999999999999998</v>
      </c>
      <c r="L54" s="8"/>
      <c r="M54" s="26">
        <v>10.4</v>
      </c>
      <c r="N54" s="8"/>
      <c r="O54" s="26">
        <v>3.2999999999999998</v>
      </c>
      <c r="P54" s="8"/>
      <c r="Q54" s="26">
        <v>1.2</v>
      </c>
      <c r="R54" s="8"/>
      <c r="S54" s="26">
        <v>4.0999999999999996</v>
      </c>
      <c r="T54" s="8"/>
      <c r="U54" s="26">
        <v>-0.20000000000000001</v>
      </c>
      <c r="V54" s="8"/>
      <c r="W54" s="26">
        <v>6.0999999999999996</v>
      </c>
      <c r="X54" s="8"/>
      <c r="Y54" s="26">
        <v>7.5999999999999996</v>
      </c>
      <c r="Z54" s="8"/>
      <c r="AA54" s="26">
        <v>7.4000000000000004</v>
      </c>
      <c r="AB54" s="8"/>
      <c r="AC54" s="8"/>
    </row>
    <row r="55" ht="12" customHeight="1">
      <c r="A55" s="11" t="s">
        <v>171</v>
      </c>
      <c r="B55" s="8" t="s">
        <v>1019</v>
      </c>
      <c r="C55" s="26">
        <v>3.2999999999999998</v>
      </c>
      <c r="D55" s="8"/>
      <c r="E55" s="26">
        <v>4.7000000000000002</v>
      </c>
      <c r="F55" s="8"/>
      <c r="G55" s="26">
        <v>4.7000000000000002</v>
      </c>
      <c r="H55" s="8"/>
      <c r="I55" s="26">
        <v>4.5</v>
      </c>
      <c r="J55" s="8"/>
      <c r="K55" s="26">
        <v>4.5</v>
      </c>
      <c r="L55" s="8"/>
      <c r="M55" s="26">
        <v>5.0999999999999996</v>
      </c>
      <c r="N55" s="8"/>
      <c r="O55" s="26">
        <v>5.0999999999999996</v>
      </c>
      <c r="P55" s="8"/>
      <c r="Q55" s="26">
        <v>-4.4000000000000004</v>
      </c>
      <c r="R55" s="8"/>
      <c r="S55" s="26">
        <v>-4.4000000000000004</v>
      </c>
      <c r="T55" s="8"/>
      <c r="U55" s="26">
        <v>-0.69999999999999996</v>
      </c>
      <c r="V55" s="8"/>
      <c r="W55" s="26">
        <v>-0.69999999999999996</v>
      </c>
      <c r="X55" s="8"/>
      <c r="Y55" s="26">
        <v>8.5</v>
      </c>
      <c r="Z55" s="8"/>
      <c r="AA55" s="26">
        <v>8.5</v>
      </c>
      <c r="AB55" s="8"/>
      <c r="AC55" s="8"/>
    </row>
    <row r="56" ht="12" customHeight="1">
      <c r="A56" s="8" t="s">
        <v>173</v>
      </c>
      <c r="B56" s="8" t="s">
        <v>1020</v>
      </c>
      <c r="C56" s="26">
        <v>4</v>
      </c>
      <c r="D56" s="8"/>
      <c r="E56" s="26">
        <v>4</v>
      </c>
      <c r="F56" s="8"/>
      <c r="G56" s="26">
        <v>4</v>
      </c>
      <c r="H56" s="8"/>
      <c r="I56" s="26">
        <v>3.6000000000000001</v>
      </c>
      <c r="J56" s="8"/>
      <c r="K56" s="26">
        <v>3.6000000000000001</v>
      </c>
      <c r="L56" s="8"/>
      <c r="M56" s="26">
        <v>3.6000000000000001</v>
      </c>
      <c r="N56" s="8"/>
      <c r="O56" s="26">
        <v>3.6000000000000001</v>
      </c>
      <c r="P56" s="8"/>
      <c r="Q56" s="26">
        <v>-21.899999999999999</v>
      </c>
      <c r="R56" s="8"/>
      <c r="S56" s="26">
        <v>-21.899999999999999</v>
      </c>
      <c r="T56" s="8"/>
      <c r="U56" s="26">
        <v>-21.899999999999999</v>
      </c>
      <c r="V56" s="8"/>
      <c r="W56" s="26">
        <v>-21.899999999999999</v>
      </c>
      <c r="X56" s="8"/>
      <c r="Y56" s="26">
        <v>2.5</v>
      </c>
      <c r="Z56" s="8"/>
      <c r="AA56" s="26">
        <v>2.5</v>
      </c>
      <c r="AB56" s="8"/>
      <c r="AC56" s="8"/>
    </row>
    <row r="57" ht="12" customHeight="1">
      <c r="A57" s="8" t="s">
        <v>175</v>
      </c>
      <c r="B57" s="8" t="s">
        <v>1021</v>
      </c>
      <c r="C57" s="26">
        <v>4.0999999999999996</v>
      </c>
      <c r="D57" s="8"/>
      <c r="E57" s="26">
        <v>5</v>
      </c>
      <c r="F57" s="8"/>
      <c r="G57" s="26">
        <v>5</v>
      </c>
      <c r="H57" s="8"/>
      <c r="I57" s="26">
        <v>5</v>
      </c>
      <c r="J57" s="8"/>
      <c r="K57" s="26">
        <v>5</v>
      </c>
      <c r="L57" s="8"/>
      <c r="M57" s="26">
        <v>6.7000000000000002</v>
      </c>
      <c r="N57" s="8"/>
      <c r="O57" s="26">
        <v>6.7000000000000002</v>
      </c>
      <c r="P57" s="8"/>
      <c r="Q57" s="26">
        <v>6.7000000000000002</v>
      </c>
      <c r="R57" s="8"/>
      <c r="S57" s="26">
        <v>6.7000000000000002</v>
      </c>
      <c r="T57" s="8"/>
      <c r="U57" s="26">
        <v>4.0999999999999996</v>
      </c>
      <c r="V57" s="8"/>
      <c r="W57" s="26">
        <v>4.0999999999999996</v>
      </c>
      <c r="X57" s="8"/>
      <c r="Y57" s="26">
        <v>4.0999999999999996</v>
      </c>
      <c r="Z57" s="8"/>
      <c r="AA57" s="26">
        <v>4.0999999999999996</v>
      </c>
      <c r="AB57" s="8"/>
      <c r="AC57" s="8"/>
    </row>
    <row r="58" ht="12" customHeight="1">
      <c r="A58" s="8" t="s">
        <v>177</v>
      </c>
      <c r="B58" s="8" t="s">
        <v>1022</v>
      </c>
      <c r="C58" s="26">
        <v>1.5</v>
      </c>
      <c r="D58" s="8"/>
      <c r="E58" s="26">
        <v>5.2000000000000002</v>
      </c>
      <c r="F58" s="8"/>
      <c r="G58" s="26">
        <v>5.2000000000000002</v>
      </c>
      <c r="H58" s="8"/>
      <c r="I58" s="26">
        <v>5.2000000000000002</v>
      </c>
      <c r="J58" s="8"/>
      <c r="K58" s="26">
        <v>5.2000000000000002</v>
      </c>
      <c r="L58" s="8"/>
      <c r="M58" s="26">
        <v>5.2000000000000002</v>
      </c>
      <c r="N58" s="8"/>
      <c r="O58" s="26">
        <v>5.2000000000000002</v>
      </c>
      <c r="P58" s="8"/>
      <c r="Q58" s="26">
        <v>5.2000000000000002</v>
      </c>
      <c r="R58" s="8"/>
      <c r="S58" s="26">
        <v>5.2000000000000002</v>
      </c>
      <c r="T58" s="8"/>
      <c r="U58" s="26">
        <v>22.699999999999999</v>
      </c>
      <c r="V58" s="8"/>
      <c r="W58" s="26">
        <v>22.699999999999999</v>
      </c>
      <c r="X58" s="8"/>
      <c r="Y58" s="26">
        <v>22.699999999999999</v>
      </c>
      <c r="Z58" s="8"/>
      <c r="AA58" s="26">
        <v>22.699999999999999</v>
      </c>
      <c r="AB58" s="8"/>
      <c r="AC58" s="8"/>
    </row>
    <row r="59" ht="12" customHeight="1">
      <c r="A59" s="8" t="s">
        <v>179</v>
      </c>
      <c r="B59" s="8" t="s">
        <v>1023</v>
      </c>
      <c r="C59" s="26">
        <v>0.90000000000000002</v>
      </c>
      <c r="D59" s="8"/>
      <c r="E59" s="26">
        <v>5.7999999999999998</v>
      </c>
      <c r="F59" s="8"/>
      <c r="G59" s="26">
        <v>5.7999999999999998</v>
      </c>
      <c r="H59" s="8"/>
      <c r="I59" s="26">
        <v>5.7999999999999998</v>
      </c>
      <c r="J59" s="8"/>
      <c r="K59" s="26">
        <v>5.7999999999999998</v>
      </c>
      <c r="L59" s="8"/>
      <c r="M59" s="26">
        <v>3.6000000000000001</v>
      </c>
      <c r="N59" s="8"/>
      <c r="O59" s="26">
        <v>3.6000000000000001</v>
      </c>
      <c r="P59" s="8"/>
      <c r="Q59" s="26">
        <v>3.6000000000000001</v>
      </c>
      <c r="R59" s="8"/>
      <c r="S59" s="26">
        <v>3.6000000000000001</v>
      </c>
      <c r="T59" s="8"/>
      <c r="U59" s="26">
        <v>5.0999999999999996</v>
      </c>
      <c r="V59" s="8"/>
      <c r="W59" s="26">
        <v>5.0999999999999996</v>
      </c>
      <c r="X59" s="8"/>
      <c r="Y59" s="26">
        <v>5.0999999999999996</v>
      </c>
      <c r="Z59" s="8"/>
      <c r="AA59" s="26">
        <v>5.0999999999999996</v>
      </c>
      <c r="AB59" s="8"/>
      <c r="AC59" s="8"/>
    </row>
    <row r="60" ht="12" customHeight="1">
      <c r="A60" s="11" t="s">
        <v>181</v>
      </c>
      <c r="B60" s="8" t="s">
        <v>1024</v>
      </c>
      <c r="C60" s="26">
        <v>4.7000000000000002</v>
      </c>
      <c r="D60" s="8"/>
      <c r="E60" s="26">
        <v>5.2000000000000002</v>
      </c>
      <c r="F60" s="8"/>
      <c r="G60" s="26">
        <v>7</v>
      </c>
      <c r="H60" s="8"/>
      <c r="I60" s="26">
        <v>8</v>
      </c>
      <c r="J60" s="8"/>
      <c r="K60" s="26">
        <v>8.4000000000000004</v>
      </c>
      <c r="L60" s="8"/>
      <c r="M60" s="26">
        <v>9.1999999999999993</v>
      </c>
      <c r="N60" s="8"/>
      <c r="O60" s="26">
        <v>9.0999999999999996</v>
      </c>
      <c r="P60" s="8"/>
      <c r="Q60" s="26">
        <v>8.5</v>
      </c>
      <c r="R60" s="8"/>
      <c r="S60" s="26">
        <v>7.9000000000000004</v>
      </c>
      <c r="T60" s="8"/>
      <c r="U60" s="26">
        <v>6.7999999999999998</v>
      </c>
      <c r="V60" s="8"/>
      <c r="W60" s="26">
        <v>5.7999999999999998</v>
      </c>
      <c r="X60" s="8"/>
      <c r="Y60" s="26">
        <v>5</v>
      </c>
      <c r="Z60" s="8"/>
      <c r="AA60" s="26">
        <v>4.2000000000000002</v>
      </c>
      <c r="AB60" s="8"/>
      <c r="AC60" s="8"/>
    </row>
    <row r="61" ht="12" customHeight="1">
      <c r="A61" s="8" t="s">
        <v>183</v>
      </c>
      <c r="B61" s="8" t="s">
        <v>1025</v>
      </c>
      <c r="C61" s="26">
        <v>6.5999999999999996</v>
      </c>
      <c r="D61" s="8"/>
      <c r="E61" s="26">
        <v>5.7999999999999998</v>
      </c>
      <c r="F61" s="8"/>
      <c r="G61" s="26">
        <v>6.9000000000000004</v>
      </c>
      <c r="H61" s="8"/>
      <c r="I61" s="26">
        <v>5.4000000000000004</v>
      </c>
      <c r="J61" s="8"/>
      <c r="K61" s="26">
        <v>3.2999999999999998</v>
      </c>
      <c r="L61" s="8"/>
      <c r="M61" s="26">
        <v>2.6000000000000001</v>
      </c>
      <c r="N61" s="8"/>
      <c r="O61" s="26">
        <v>0.80000000000000004</v>
      </c>
      <c r="P61" s="8"/>
      <c r="Q61" s="26">
        <v>0.90000000000000002</v>
      </c>
      <c r="R61" s="8"/>
      <c r="S61" s="26">
        <v>1</v>
      </c>
      <c r="T61" s="8"/>
      <c r="U61" s="26">
        <v>1.3999999999999999</v>
      </c>
      <c r="V61" s="8"/>
      <c r="W61" s="26">
        <v>1.8</v>
      </c>
      <c r="X61" s="8"/>
      <c r="Y61" s="26">
        <v>2.2000000000000002</v>
      </c>
      <c r="Z61" s="8"/>
      <c r="AA61" s="26">
        <v>1.8</v>
      </c>
      <c r="AB61" s="8"/>
      <c r="AC61" s="8"/>
    </row>
    <row r="62" ht="12" customHeight="1">
      <c r="A62" s="8" t="s">
        <v>185</v>
      </c>
      <c r="B62" s="8" t="s">
        <v>1026</v>
      </c>
      <c r="C62" s="26">
        <v>7</v>
      </c>
      <c r="D62" s="8"/>
      <c r="E62" s="26">
        <v>7.4000000000000004</v>
      </c>
      <c r="F62" s="8"/>
      <c r="G62" s="26">
        <v>4.7000000000000002</v>
      </c>
      <c r="H62" s="8"/>
      <c r="I62" s="26">
        <v>3.2999999999999998</v>
      </c>
      <c r="J62" s="8"/>
      <c r="K62" s="26">
        <v>2.2000000000000002</v>
      </c>
      <c r="L62" s="8"/>
      <c r="M62" s="26">
        <v>2.7999999999999998</v>
      </c>
      <c r="N62" s="8"/>
      <c r="O62" s="26">
        <v>6.5</v>
      </c>
      <c r="P62" s="8"/>
      <c r="Q62" s="26">
        <v>6.7999999999999998</v>
      </c>
      <c r="R62" s="8"/>
      <c r="S62" s="26">
        <v>7.4000000000000004</v>
      </c>
      <c r="T62" s="8"/>
      <c r="U62" s="26">
        <v>7.0999999999999996</v>
      </c>
      <c r="V62" s="8"/>
      <c r="W62" s="26">
        <v>7.5</v>
      </c>
      <c r="X62" s="8"/>
      <c r="Y62" s="26">
        <v>7.0999999999999996</v>
      </c>
      <c r="Z62" s="8"/>
      <c r="AA62" s="26">
        <v>8.5999999999999996</v>
      </c>
      <c r="AB62" s="8"/>
      <c r="AC62" s="8"/>
    </row>
    <row r="63" ht="12" customHeight="1">
      <c r="A63" s="8" t="s">
        <v>187</v>
      </c>
      <c r="B63" s="8" t="s">
        <v>1027</v>
      </c>
      <c r="C63" s="26">
        <v>3.2999999999999998</v>
      </c>
      <c r="D63" s="8"/>
      <c r="E63" s="26">
        <v>5.0999999999999996</v>
      </c>
      <c r="F63" s="8"/>
      <c r="G63" s="26">
        <v>8.3000000000000007</v>
      </c>
      <c r="H63" s="8"/>
      <c r="I63" s="26">
        <v>12</v>
      </c>
      <c r="J63" s="8"/>
      <c r="K63" s="26">
        <v>14.300000000000001</v>
      </c>
      <c r="L63" s="8"/>
      <c r="M63" s="26">
        <v>16.399999999999999</v>
      </c>
      <c r="N63" s="8"/>
      <c r="O63" s="26">
        <v>16.5</v>
      </c>
      <c r="P63" s="8"/>
      <c r="Q63" s="26">
        <v>15.199999999999999</v>
      </c>
      <c r="R63" s="8"/>
      <c r="S63" s="26">
        <v>13.5</v>
      </c>
      <c r="T63" s="8"/>
      <c r="U63" s="26">
        <v>10.9</v>
      </c>
      <c r="V63" s="8"/>
      <c r="W63" s="26">
        <v>8.5</v>
      </c>
      <c r="X63" s="8"/>
      <c r="Y63" s="26">
        <v>6.7000000000000002</v>
      </c>
      <c r="Z63" s="8"/>
      <c r="AA63" s="26">
        <v>5.2000000000000002</v>
      </c>
      <c r="AB63" s="8"/>
      <c r="AC63" s="8"/>
    </row>
    <row r="64" ht="12" customHeight="1">
      <c r="A64" s="8" t="s">
        <v>189</v>
      </c>
      <c r="B64" s="8" t="s">
        <v>1028</v>
      </c>
      <c r="C64" s="26">
        <v>-4.2000000000000002</v>
      </c>
      <c r="D64" s="8"/>
      <c r="E64" s="26">
        <v>-5.9000000000000004</v>
      </c>
      <c r="F64" s="8"/>
      <c r="G64" s="26">
        <v>3.8999999999999999</v>
      </c>
      <c r="H64" s="8"/>
      <c r="I64" s="26">
        <v>-4.5999999999999996</v>
      </c>
      <c r="J64" s="8"/>
      <c r="K64" s="26">
        <v>-1.8</v>
      </c>
      <c r="L64" s="8"/>
      <c r="M64" s="26">
        <v>0</v>
      </c>
      <c r="N64" s="8"/>
      <c r="O64" s="26">
        <v>0</v>
      </c>
      <c r="P64" s="8"/>
      <c r="Q64" s="26">
        <v>-4</v>
      </c>
      <c r="R64" s="8"/>
      <c r="S64" s="26">
        <v>-6.0999999999999996</v>
      </c>
      <c r="T64" s="8"/>
      <c r="U64" s="26">
        <v>-6.0999999999999996</v>
      </c>
      <c r="V64" s="8"/>
      <c r="W64" s="26">
        <v>-6.5999999999999996</v>
      </c>
      <c r="X64" s="8"/>
      <c r="Y64" s="26">
        <v>-2.7000000000000002</v>
      </c>
      <c r="Z64" s="8"/>
      <c r="AA64" s="26">
        <v>-0.59999999999999998</v>
      </c>
      <c r="AB64" s="8"/>
      <c r="AC64" s="8"/>
    </row>
    <row r="65" ht="12" customHeight="1">
      <c r="A65" s="8" t="s">
        <v>191</v>
      </c>
      <c r="B65" s="8" t="s">
        <v>1029</v>
      </c>
      <c r="C65" s="26">
        <v>5.4000000000000004</v>
      </c>
      <c r="D65" s="8"/>
      <c r="E65" s="26">
        <v>5</v>
      </c>
      <c r="F65" s="8"/>
      <c r="G65" s="26">
        <v>3.6000000000000001</v>
      </c>
      <c r="H65" s="8"/>
      <c r="I65" s="26">
        <v>3.2999999999999998</v>
      </c>
      <c r="J65" s="8"/>
      <c r="K65" s="26">
        <v>3.3999999999999999</v>
      </c>
      <c r="L65" s="8"/>
      <c r="M65" s="26">
        <v>2.7999999999999998</v>
      </c>
      <c r="N65" s="8"/>
      <c r="O65" s="26">
        <v>3.2000000000000002</v>
      </c>
      <c r="P65" s="8"/>
      <c r="Q65" s="26">
        <v>2.3999999999999999</v>
      </c>
      <c r="R65" s="8"/>
      <c r="S65" s="26">
        <v>3.1000000000000001</v>
      </c>
      <c r="T65" s="8"/>
      <c r="U65" s="26">
        <v>3.1000000000000001</v>
      </c>
      <c r="V65" s="8"/>
      <c r="W65" s="26">
        <v>2.8999999999999999</v>
      </c>
      <c r="X65" s="8"/>
      <c r="Y65" s="26">
        <v>2.6000000000000001</v>
      </c>
      <c r="Z65" s="8"/>
      <c r="AA65" s="26">
        <v>1.7</v>
      </c>
      <c r="AB65" s="8"/>
      <c r="AC65" s="8"/>
    </row>
    <row r="66" ht="12" customHeight="1">
      <c r="A66" s="11" t="s">
        <v>193</v>
      </c>
      <c r="B66" s="8" t="s">
        <v>1030</v>
      </c>
      <c r="C66" s="26">
        <v>45.399999999999999</v>
      </c>
      <c r="D66" s="8"/>
      <c r="E66" s="26">
        <v>37.600000000000001</v>
      </c>
      <c r="F66" s="8"/>
      <c r="G66" s="26">
        <v>28.300000000000001</v>
      </c>
      <c r="H66" s="8"/>
      <c r="I66" s="26">
        <v>27</v>
      </c>
      <c r="J66" s="8"/>
      <c r="K66" s="26">
        <v>31.100000000000001</v>
      </c>
      <c r="L66" s="8"/>
      <c r="M66" s="26">
        <v>28.300000000000001</v>
      </c>
      <c r="N66" s="8"/>
      <c r="O66" s="26">
        <v>27</v>
      </c>
      <c r="P66" s="8"/>
      <c r="Q66" s="26">
        <v>18.300000000000001</v>
      </c>
      <c r="R66" s="8"/>
      <c r="S66" s="26">
        <v>7.0999999999999996</v>
      </c>
      <c r="T66" s="8"/>
      <c r="U66" s="26">
        <v>0.29999999999999999</v>
      </c>
      <c r="V66" s="8"/>
      <c r="W66" s="26">
        <v>-8.0999999999999996</v>
      </c>
      <c r="X66" s="8"/>
      <c r="Y66" s="26">
        <v>-14.9</v>
      </c>
      <c r="Z66" s="8"/>
      <c r="AA66" s="26">
        <v>-17.899999999999999</v>
      </c>
      <c r="AB66" s="8"/>
      <c r="AC66" s="8"/>
    </row>
    <row r="67" ht="12" customHeight="1">
      <c r="A67" s="8" t="s">
        <v>195</v>
      </c>
      <c r="B67" s="8" t="s">
        <v>1031</v>
      </c>
      <c r="C67" s="26">
        <v>45.399999999999999</v>
      </c>
      <c r="D67" s="8"/>
      <c r="E67" s="26">
        <v>37.600000000000001</v>
      </c>
      <c r="F67" s="8"/>
      <c r="G67" s="26">
        <v>28.300000000000001</v>
      </c>
      <c r="H67" s="8"/>
      <c r="I67" s="26">
        <v>27</v>
      </c>
      <c r="J67" s="8"/>
      <c r="K67" s="26">
        <v>31.100000000000001</v>
      </c>
      <c r="L67" s="8"/>
      <c r="M67" s="26">
        <v>28.300000000000001</v>
      </c>
      <c r="N67" s="8"/>
      <c r="O67" s="26">
        <v>27</v>
      </c>
      <c r="P67" s="8"/>
      <c r="Q67" s="26">
        <v>18.300000000000001</v>
      </c>
      <c r="R67" s="8"/>
      <c r="S67" s="26">
        <v>7.0999999999999996</v>
      </c>
      <c r="T67" s="8"/>
      <c r="U67" s="26">
        <v>0.29999999999999999</v>
      </c>
      <c r="V67" s="8"/>
      <c r="W67" s="26">
        <v>-8.0999999999999996</v>
      </c>
      <c r="X67" s="8"/>
      <c r="Y67" s="26">
        <v>-14.9</v>
      </c>
      <c r="Z67" s="8"/>
      <c r="AA67" s="26">
        <v>-17.899999999999999</v>
      </c>
      <c r="AB67" s="8"/>
      <c r="AC67" s="8"/>
    </row>
    <row r="68" ht="12" customHeight="1">
      <c r="A68" s="13" t="s">
        <v>69</v>
      </c>
      <c r="B68" s="10" t="s">
        <v>66</v>
      </c>
      <c r="C68" s="27">
        <v>9.4000000000000004</v>
      </c>
      <c r="D68" s="10"/>
      <c r="E68" s="27">
        <v>8.6999999999999993</v>
      </c>
      <c r="F68" s="10"/>
      <c r="G68" s="27">
        <v>7.7999999999999998</v>
      </c>
      <c r="H68" s="10"/>
      <c r="I68" s="27">
        <v>7.7000000000000002</v>
      </c>
      <c r="J68" s="10"/>
      <c r="K68" s="27">
        <v>7.2999999999999998</v>
      </c>
      <c r="L68" s="10"/>
      <c r="M68" s="27">
        <v>6.5999999999999996</v>
      </c>
      <c r="N68" s="10"/>
      <c r="O68" s="27">
        <v>5.5999999999999996</v>
      </c>
      <c r="P68" s="10"/>
      <c r="Q68" s="27">
        <v>3.7000000000000002</v>
      </c>
      <c r="R68" s="10"/>
      <c r="S68" s="27">
        <v>2.7000000000000002</v>
      </c>
      <c r="T68" s="10"/>
      <c r="U68" s="27">
        <v>2</v>
      </c>
      <c r="V68" s="10"/>
      <c r="W68" s="27">
        <v>1.3999999999999999</v>
      </c>
      <c r="X68" s="10"/>
      <c r="Y68" s="27">
        <v>0.80000000000000004</v>
      </c>
      <c r="Z68" s="10"/>
      <c r="AA68" s="27">
        <v>0.80000000000000004</v>
      </c>
      <c r="AB68" s="10"/>
      <c r="AC68" s="8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>
      <c r="A70" s="8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1"/>
      <c r="V70" s="1"/>
      <c r="W70" s="1"/>
      <c r="X70" s="1"/>
      <c r="Y70" s="1"/>
      <c r="Z70" s="1"/>
      <c r="AA70" s="1"/>
    </row>
    <row r="71">
      <c r="A71" s="21" t="s">
        <v>67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1"/>
      <c r="V71" s="1"/>
      <c r="W71" s="1"/>
      <c r="X71" s="1"/>
      <c r="Y71" s="1"/>
      <c r="Z71" s="1"/>
      <c r="AA71" s="1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>
      <c r="A75" s="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>
      <c r="A76" s="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</sheetData>
  <mergeCells count="16">
    <mergeCell ref="AA7:AB7"/>
    <mergeCell ref="C6:AB6"/>
    <mergeCell ref="B6:B7"/>
    <mergeCell ref="A6:A7"/>
    <mergeCell ref="Y7:Z7"/>
    <mergeCell ref="M7:N7"/>
    <mergeCell ref="Q7:R7"/>
    <mergeCell ref="O7:P7"/>
    <mergeCell ref="C7:D7"/>
    <mergeCell ref="S7:T7"/>
    <mergeCell ref="G7:H7"/>
    <mergeCell ref="E7:F7"/>
    <mergeCell ref="U7:V7"/>
    <mergeCell ref="I7:J7"/>
    <mergeCell ref="W7:X7"/>
    <mergeCell ref="K7:L7"/>
  </mergeCells>
  <pageMargins left="0.69999999999999996" right="0.69999999999999996" top="0.75" bottom="0.75" header="0.29999999999999999" footer="0.29999999999999999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5" ma:contentTypeDescription="" ma:contentTypeScope="" ma:versionID="8aa6220da80bf04252a1678341165971">
  <xsd:schema xmlns:xsd="http://www.w3.org/2001/XMLSchema" xmlns:xs="http://www.w3.org/2001/XMLSchema" xmlns:p="http://schemas.microsoft.com/office/2006/metadata/properties" xmlns:ns2="5f3e49f9-63b2-4bbe-8408-c4b58cb2712b" xmlns:ns3="4d5aeaa5-10c6-4b46-b472-171b603d6bc4" xmlns:ns4="5dfd4d69-8be3-45ea-9ccc-92afebe3a863" targetNamespace="http://schemas.microsoft.com/office/2006/metadata/properties" ma:root="true" ma:fieldsID="e1cd46299d8e2d77262f8446e154e0fb" ns2:_="" ns3:_="" ns4:_="">
    <xsd:import namespace="5f3e49f9-63b2-4bbe-8408-c4b58cb2712b"/>
    <xsd:import namespace="4d5aeaa5-10c6-4b46-b472-171b603d6bc4"/>
    <xsd:import namespace="5dfd4d69-8be3-45ea-9ccc-92afebe3a863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fd4d69-8be3-45ea-9ccc-92afebe3a863" elementFormDefault="qualified">
    <xsd:import namespace="http://schemas.microsoft.com/office/2006/documentManagement/types"/>
    <xsd:import namespace="http://schemas.microsoft.com/office/infopath/2007/PartnerControls"/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Props1.xml><?xml version="1.0" encoding="utf-8"?>
<ds:datastoreItem xmlns:ds="http://schemas.openxmlformats.org/officeDocument/2006/customXml" ds:itemID="7FBE3643-8CCC-4F41-98E2-AC147194BA5B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8832C9C5-44F2-483C-A8EB-9A28E109C83D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389118E1-9501-45BF-A156-66CFFA1124DD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3e49f9-63b2-4bbe-8408-c4b58cb2712b"/>
    <ds:schemaRef ds:uri="4d5aeaa5-10c6-4b46-b472-171b603d6bc4"/>
    <ds:schemaRef ds:uri="5dfd4d69-8be3-45ea-9ccc-92afebe3a8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01D8DE02-FEF7-4426-A736-71D3F999F91A">
  <ds:schemaRefs>
    <ds:schemaRef ds:uri="http://schemas.microsoft.com/office/2006/metadata/properties"/>
    <ds:schemaRef ds:uri="http://schemas.microsoft.com/office/infopath/2007/PartnerControls"/>
    <ds:schemaRef ds:uri="5f3e49f9-63b2-4bbe-8408-c4b58cb2712b"/>
    <ds:schemaRef ds:uri="4d5aeaa5-10c6-4b46-b472-171b603d6bc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aheath1</dc:creator>
  <cp:keywords/>
  <dc:description/>
  <cp:lastModifiedBy>Annemarie Crampton</cp:lastModifiedBy>
  <cp:revision/>
  <dcterms:created xsi:type="dcterms:W3CDTF">2024-07-08T14:21:45Z</dcterms:created>
  <dcterms:modified xsi:type="dcterms:W3CDTF">2026-01-29T21:54:25Z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0x0101005C1F0E1F7D76D944AAE852963BF785A30054EF6807C1F1DA4090AFA33FFEE8F5B1</vt:lpwstr>
  </property>
  <property fmtid="{D5CDD505-2E9C-101B-9397-08002B2CF9AE}" pid="3" name="MediaServiceImageTags">
    <vt:lpwstr/>
  </property>
  <property fmtid="{D5CDD505-2E9C-101B-9397-08002B2CF9AE}" pid="4" name="Function (F)">
    <vt:lpwstr>2;#Statistical Production|56beeb0d-f7ac-46f4-b55a-2b3f50e9ed92</vt:lpwstr>
  </property>
  <property fmtid="{D5CDD505-2E9C-101B-9397-08002B2CF9AE}" pid="5" name="lcf76f155ced4ddcb4097134ff3c332f">
    <vt:lpwstr/>
  </property>
  <property fmtid="{D5CDD505-2E9C-101B-9397-08002B2CF9AE}" pid="6" name="n80b7e3aec83466ab6b8b24620259cd2">
    <vt:lpwstr/>
  </property>
  <property fmtid="{D5CDD505-2E9C-101B-9397-08002B2CF9AE}" pid="7" name="Activity (F)">
    <vt:lpwstr>3;#Statistical Dissemination|9bab31ad-7584-49a1-a4fc-061fd380e4f6</vt:lpwstr>
  </property>
  <property fmtid="{D5CDD505-2E9C-101B-9397-08002B2CF9AE}" pid="8" name="DocType">
    <vt:lpwstr/>
  </property>
  <property fmtid="{D5CDD505-2E9C-101B-9397-08002B2CF9AE}" pid="9" name="nfc08e88b9a44e9a91d481bca3eba5a6">
    <vt:lpwstr/>
  </property>
  <property fmtid="{D5CDD505-2E9C-101B-9397-08002B2CF9AE}" pid="10" name="NZGovtAgency_x0020_F">
    <vt:lpwstr/>
  </property>
  <property fmtid="{D5CDD505-2E9C-101B-9397-08002B2CF9AE}" pid="11" name="Protective Marking (F)">
    <vt:lpwstr>1;#Unclassified|e358a964-c2cf-4fbc-b0d6-6d6f8b9fb44c</vt:lpwstr>
  </property>
  <property fmtid="{D5CDD505-2E9C-101B-9397-08002B2CF9AE}" pid="12" name="NZGovtAgency F">
    <vt:lpwstr/>
  </property>
  <property fmtid="{D5CDD505-2E9C-101B-9397-08002B2CF9AE}" pid="13" name="Activity_x0020__x0028_F_x0029_">
    <vt:lpwstr>3;#Statistical Dissemination|9bab31ad-7584-49a1-a4fc-061fd380e4f6</vt:lpwstr>
  </property>
  <property fmtid="{D5CDD505-2E9C-101B-9397-08002B2CF9AE}" pid="14" name="Function_x0020__x0028_F_x0029_">
    <vt:lpwstr>2;#Statistical Production|56beeb0d-f7ac-46f4-b55a-2b3f50e9ed92</vt:lpwstr>
  </property>
  <property fmtid="{D5CDD505-2E9C-101B-9397-08002B2CF9AE}" pid="15" name="Protective_x0020_Marking_x0020__x0028_F_x0029_">
    <vt:lpwstr>1;#Unclassified|e358a964-c2cf-4fbc-b0d6-6d6f8b9fb44c</vt:lpwstr>
  </property>
  <property fmtid="{D5CDD505-2E9C-101B-9397-08002B2CF9AE}" pid="16" name="RevIMBCS">
    <vt:lpwstr/>
  </property>
</Properties>
</file>